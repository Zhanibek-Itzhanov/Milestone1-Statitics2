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1 and 2" sheetId="1" r:id="rId5"/>
    <sheet state="visible" name="Data preparation" sheetId="2" r:id="rId6"/>
    <sheet state="visible" name="Descriptive statistics" sheetId="3" r:id="rId7"/>
    <sheet state="visible" name="F test" sheetId="4" r:id="rId8"/>
    <sheet state="visible" name="Chisq" sheetId="5" r:id="rId9"/>
    <sheet state="visible" name="Regression" sheetId="6" r:id="rId10"/>
    <sheet state="visible" name="Correlation" sheetId="7" r:id="rId11"/>
  </sheets>
  <definedNames>
    <definedName hidden="1" localSheetId="0" name="_xlnm._FilterDatabase">'Raw data 1 and 2'!$A$1:$Q$2999</definedName>
  </definedNames>
  <calcPr/>
</workbook>
</file>

<file path=xl/sharedStrings.xml><?xml version="1.0" encoding="utf-8"?>
<sst xmlns="http://schemas.openxmlformats.org/spreadsheetml/2006/main" count="160" uniqueCount="108">
  <si>
    <t>Date</t>
  </si>
  <si>
    <t>Open</t>
  </si>
  <si>
    <t>High</t>
  </si>
  <si>
    <t>Low</t>
  </si>
  <si>
    <t>Close   Close price adjusted for splits.</t>
  </si>
  <si>
    <t>Adj Close   Adjusted close price adjusted for splits and dividend and/or capital gain distributions.</t>
  </si>
  <si>
    <t>Volume</t>
  </si>
  <si>
    <t>https://finance.yahoo.com/quote/BMW.DE/history/?frequency=1wk</t>
  </si>
  <si>
    <t>Bayerische Motoren Werke Aktiengesellschaft (BMW.DE)</t>
  </si>
  <si>
    <t>Adjusted close price adjusted for splits and dividend and/or capital gain distributions.</t>
  </si>
  <si>
    <t>https://finance.yahoo.com/quote/MBG.DE/history/?frequency=1wk</t>
  </si>
  <si>
    <t>Mercedes-Benz Group AG (MBG.DE)</t>
  </si>
  <si>
    <t>https://finance.yahoo.com/quote/%5EGSPC/history/?frequency=1wk</t>
  </si>
  <si>
    <t>S&amp;P 500 (^GSPC)</t>
  </si>
  <si>
    <t>As of 11:08:08 AM GMT+1. Market Open.</t>
  </si>
  <si>
    <t>As of 3:20:48 PM GMT+5. Market Open.</t>
  </si>
  <si>
    <t>At close: 4:49:39 PM EDT</t>
  </si>
  <si>
    <t>4.3 Dividend</t>
  </si>
  <si>
    <t>Arithmetic Weekly return for BMW</t>
  </si>
  <si>
    <t>Arithmetic Weekly return for MBG</t>
  </si>
  <si>
    <t xml:space="preserve">Arithmetic Weekly return for S&amp;P 500 </t>
  </si>
  <si>
    <t>Geometric Weekly return for BMW</t>
  </si>
  <si>
    <t>Geometric Weekly return for MBG</t>
  </si>
  <si>
    <t>BMW</t>
  </si>
  <si>
    <t>MBG</t>
  </si>
  <si>
    <t>max</t>
  </si>
  <si>
    <t xml:space="preserve">T bill 3.96 </t>
  </si>
  <si>
    <t>Weeks per year = 54</t>
  </si>
  <si>
    <t>min</t>
  </si>
  <si>
    <t>range</t>
  </si>
  <si>
    <t>Q3</t>
  </si>
  <si>
    <t>Q1</t>
  </si>
  <si>
    <t xml:space="preserve">IQR, Interquartile range= q3-q1 </t>
  </si>
  <si>
    <t>IQR*1.5</t>
  </si>
  <si>
    <t>Upper fence</t>
  </si>
  <si>
    <t>Lower fence</t>
  </si>
  <si>
    <t>Mean</t>
  </si>
  <si>
    <t>Mean Absolute Deviation</t>
  </si>
  <si>
    <t>Sample Variance</t>
  </si>
  <si>
    <t>Sample Standard Deviation</t>
  </si>
  <si>
    <t>CV</t>
  </si>
  <si>
    <t>T bill(weekly)</t>
  </si>
  <si>
    <t>Sharpe ratio</t>
  </si>
  <si>
    <t xml:space="preserve">An investor wants to compare the risk (volatility) of weekly stock returns of two automobile companies: BMW and Mercedes-Benz Group (MBG). To conduct the analysis, the investor collected a random sample of weekly returns for 53 weeks for each company. The sample standard deviation of BMW’s weekly returns is 0.0475809851, while the sample standard deviation of MBG’s weekly returns is 0.04575569427. The investor suspects that the variance of BMW’s weekly returns may be greater than the variance of MBG’s weekly returns. Therefore, an F-test for variances will be conducted at the 5% significance level to determine whether BMW has a significantly higher variance of weekly returns than MBG. </t>
  </si>
  <si>
    <t>α=0.05</t>
  </si>
  <si>
    <t>There is not enough evidence to conclude that the variance of BMW’s weekly returns is greater than the variance of Mercedes-Benz Group’s weekly returns.  Accordingly we fail to reject null hypotheses</t>
  </si>
  <si>
    <t>Hypotheses:</t>
  </si>
  <si>
    <t xml:space="preserve">H0​:σB² ​≤σM² </t>
  </si>
  <si>
    <t xml:space="preserve">H1​:σB² &gt;σM² </t>
  </si>
  <si>
    <t>S St dev B</t>
  </si>
  <si>
    <t>S St dev M</t>
  </si>
  <si>
    <t>N(b)</t>
  </si>
  <si>
    <t>N(m)</t>
  </si>
  <si>
    <t>V stdev B</t>
  </si>
  <si>
    <t>V stdev M</t>
  </si>
  <si>
    <t>df1​=n1​−1</t>
  </si>
  <si>
    <t>df2​=n2​−1</t>
  </si>
  <si>
    <t xml:space="preserve">F=s2² ​/s1² </t>
  </si>
  <si>
    <t>F critical</t>
  </si>
  <si>
    <t>P value</t>
  </si>
  <si>
    <t>In terms of F critical</t>
  </si>
  <si>
    <t>1.08&lt;1.58</t>
  </si>
  <si>
    <t>do not reject H0</t>
  </si>
  <si>
    <t>In terms of P value</t>
  </si>
  <si>
    <t>0.39&gt;0.05</t>
  </si>
  <si>
    <t>Based on the historical performance of BMW, it was claimed that the annual standard deviation of returns is 15%. To verify this claim using our dataset of weekly arithmetic returns, we convert the annual target to a weekly standard deviation of 2.08% (representing a target variance σ²  of 0.0004). A sample of 52 weekly returns from March 2025 to March 2026 was collected to calculate the actual sample variance.</t>
  </si>
  <si>
    <t>Since the p-value is extremely small (virtually zero) and much lower than the 0.05 significance level, we reject the null hypothesis. There is overwhelming statistical evidence to conclude that the actual weekly volatility of BMW returns is significantly higher than the claimed 2.08%. The risk associated with the stock over this period was substantially greater than the 15% annual benchmark.</t>
  </si>
  <si>
    <t>Based on the historical performance of MBG , it was claimed that the annual standard deviation of returns is 15%. To verify this claim using our dataset of weekly arithmetic returns, we convert the annual target to a weekly standard deviation of 2.08% (representing a target variance σ²  of 0.0004). A sample of 52 weekly returns from March 2025 to March 2026 was collected to calculate the actual sample variance.</t>
  </si>
  <si>
    <t>H0: σ² ≤ 0.0004</t>
  </si>
  <si>
    <t>H1: σ²  &gt; 0.0004</t>
  </si>
  <si>
    <t>n</t>
  </si>
  <si>
    <t>df=n-1</t>
  </si>
  <si>
    <t>σ₀</t>
  </si>
  <si>
    <t xml:space="preserve">σ₀² </t>
  </si>
  <si>
    <t>s</t>
  </si>
  <si>
    <t>s²</t>
  </si>
  <si>
    <t>X^2</t>
  </si>
  <si>
    <t>≈0.00000000000000001</t>
  </si>
  <si>
    <t>reject H0</t>
  </si>
  <si>
    <t>tends to zero</t>
  </si>
  <si>
    <t>ВЫВОД ИТОГОВ</t>
  </si>
  <si>
    <t>Регрессионная статистика</t>
  </si>
  <si>
    <t>Множественный R</t>
  </si>
  <si>
    <t>R-квадрат</t>
  </si>
  <si>
    <t>Нормированный R-квадрат</t>
  </si>
  <si>
    <t>Стандартная ошибка</t>
  </si>
  <si>
    <t>Наблюдения</t>
  </si>
  <si>
    <t>Дисперсионный анализ</t>
  </si>
  <si>
    <t>df</t>
  </si>
  <si>
    <t>SS</t>
  </si>
  <si>
    <t>MS</t>
  </si>
  <si>
    <t>F</t>
  </si>
  <si>
    <t>Значимость F</t>
  </si>
  <si>
    <t>Регрессия</t>
  </si>
  <si>
    <t>Остаток</t>
  </si>
  <si>
    <t>Итого</t>
  </si>
  <si>
    <t>Коэффициенты</t>
  </si>
  <si>
    <t>t-статистика</t>
  </si>
  <si>
    <t>P-Значение</t>
  </si>
  <si>
    <t>Нижние 95%</t>
  </si>
  <si>
    <t>Верхние 95%</t>
  </si>
  <si>
    <t>Нижние 95.0%</t>
  </si>
  <si>
    <t>Верхние 95.0%</t>
  </si>
  <si>
    <t>Y-пересечение</t>
  </si>
  <si>
    <t>Переменная X 1</t>
  </si>
  <si>
    <t>Covariance</t>
  </si>
  <si>
    <t>Correlation</t>
  </si>
  <si>
    <t xml:space="preserve">R²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</si>
</sst>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0.000000"/>
    <numFmt numFmtId="166" formatCode="#,##0.00000"/>
    <numFmt numFmtId="167" formatCode="0.0000000"/>
    <numFmt numFmtId="168" formatCode="0.00000"/>
  </numFmts>
  <fonts count="25">
    <font>
      <sz val="10.0"/>
      <color rgb="FF000000"/>
      <name val="Arial"/>
      <scheme val="minor"/>
    </font>
    <font>
      <b/>
      <sz val="11.0"/>
      <color rgb="FF000000"/>
      <name val="&quot;GT America&quot;"/>
    </font>
    <font>
      <b/>
      <sz val="11.0"/>
      <color rgb="FF000000"/>
      <name val="Arial"/>
    </font>
    <font>
      <u/>
      <color rgb="FF0000FF"/>
    </font>
    <font>
      <b/>
      <sz val="11.0"/>
      <color theme="1"/>
      <name val="Arial"/>
      <scheme val="minor"/>
    </font>
    <font>
      <b/>
      <sz val="10.0"/>
      <color rgb="FF000000"/>
      <name val="&quot;GT America&quot;"/>
    </font>
    <font>
      <b/>
      <sz val="10.0"/>
      <color rgb="FF000000"/>
      <name val="Arial"/>
    </font>
    <font>
      <u/>
      <color rgb="FF0000FF"/>
    </font>
    <font>
      <u/>
      <sz val="11.0"/>
      <color rgb="FF4A86E8"/>
      <name val="&quot;GT America&quot;"/>
    </font>
    <font>
      <b/>
      <sz val="13.0"/>
      <color rgb="FF000000"/>
      <name val="&quot;GT America&quot;"/>
    </font>
    <font>
      <sz val="11.0"/>
      <color rgb="FF000000"/>
      <name val="&quot;GT America&quot;"/>
    </font>
    <font>
      <sz val="9.0"/>
      <color rgb="FF000000"/>
      <name val="&quot;GT America&quot;"/>
    </font>
    <font>
      <sz val="9.0"/>
      <color theme="1"/>
      <name val="&quot;GT America&quot;"/>
    </font>
    <font>
      <color theme="1"/>
      <name val="Arial"/>
      <scheme val="minor"/>
    </font>
    <font>
      <color rgb="FF000000"/>
      <name val="Arial"/>
    </font>
    <font>
      <color rgb="FF000000"/>
      <name val="Arial"/>
      <scheme val="minor"/>
    </font>
    <font>
      <color theme="1"/>
      <name val="Arial"/>
    </font>
    <font>
      <b/>
      <sz val="12.0"/>
      <color rgb="FF000000"/>
      <name val="&quot;GT America&quot;"/>
    </font>
    <font>
      <b/>
      <color theme="1"/>
      <name val="Arial"/>
      <scheme val="minor"/>
    </font>
    <font>
      <sz val="9.0"/>
      <color theme="1"/>
      <name val="Arial"/>
    </font>
    <font>
      <b/>
      <color theme="1"/>
      <name val="&quot;Google Sans Text&quot;"/>
    </font>
    <font>
      <color theme="1"/>
      <name val="&quot;Google Sans Text&quot;"/>
    </font>
    <font>
      <sz val="11.0"/>
      <color rgb="FF000000"/>
      <name val="&quot;Aptos Narrow&quot;"/>
    </font>
    <font>
      <i/>
      <sz val="11.0"/>
      <color rgb="FF000000"/>
      <name val="&quot;Aptos Narrow&quot;"/>
    </font>
    <font/>
  </fonts>
  <fills count="13">
    <fill>
      <patternFill patternType="none"/>
    </fill>
    <fill>
      <patternFill patternType="lightGray"/>
    </fill>
    <fill>
      <patternFill patternType="solid">
        <fgColor theme="0"/>
        <bgColor theme="0"/>
      </patternFill>
    </fill>
    <fill>
      <patternFill patternType="solid">
        <fgColor rgb="FF00FF00"/>
        <bgColor rgb="FF00FF00"/>
      </patternFill>
    </fill>
    <fill>
      <patternFill patternType="solid">
        <fgColor theme="4"/>
        <bgColor theme="4"/>
      </patternFill>
    </fill>
    <fill>
      <patternFill patternType="solid">
        <fgColor theme="5"/>
        <bgColor theme="5"/>
      </patternFill>
    </fill>
    <fill>
      <patternFill patternType="solid">
        <fgColor rgb="FFB6D7A8"/>
        <bgColor rgb="FFB6D7A8"/>
      </patternFill>
    </fill>
    <fill>
      <patternFill patternType="solid">
        <fgColor rgb="FFA4C2F4"/>
        <bgColor rgb="FFA4C2F4"/>
      </patternFill>
    </fill>
    <fill>
      <patternFill patternType="solid">
        <fgColor rgb="FFB4A7D6"/>
        <bgColor rgb="FFB4A7D6"/>
      </patternFill>
    </fill>
    <fill>
      <patternFill patternType="solid">
        <fgColor rgb="FFC27BA0"/>
        <bgColor rgb="FFC27BA0"/>
      </patternFill>
    </fill>
    <fill>
      <patternFill patternType="solid">
        <fgColor rgb="FFA64D79"/>
        <bgColor rgb="FFA64D79"/>
      </patternFill>
    </fill>
    <fill>
      <patternFill patternType="solid">
        <fgColor rgb="FFF1C232"/>
        <bgColor rgb="FFF1C232"/>
      </patternFill>
    </fill>
    <fill>
      <patternFill patternType="solid">
        <fgColor rgb="FFFFFFFF"/>
        <bgColor rgb="FFFFFFFF"/>
      </patternFill>
    </fill>
  </fills>
  <borders count="5">
    <border/>
    <border>
      <right style="thin">
        <color rgb="FF000000"/>
      </right>
    </border>
    <border>
      <left style="thin">
        <color rgb="FF000000"/>
      </left>
      <right style="thin">
        <color rgb="FF000000"/>
      </right>
      <top style="thin">
        <color rgb="FF000000"/>
      </top>
      <bottom style="thin">
        <color rgb="FF000000"/>
      </bottom>
    </border>
    <border>
      <top style="thin">
        <color rgb="FF000000"/>
      </top>
      <bottom style="thin">
        <color rgb="FF000000"/>
      </bottom>
    </border>
    <border>
      <bottom style="thin">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2" fontId="1" numFmtId="4" xfId="0" applyAlignment="1" applyFont="1" applyNumberFormat="1">
      <alignment horizontal="center" readingOrder="0" shrinkToFit="0" vertical="center" wrapText="0"/>
    </xf>
    <xf borderId="0" fillId="2" fontId="2" numFmtId="0" xfId="0" applyAlignment="1" applyFont="1">
      <alignment horizontal="center" readingOrder="0" shrinkToFit="0" vertical="center" wrapText="1"/>
    </xf>
    <xf borderId="0" fillId="3" fontId="2" numFmtId="0" xfId="0" applyAlignment="1" applyFill="1" applyFont="1">
      <alignment horizontal="center" readingOrder="0" shrinkToFit="0" vertical="center" wrapText="1"/>
    </xf>
    <xf borderId="0" fillId="0" fontId="3" numFmtId="0" xfId="0" applyAlignment="1" applyFont="1">
      <alignment readingOrder="0" shrinkToFit="0" wrapText="1"/>
    </xf>
    <xf borderId="1" fillId="0" fontId="4" numFmtId="0" xfId="0" applyAlignment="1" applyBorder="1" applyFont="1">
      <alignment readingOrder="0" shrinkToFit="0" vertical="center" wrapText="1"/>
    </xf>
    <xf borderId="0" fillId="2" fontId="5" numFmtId="164" xfId="0" applyAlignment="1" applyFont="1" applyNumberFormat="1">
      <alignment horizontal="center" readingOrder="0" shrinkToFit="0" vertical="center" wrapText="1"/>
    </xf>
    <xf borderId="0" fillId="2" fontId="5" numFmtId="0" xfId="0" applyAlignment="1" applyFont="1">
      <alignment horizontal="center" readingOrder="0" shrinkToFit="0" vertical="center" wrapText="1"/>
    </xf>
    <xf borderId="0" fillId="2" fontId="6" numFmtId="0" xfId="0" applyAlignment="1" applyFont="1">
      <alignment horizontal="center" readingOrder="0" shrinkToFit="0" vertical="center" wrapText="1"/>
    </xf>
    <xf borderId="0" fillId="3" fontId="6" numFmtId="0" xfId="0" applyAlignment="1" applyFont="1">
      <alignment horizontal="center" readingOrder="0" shrinkToFit="0" vertical="center" wrapText="1"/>
    </xf>
    <xf borderId="0" fillId="0" fontId="7" numFmtId="0" xfId="0" applyAlignment="1" applyFont="1">
      <alignment readingOrder="0"/>
    </xf>
    <xf borderId="1" fillId="0" fontId="4" numFmtId="0" xfId="0" applyAlignment="1" applyBorder="1" applyFont="1">
      <alignment horizontal="left" readingOrder="0" shrinkToFit="0" vertical="center" wrapText="1"/>
    </xf>
    <xf borderId="0" fillId="2" fontId="2" numFmtId="164" xfId="0" applyAlignment="1" applyFont="1" applyNumberFormat="1">
      <alignment horizontal="center" readingOrder="0" shrinkToFit="0" vertical="center" wrapText="0"/>
    </xf>
    <xf borderId="0" fillId="2" fontId="8" numFmtId="0" xfId="0" applyAlignment="1" applyFont="1">
      <alignment horizontal="left" readingOrder="0" shrinkToFit="0" vertical="bottom" wrapText="0"/>
    </xf>
    <xf borderId="0" fillId="2" fontId="9" numFmtId="0" xfId="0" applyAlignment="1" applyFont="1">
      <alignment horizontal="center" readingOrder="0" shrinkToFit="0" vertical="center" wrapText="1"/>
    </xf>
    <xf borderId="0" fillId="2" fontId="10" numFmtId="164" xfId="0" applyAlignment="1" applyFont="1" applyNumberFormat="1">
      <alignment horizontal="left" readingOrder="0" shrinkToFit="0" wrapText="0"/>
    </xf>
    <xf borderId="0" fillId="2" fontId="10" numFmtId="4" xfId="0" applyAlignment="1" applyFont="1" applyNumberFormat="1">
      <alignment horizontal="right" readingOrder="0" shrinkToFit="0" wrapText="0"/>
    </xf>
    <xf borderId="0" fillId="2" fontId="10" numFmtId="0" xfId="0" applyAlignment="1" applyFont="1">
      <alignment horizontal="right" readingOrder="0" shrinkToFit="0" wrapText="0"/>
    </xf>
    <xf borderId="0" fillId="3" fontId="10" numFmtId="0" xfId="0" applyAlignment="1" applyFont="1">
      <alignment horizontal="right" readingOrder="0" shrinkToFit="0" wrapText="0"/>
    </xf>
    <xf borderId="0" fillId="2" fontId="10" numFmtId="3" xfId="0" applyAlignment="1" applyFont="1" applyNumberFormat="1">
      <alignment horizontal="right" readingOrder="0" shrinkToFit="0" wrapText="0"/>
    </xf>
    <xf borderId="1" fillId="2" fontId="11" numFmtId="0" xfId="0" applyAlignment="1" applyBorder="1" applyFont="1">
      <alignment readingOrder="0" shrinkToFit="0" wrapText="1"/>
    </xf>
    <xf borderId="0" fillId="3" fontId="10" numFmtId="4" xfId="0" applyAlignment="1" applyFont="1" applyNumberFormat="1">
      <alignment horizontal="right" readingOrder="0" shrinkToFit="0" wrapText="0"/>
    </xf>
    <xf borderId="0" fillId="2" fontId="12" numFmtId="3" xfId="0" applyAlignment="1" applyFont="1" applyNumberFormat="1">
      <alignment readingOrder="0" shrinkToFit="0" wrapText="1"/>
    </xf>
    <xf borderId="1" fillId="0" fontId="13" numFmtId="0" xfId="0" applyBorder="1" applyFont="1"/>
    <xf borderId="1" fillId="2" fontId="10" numFmtId="0" xfId="0" applyBorder="1" applyFont="1"/>
    <xf borderId="0" fillId="2" fontId="1" numFmtId="4" xfId="0" applyAlignment="1" applyFont="1" applyNumberFormat="1">
      <alignment horizontal="center" readingOrder="0" shrinkToFit="0" wrapText="0"/>
    </xf>
    <xf borderId="0" fillId="2" fontId="1" numFmtId="0" xfId="0" applyAlignment="1" applyFont="1">
      <alignment horizontal="center" readingOrder="0" shrinkToFit="0" wrapText="0"/>
    </xf>
    <xf borderId="0" fillId="0" fontId="13" numFmtId="164" xfId="0" applyFont="1" applyNumberFormat="1"/>
    <xf borderId="0" fillId="3" fontId="13" numFmtId="0" xfId="0" applyFont="1"/>
    <xf borderId="0" fillId="2" fontId="14" numFmtId="164" xfId="0" applyFont="1" applyNumberFormat="1"/>
    <xf borderId="0" fillId="2" fontId="14" numFmtId="4" xfId="0" applyFont="1" applyNumberFormat="1"/>
    <xf borderId="0" fillId="2" fontId="15" numFmtId="0" xfId="0" applyFont="1"/>
    <xf borderId="0" fillId="3" fontId="15" numFmtId="0" xfId="0" applyFont="1"/>
    <xf borderId="0" fillId="0" fontId="16" numFmtId="164" xfId="0" applyFont="1" applyNumberFormat="1"/>
    <xf borderId="0" fillId="0" fontId="16" numFmtId="4" xfId="0" applyFont="1" applyNumberFormat="1"/>
    <xf borderId="0" fillId="0" fontId="16" numFmtId="0" xfId="0" applyFont="1"/>
    <xf borderId="0" fillId="0" fontId="4" numFmtId="0" xfId="0" applyAlignment="1" applyFont="1">
      <alignment readingOrder="0" shrinkToFit="0" vertical="center" wrapText="1"/>
    </xf>
    <xf borderId="0" fillId="0" fontId="4" numFmtId="0" xfId="0" applyAlignment="1" applyFont="1">
      <alignment horizontal="left" readingOrder="0" shrinkToFit="0" vertical="center" wrapText="1"/>
    </xf>
    <xf borderId="0" fillId="2" fontId="17" numFmtId="0" xfId="0" applyAlignment="1" applyFont="1">
      <alignment horizontal="center" readingOrder="0" shrinkToFit="0" vertical="center" wrapText="1"/>
    </xf>
    <xf borderId="0" fillId="4" fontId="18" numFmtId="4" xfId="0" applyAlignment="1" applyFill="1" applyFont="1" applyNumberFormat="1">
      <alignment horizontal="center" readingOrder="0" shrinkToFit="0" vertical="center" wrapText="1"/>
    </xf>
    <xf borderId="0" fillId="5" fontId="18" numFmtId="4" xfId="0" applyAlignment="1" applyFill="1" applyFont="1" applyNumberFormat="1">
      <alignment horizontal="center" readingOrder="0" shrinkToFit="0" vertical="center" wrapText="1"/>
    </xf>
    <xf borderId="0" fillId="0" fontId="13" numFmtId="0" xfId="0" applyFont="1"/>
    <xf borderId="0" fillId="0" fontId="13" numFmtId="4" xfId="0" applyFont="1" applyNumberFormat="1"/>
    <xf borderId="0" fillId="4" fontId="13" numFmtId="4" xfId="0" applyFont="1" applyNumberFormat="1"/>
    <xf borderId="0" fillId="5" fontId="13" numFmtId="4" xfId="0" applyFont="1" applyNumberFormat="1"/>
    <xf borderId="0" fillId="2" fontId="13" numFmtId="4" xfId="0" applyFont="1" applyNumberFormat="1"/>
    <xf borderId="0" fillId="4" fontId="18" numFmtId="0" xfId="0" applyAlignment="1" applyFont="1">
      <alignment horizontal="center" readingOrder="0" shrinkToFit="0" vertical="center" wrapText="1"/>
    </xf>
    <xf borderId="0" fillId="4" fontId="13" numFmtId="10" xfId="0" applyAlignment="1" applyFont="1" applyNumberFormat="1">
      <alignment readingOrder="0"/>
    </xf>
    <xf borderId="0" fillId="4" fontId="13" numFmtId="0" xfId="0" applyAlignment="1" applyFont="1">
      <alignment readingOrder="0"/>
    </xf>
    <xf borderId="0" fillId="0" fontId="13" numFmtId="10" xfId="0" applyFont="1" applyNumberFormat="1"/>
    <xf borderId="0" fillId="6" fontId="13" numFmtId="0" xfId="0" applyAlignment="1" applyFill="1" applyFont="1">
      <alignment readingOrder="0"/>
    </xf>
    <xf borderId="0" fillId="6" fontId="13" numFmtId="10" xfId="0" applyFont="1" applyNumberFormat="1"/>
    <xf borderId="0" fillId="0" fontId="13" numFmtId="0" xfId="0" applyAlignment="1" applyFont="1">
      <alignment readingOrder="0"/>
    </xf>
    <xf borderId="0" fillId="7" fontId="13" numFmtId="0" xfId="0" applyAlignment="1" applyFill="1" applyFont="1">
      <alignment readingOrder="0"/>
    </xf>
    <xf borderId="0" fillId="7" fontId="13" numFmtId="10" xfId="0" applyFont="1" applyNumberFormat="1"/>
    <xf borderId="0" fillId="7" fontId="16" numFmtId="10" xfId="0" applyAlignment="1" applyFont="1" applyNumberFormat="1">
      <alignment vertical="bottom"/>
    </xf>
    <xf borderId="0" fillId="7" fontId="19" numFmtId="0" xfId="0" applyAlignment="1" applyFont="1">
      <alignment vertical="bottom"/>
    </xf>
    <xf borderId="0" fillId="8" fontId="19" numFmtId="10" xfId="0" applyAlignment="1" applyFill="1" applyFont="1" applyNumberFormat="1">
      <alignment vertical="bottom"/>
    </xf>
    <xf borderId="0" fillId="8" fontId="13" numFmtId="10" xfId="0" applyFont="1" applyNumberFormat="1"/>
    <xf borderId="0" fillId="0" fontId="16" numFmtId="0" xfId="0" applyAlignment="1" applyFont="1">
      <alignment vertical="bottom"/>
    </xf>
    <xf borderId="0" fillId="9" fontId="16" numFmtId="0" xfId="0" applyAlignment="1" applyFill="1" applyFont="1">
      <alignment vertical="bottom"/>
    </xf>
    <xf borderId="0" fillId="9" fontId="13" numFmtId="4" xfId="0" applyFont="1" applyNumberFormat="1"/>
    <xf borderId="0" fillId="9" fontId="13" numFmtId="2" xfId="0" applyAlignment="1" applyFont="1" applyNumberFormat="1">
      <alignment readingOrder="0"/>
    </xf>
    <xf borderId="0" fillId="0" fontId="13" numFmtId="0" xfId="0" applyAlignment="1" applyFont="1">
      <alignment horizontal="left" readingOrder="0" shrinkToFit="0" vertical="top" wrapText="1"/>
    </xf>
    <xf borderId="0" fillId="0" fontId="13" numFmtId="0" xfId="0" applyAlignment="1" applyFont="1">
      <alignment readingOrder="0" vertical="center"/>
    </xf>
    <xf borderId="0" fillId="0" fontId="13" numFmtId="0" xfId="0" applyAlignment="1" applyFont="1">
      <alignment readingOrder="0" shrinkToFit="0" vertical="center" wrapText="1"/>
    </xf>
    <xf borderId="0" fillId="10" fontId="18" numFmtId="0" xfId="0" applyAlignment="1" applyFill="1" applyFont="1">
      <alignment readingOrder="0"/>
    </xf>
    <xf borderId="0" fillId="10" fontId="13" numFmtId="0" xfId="0" applyAlignment="1" applyFont="1">
      <alignment readingOrder="0"/>
    </xf>
    <xf borderId="0" fillId="10" fontId="13" numFmtId="0" xfId="0" applyFont="1"/>
    <xf borderId="2" fillId="0" fontId="13" numFmtId="0" xfId="0" applyAlignment="1" applyBorder="1" applyFont="1">
      <alignment readingOrder="0"/>
    </xf>
    <xf borderId="2" fillId="11" fontId="13" numFmtId="0" xfId="0" applyBorder="1" applyFill="1" applyFont="1"/>
    <xf borderId="2" fillId="0" fontId="13" numFmtId="165" xfId="0" applyAlignment="1" applyBorder="1" applyFont="1" applyNumberFormat="1">
      <alignment readingOrder="0"/>
    </xf>
    <xf borderId="2" fillId="11" fontId="13" numFmtId="165" xfId="0" applyBorder="1" applyFont="1" applyNumberFormat="1"/>
    <xf borderId="2" fillId="11" fontId="13" numFmtId="0" xfId="0" applyAlignment="1" applyBorder="1" applyFont="1">
      <alignment readingOrder="0"/>
    </xf>
    <xf borderId="0" fillId="3" fontId="13" numFmtId="0" xfId="0" applyAlignment="1" applyFont="1">
      <alignment readingOrder="0"/>
    </xf>
    <xf borderId="0" fillId="0" fontId="20" numFmtId="0" xfId="0" applyAlignment="1" applyFont="1">
      <alignment horizontal="left" readingOrder="0" shrinkToFit="0" wrapText="1"/>
    </xf>
    <xf borderId="1" fillId="0" fontId="18" numFmtId="0" xfId="0" applyAlignment="1" applyBorder="1" applyFont="1">
      <alignment readingOrder="0" shrinkToFit="0" wrapText="1"/>
    </xf>
    <xf borderId="0" fillId="0" fontId="18" numFmtId="0" xfId="0" applyAlignment="1" applyFont="1">
      <alignment readingOrder="0" shrinkToFit="0" wrapText="1"/>
    </xf>
    <xf borderId="0" fillId="12" fontId="13" numFmtId="0" xfId="0" applyAlignment="1" applyFill="1" applyFont="1">
      <alignment horizontal="left" readingOrder="0"/>
    </xf>
    <xf borderId="2" fillId="0" fontId="13" numFmtId="0" xfId="0" applyAlignment="1" applyBorder="1" applyFont="1">
      <alignment horizontal="right" readingOrder="0"/>
    </xf>
    <xf borderId="2" fillId="0" fontId="13" numFmtId="0" xfId="0" applyAlignment="1" applyBorder="1" applyFont="1">
      <alignment horizontal="left" readingOrder="0"/>
    </xf>
    <xf borderId="2" fillId="0" fontId="13" numFmtId="0" xfId="0" applyBorder="1" applyFont="1"/>
    <xf borderId="2" fillId="0" fontId="21" numFmtId="0" xfId="0" applyAlignment="1" applyBorder="1" applyFont="1">
      <alignment horizontal="right" readingOrder="0"/>
    </xf>
    <xf borderId="2" fillId="12" fontId="16" numFmtId="0" xfId="0" applyAlignment="1" applyBorder="1" applyFont="1">
      <alignment horizontal="right" vertical="bottom"/>
    </xf>
    <xf borderId="2" fillId="0" fontId="13" numFmtId="166" xfId="0" applyAlignment="1" applyBorder="1" applyFont="1" applyNumberFormat="1">
      <alignment readingOrder="0"/>
    </xf>
    <xf borderId="2" fillId="12" fontId="16" numFmtId="0" xfId="0" applyAlignment="1" applyBorder="1" applyFont="1">
      <alignment horizontal="right" vertical="bottom"/>
    </xf>
    <xf borderId="2" fillId="0" fontId="13" numFmtId="167" xfId="0" applyAlignment="1" applyBorder="1" applyFont="1" applyNumberFormat="1">
      <alignment readingOrder="0"/>
    </xf>
    <xf borderId="2" fillId="0" fontId="13" numFmtId="168" xfId="0" applyBorder="1" applyFont="1" applyNumberFormat="1"/>
    <xf borderId="2" fillId="0" fontId="21" numFmtId="0" xfId="0" applyAlignment="1" applyBorder="1" applyFont="1">
      <alignment readingOrder="0"/>
    </xf>
    <xf borderId="2" fillId="0" fontId="13" numFmtId="2" xfId="0" applyBorder="1" applyFont="1" applyNumberFormat="1"/>
    <xf borderId="0" fillId="3" fontId="21" numFmtId="0" xfId="0" applyAlignment="1" applyFont="1">
      <alignment readingOrder="0"/>
    </xf>
    <xf borderId="0" fillId="0" fontId="22" numFmtId="0" xfId="0" applyAlignment="1" applyFont="1">
      <alignment shrinkToFit="0" vertical="bottom" wrapText="0"/>
    </xf>
    <xf borderId="0" fillId="0" fontId="22" numFmtId="0" xfId="0" applyAlignment="1" applyFont="1">
      <alignment readingOrder="0" shrinkToFit="0" vertical="bottom" wrapText="0"/>
    </xf>
    <xf borderId="3" fillId="0" fontId="23" numFmtId="0" xfId="0" applyAlignment="1" applyBorder="1" applyFont="1">
      <alignment horizontal="center" readingOrder="0" shrinkToFit="0" vertical="bottom" wrapText="0"/>
    </xf>
    <xf borderId="3" fillId="0" fontId="24" numFmtId="0" xfId="0" applyBorder="1" applyFont="1"/>
    <xf borderId="0" fillId="0" fontId="22" numFmtId="0" xfId="0" applyAlignment="1" applyFont="1">
      <alignment horizontal="right" readingOrder="0" shrinkToFit="0" vertical="bottom" wrapText="0"/>
    </xf>
    <xf borderId="4" fillId="0" fontId="22" numFmtId="0" xfId="0" applyAlignment="1" applyBorder="1" applyFont="1">
      <alignment readingOrder="0" shrinkToFit="0" vertical="bottom" wrapText="0"/>
    </xf>
    <xf borderId="4" fillId="0" fontId="22" numFmtId="0" xfId="0" applyAlignment="1" applyBorder="1" applyFont="1">
      <alignment horizontal="right" readingOrder="0" shrinkToFit="0" vertical="bottom" wrapText="0"/>
    </xf>
    <xf borderId="3" fillId="0" fontId="23" numFmtId="0" xfId="0" applyAlignment="1" applyBorder="1" applyFont="1">
      <alignment horizontal="center" shrinkToFit="0" vertical="bottom" wrapText="0"/>
    </xf>
    <xf borderId="4" fillId="0" fontId="22"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Correlation!$B$2:$B$54</c:f>
            </c:numRef>
          </c:xVal>
          <c:yVal>
            <c:numRef>
              <c:f>Correlation!$C$2:$C$54</c:f>
              <c:numCache/>
            </c:numRef>
          </c:yVal>
        </c:ser>
        <c:dLbls>
          <c:showLegendKey val="0"/>
          <c:showVal val="0"/>
          <c:showCatName val="0"/>
          <c:showSerName val="0"/>
          <c:showPercent val="0"/>
          <c:showBubbleSize val="0"/>
        </c:dLbls>
        <c:axId val="78904221"/>
        <c:axId val="967284550"/>
      </c:scatterChart>
      <c:valAx>
        <c:axId val="7890422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7284550"/>
      </c:valAx>
      <c:valAx>
        <c:axId val="9672845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904221"/>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1247775</xdr:colOff>
      <xdr:row>9</xdr:row>
      <xdr:rowOff>171450</xdr:rowOff>
    </xdr:from>
    <xdr:ext cx="1095375" cy="371475"/>
    <xdr:pic>
      <xdr:nvPicPr>
        <xdr:cNvPr id="0" name="image2.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1209675</xdr:colOff>
      <xdr:row>8</xdr:row>
      <xdr:rowOff>180975</xdr:rowOff>
    </xdr:from>
    <xdr:ext cx="1190625" cy="371475"/>
    <xdr:pic>
      <xdr:nvPicPr>
        <xdr:cNvPr id="0" name="image1.png" title="Изображение"/>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933450</xdr:colOff>
      <xdr:row>5</xdr:row>
      <xdr:rowOff>180975</xdr:rowOff>
    </xdr:from>
    <xdr:ext cx="5715000" cy="3533775"/>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inance.yahoo.com/quote/BMW.DE/history/?frequency=1wk" TargetMode="External"/><Relationship Id="rId2" Type="http://schemas.openxmlformats.org/officeDocument/2006/relationships/hyperlink" Target="https://finance.yahoo.com/quote/MBG.DE/history/?frequency=1wk" TargetMode="External"/><Relationship Id="rId3" Type="http://schemas.openxmlformats.org/officeDocument/2006/relationships/hyperlink" Target="https://finance.yahoo.com/quote/%5EGSPC/history/?frequency=1w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15.63"/>
  </cols>
  <sheetData>
    <row r="1" ht="99.75" customHeight="1">
      <c r="A1" s="1" t="s">
        <v>0</v>
      </c>
      <c r="B1" s="2" t="s">
        <v>1</v>
      </c>
      <c r="C1" s="2" t="s">
        <v>2</v>
      </c>
      <c r="D1" s="1" t="s">
        <v>3</v>
      </c>
      <c r="E1" s="3" t="s">
        <v>4</v>
      </c>
      <c r="F1" s="4" t="s">
        <v>5</v>
      </c>
      <c r="G1" s="1" t="s">
        <v>6</v>
      </c>
      <c r="H1" s="5" t="s">
        <v>7</v>
      </c>
      <c r="I1" s="6" t="s">
        <v>8</v>
      </c>
      <c r="K1" s="7" t="s">
        <v>0</v>
      </c>
      <c r="L1" s="8" t="s">
        <v>1</v>
      </c>
      <c r="M1" s="8" t="s">
        <v>2</v>
      </c>
      <c r="N1" s="8" t="s">
        <v>3</v>
      </c>
      <c r="O1" s="9" t="s">
        <v>4</v>
      </c>
      <c r="P1" s="10" t="s">
        <v>9</v>
      </c>
      <c r="Q1" s="8" t="s">
        <v>6</v>
      </c>
      <c r="R1" s="11" t="s">
        <v>10</v>
      </c>
      <c r="S1" s="12" t="s">
        <v>11</v>
      </c>
      <c r="U1" s="13" t="s">
        <v>0</v>
      </c>
      <c r="V1" s="1" t="s">
        <v>1</v>
      </c>
      <c r="W1" s="1" t="s">
        <v>2</v>
      </c>
      <c r="X1" s="1" t="s">
        <v>3</v>
      </c>
      <c r="Y1" s="9" t="s">
        <v>4</v>
      </c>
      <c r="Z1" s="10" t="s">
        <v>9</v>
      </c>
      <c r="AA1" s="1" t="s">
        <v>6</v>
      </c>
      <c r="AB1" s="14" t="s">
        <v>12</v>
      </c>
      <c r="AC1" s="15" t="s">
        <v>13</v>
      </c>
    </row>
    <row r="2" ht="15.75" customHeight="1">
      <c r="A2" s="16">
        <v>46090.0</v>
      </c>
      <c r="B2" s="17">
        <v>79.54</v>
      </c>
      <c r="C2" s="17">
        <v>79.58</v>
      </c>
      <c r="D2" s="18">
        <v>77.84</v>
      </c>
      <c r="E2" s="18">
        <v>78.38</v>
      </c>
      <c r="F2" s="19">
        <v>78.38</v>
      </c>
      <c r="G2" s="20">
        <v>239469.0</v>
      </c>
      <c r="I2" s="21" t="s">
        <v>14</v>
      </c>
      <c r="K2" s="16">
        <v>46090.0</v>
      </c>
      <c r="L2" s="18">
        <v>54.5</v>
      </c>
      <c r="M2" s="18">
        <v>54.86</v>
      </c>
      <c r="N2" s="18">
        <v>53.54</v>
      </c>
      <c r="O2" s="18">
        <v>53.97</v>
      </c>
      <c r="P2" s="19">
        <v>53.97</v>
      </c>
      <c r="Q2" s="20">
        <v>601964.0</v>
      </c>
      <c r="S2" s="21" t="s">
        <v>15</v>
      </c>
      <c r="U2" s="16">
        <v>46090.0</v>
      </c>
      <c r="V2" s="17">
        <v>6699.8</v>
      </c>
      <c r="W2" s="17">
        <v>6810.44</v>
      </c>
      <c r="X2" s="17">
        <v>6636.04</v>
      </c>
      <c r="Y2" s="17">
        <v>6795.99</v>
      </c>
      <c r="Z2" s="22">
        <v>6795.99</v>
      </c>
      <c r="AA2" s="20">
        <v>6.70941E9</v>
      </c>
      <c r="AB2" s="20"/>
      <c r="AC2" s="23" t="s">
        <v>16</v>
      </c>
    </row>
    <row r="3" ht="15.75" customHeight="1">
      <c r="A3" s="16">
        <v>46083.0</v>
      </c>
      <c r="B3" s="17">
        <v>86.24</v>
      </c>
      <c r="C3" s="17">
        <v>87.12</v>
      </c>
      <c r="D3" s="18">
        <v>79.2</v>
      </c>
      <c r="E3" s="18">
        <v>79.8</v>
      </c>
      <c r="F3" s="19">
        <v>79.8</v>
      </c>
      <c r="G3" s="20">
        <v>6751099.0</v>
      </c>
      <c r="I3" s="24"/>
      <c r="K3" s="16">
        <v>46083.0</v>
      </c>
      <c r="L3" s="18">
        <v>57.0</v>
      </c>
      <c r="M3" s="18">
        <v>57.9</v>
      </c>
      <c r="N3" s="18">
        <v>54.23</v>
      </c>
      <c r="O3" s="18">
        <v>54.78</v>
      </c>
      <c r="P3" s="19">
        <v>54.78</v>
      </c>
      <c r="Q3" s="20">
        <v>1.347167E7</v>
      </c>
      <c r="S3" s="25"/>
      <c r="U3" s="16">
        <v>46083.0</v>
      </c>
      <c r="V3" s="17">
        <v>6824.36</v>
      </c>
      <c r="W3" s="17">
        <v>6901.01</v>
      </c>
      <c r="X3" s="17">
        <v>6710.42</v>
      </c>
      <c r="Y3" s="17">
        <v>6740.02</v>
      </c>
      <c r="Z3" s="22">
        <v>6740.02</v>
      </c>
      <c r="AA3" s="20">
        <v>2.955575E10</v>
      </c>
      <c r="AB3" s="20"/>
      <c r="AC3" s="20"/>
    </row>
    <row r="4" ht="15.75" customHeight="1">
      <c r="A4" s="16">
        <v>46076.0</v>
      </c>
      <c r="B4" s="17">
        <v>90.1</v>
      </c>
      <c r="C4" s="17">
        <v>90.12</v>
      </c>
      <c r="D4" s="18">
        <v>87.68</v>
      </c>
      <c r="E4" s="18">
        <v>89.46</v>
      </c>
      <c r="F4" s="19">
        <v>89.46</v>
      </c>
      <c r="G4" s="20">
        <v>3893526.0</v>
      </c>
      <c r="I4" s="24"/>
      <c r="K4" s="16">
        <v>46076.0</v>
      </c>
      <c r="L4" s="18">
        <v>59.27</v>
      </c>
      <c r="M4" s="18">
        <v>59.51</v>
      </c>
      <c r="N4" s="18">
        <v>58.21</v>
      </c>
      <c r="O4" s="18">
        <v>59.0</v>
      </c>
      <c r="P4" s="19">
        <v>59.0</v>
      </c>
      <c r="Q4" s="20">
        <v>1.0967204E7</v>
      </c>
      <c r="S4" s="24"/>
      <c r="U4" s="16">
        <v>46076.0</v>
      </c>
      <c r="V4" s="17">
        <v>6901.25</v>
      </c>
      <c r="W4" s="17">
        <v>6952.51</v>
      </c>
      <c r="X4" s="17">
        <v>6815.43</v>
      </c>
      <c r="Y4" s="17">
        <v>6878.88</v>
      </c>
      <c r="Z4" s="22">
        <v>6878.88</v>
      </c>
      <c r="AA4" s="20">
        <v>2.878771E10</v>
      </c>
      <c r="AB4" s="20"/>
      <c r="AC4" s="20"/>
    </row>
    <row r="5" ht="15.75" customHeight="1">
      <c r="A5" s="16">
        <v>46069.0</v>
      </c>
      <c r="B5" s="17">
        <v>88.9</v>
      </c>
      <c r="C5" s="17">
        <v>91.92</v>
      </c>
      <c r="D5" s="18">
        <v>88.6</v>
      </c>
      <c r="E5" s="18">
        <v>90.32</v>
      </c>
      <c r="F5" s="19">
        <v>90.32</v>
      </c>
      <c r="G5" s="20">
        <v>3722068.0</v>
      </c>
      <c r="I5" s="24"/>
      <c r="K5" s="16">
        <v>46069.0</v>
      </c>
      <c r="L5" s="18">
        <v>57.4</v>
      </c>
      <c r="M5" s="18">
        <v>60.03</v>
      </c>
      <c r="N5" s="18">
        <v>57.19</v>
      </c>
      <c r="O5" s="18">
        <v>59.24</v>
      </c>
      <c r="P5" s="19">
        <v>59.24</v>
      </c>
      <c r="Q5" s="20">
        <v>1.0370202E7</v>
      </c>
      <c r="S5" s="24"/>
      <c r="U5" s="16">
        <v>46069.0</v>
      </c>
      <c r="V5" s="17">
        <v>6819.86</v>
      </c>
      <c r="W5" s="17">
        <v>6915.86</v>
      </c>
      <c r="X5" s="17">
        <v>6775.5</v>
      </c>
      <c r="Y5" s="17">
        <v>6909.51</v>
      </c>
      <c r="Z5" s="22">
        <v>6909.51</v>
      </c>
      <c r="AA5" s="20">
        <v>2.110081E10</v>
      </c>
      <c r="AB5" s="20"/>
      <c r="AC5" s="20"/>
    </row>
    <row r="6" ht="15.75" customHeight="1">
      <c r="A6" s="16">
        <v>46062.0</v>
      </c>
      <c r="B6" s="17">
        <v>88.46</v>
      </c>
      <c r="C6" s="17">
        <v>89.94</v>
      </c>
      <c r="D6" s="18">
        <v>86.94</v>
      </c>
      <c r="E6" s="18">
        <v>88.9</v>
      </c>
      <c r="F6" s="19">
        <v>88.9</v>
      </c>
      <c r="G6" s="20">
        <v>4262028.0</v>
      </c>
      <c r="I6" s="24"/>
      <c r="K6" s="16">
        <v>46062.0</v>
      </c>
      <c r="L6" s="18">
        <v>58.71</v>
      </c>
      <c r="M6" s="18">
        <v>59.5</v>
      </c>
      <c r="N6" s="18">
        <v>54.65</v>
      </c>
      <c r="O6" s="18">
        <v>57.62</v>
      </c>
      <c r="P6" s="19">
        <v>57.62</v>
      </c>
      <c r="Q6" s="20">
        <v>1.6121673E7</v>
      </c>
      <c r="S6" s="24"/>
      <c r="U6" s="16">
        <v>46062.0</v>
      </c>
      <c r="V6" s="17">
        <v>6917.26</v>
      </c>
      <c r="W6" s="17">
        <v>6993.48</v>
      </c>
      <c r="X6" s="17">
        <v>6794.55</v>
      </c>
      <c r="Y6" s="17">
        <v>6836.17</v>
      </c>
      <c r="Z6" s="22">
        <v>6836.17</v>
      </c>
      <c r="AA6" s="20">
        <v>3.025878E10</v>
      </c>
      <c r="AB6" s="20"/>
      <c r="AC6" s="20"/>
    </row>
    <row r="7" ht="15.75" customHeight="1">
      <c r="A7" s="16">
        <v>46055.0</v>
      </c>
      <c r="B7" s="17">
        <v>86.56</v>
      </c>
      <c r="C7" s="17">
        <v>91.24</v>
      </c>
      <c r="D7" s="18">
        <v>86.56</v>
      </c>
      <c r="E7" s="18">
        <v>88.44</v>
      </c>
      <c r="F7" s="19">
        <v>88.44</v>
      </c>
      <c r="G7" s="20">
        <v>4634487.0</v>
      </c>
      <c r="I7" s="24"/>
      <c r="K7" s="16">
        <v>46055.0</v>
      </c>
      <c r="L7" s="18">
        <v>57.6</v>
      </c>
      <c r="M7" s="18">
        <v>61.3</v>
      </c>
      <c r="N7" s="18">
        <v>57.45</v>
      </c>
      <c r="O7" s="18">
        <v>58.78</v>
      </c>
      <c r="P7" s="19">
        <v>58.78</v>
      </c>
      <c r="Q7" s="20">
        <v>1.380371E7</v>
      </c>
      <c r="S7" s="24"/>
      <c r="U7" s="16">
        <v>46055.0</v>
      </c>
      <c r="V7" s="17">
        <v>6916.64</v>
      </c>
      <c r="W7" s="17">
        <v>6993.08</v>
      </c>
      <c r="X7" s="17">
        <v>6780.13</v>
      </c>
      <c r="Y7" s="17">
        <v>6932.3</v>
      </c>
      <c r="Z7" s="22">
        <v>6932.3</v>
      </c>
      <c r="AA7" s="20">
        <v>3.353826E10</v>
      </c>
      <c r="AB7" s="20"/>
      <c r="AC7" s="20"/>
    </row>
    <row r="8" ht="15.75" customHeight="1">
      <c r="A8" s="16">
        <v>46048.0</v>
      </c>
      <c r="B8" s="17">
        <v>87.6</v>
      </c>
      <c r="C8" s="17">
        <v>88.58</v>
      </c>
      <c r="D8" s="18">
        <v>85.7</v>
      </c>
      <c r="E8" s="18">
        <v>87.42</v>
      </c>
      <c r="F8" s="19">
        <v>87.42</v>
      </c>
      <c r="G8" s="20">
        <v>4591149.0</v>
      </c>
      <c r="I8" s="24"/>
      <c r="K8" s="16">
        <v>46048.0</v>
      </c>
      <c r="L8" s="18">
        <v>58.1</v>
      </c>
      <c r="M8" s="18">
        <v>58.89</v>
      </c>
      <c r="N8" s="18">
        <v>55.95</v>
      </c>
      <c r="O8" s="18">
        <v>57.79</v>
      </c>
      <c r="P8" s="19">
        <v>57.79</v>
      </c>
      <c r="Q8" s="20">
        <v>1.0179576E7</v>
      </c>
      <c r="S8" s="24"/>
      <c r="U8" s="16">
        <v>46048.0</v>
      </c>
      <c r="V8" s="17">
        <v>6923.23</v>
      </c>
      <c r="W8" s="17">
        <v>7002.28</v>
      </c>
      <c r="X8" s="17">
        <v>6870.8</v>
      </c>
      <c r="Y8" s="17">
        <v>6939.03</v>
      </c>
      <c r="Z8" s="22">
        <v>6939.03</v>
      </c>
      <c r="AA8" s="20">
        <v>2.938256E10</v>
      </c>
      <c r="AB8" s="20"/>
      <c r="AC8" s="20"/>
    </row>
    <row r="9" ht="15.75" customHeight="1">
      <c r="A9" s="16">
        <v>46041.0</v>
      </c>
      <c r="B9" s="17">
        <v>84.32</v>
      </c>
      <c r="C9" s="17">
        <v>90.18</v>
      </c>
      <c r="D9" s="18">
        <v>82.48</v>
      </c>
      <c r="E9" s="18">
        <v>87.62</v>
      </c>
      <c r="F9" s="19">
        <v>87.62</v>
      </c>
      <c r="G9" s="20">
        <v>5255141.0</v>
      </c>
      <c r="I9" s="24"/>
      <c r="K9" s="16">
        <v>46041.0</v>
      </c>
      <c r="L9" s="18">
        <v>56.37</v>
      </c>
      <c r="M9" s="18">
        <v>60.11</v>
      </c>
      <c r="N9" s="18">
        <v>54.89</v>
      </c>
      <c r="O9" s="18">
        <v>58.3</v>
      </c>
      <c r="P9" s="19">
        <v>58.3</v>
      </c>
      <c r="Q9" s="20">
        <v>1.2410831E7</v>
      </c>
      <c r="S9" s="24"/>
      <c r="U9" s="16">
        <v>46041.0</v>
      </c>
      <c r="V9" s="17">
        <v>6865.24</v>
      </c>
      <c r="W9" s="17">
        <v>6934.75</v>
      </c>
      <c r="X9" s="17">
        <v>6789.05</v>
      </c>
      <c r="Y9" s="17">
        <v>6915.61</v>
      </c>
      <c r="Z9" s="22">
        <v>6915.61</v>
      </c>
      <c r="AA9" s="20">
        <v>2.178453E10</v>
      </c>
      <c r="AB9" s="20"/>
      <c r="AC9" s="20"/>
    </row>
    <row r="10" ht="15.75" customHeight="1">
      <c r="A10" s="16">
        <v>46034.0</v>
      </c>
      <c r="B10" s="17">
        <v>91.74</v>
      </c>
      <c r="C10" s="17">
        <v>91.98</v>
      </c>
      <c r="D10" s="18">
        <v>88.2</v>
      </c>
      <c r="E10" s="18">
        <v>88.72</v>
      </c>
      <c r="F10" s="19">
        <v>88.72</v>
      </c>
      <c r="G10" s="20">
        <v>5235876.0</v>
      </c>
      <c r="I10" s="24"/>
      <c r="K10" s="16">
        <v>46034.0</v>
      </c>
      <c r="L10" s="18">
        <v>60.18</v>
      </c>
      <c r="M10" s="18">
        <v>61.12</v>
      </c>
      <c r="N10" s="18">
        <v>58.19</v>
      </c>
      <c r="O10" s="18">
        <v>58.82</v>
      </c>
      <c r="P10" s="19">
        <v>58.82</v>
      </c>
      <c r="Q10" s="20">
        <v>1.1669786E7</v>
      </c>
      <c r="S10" s="24"/>
      <c r="U10" s="16">
        <v>46034.0</v>
      </c>
      <c r="V10" s="17">
        <v>6944.12</v>
      </c>
      <c r="W10" s="17">
        <v>6986.33</v>
      </c>
      <c r="X10" s="17">
        <v>6885.74</v>
      </c>
      <c r="Y10" s="17">
        <v>6940.01</v>
      </c>
      <c r="Z10" s="22">
        <v>6940.01</v>
      </c>
      <c r="AA10" s="20">
        <v>2.61122E10</v>
      </c>
      <c r="AB10" s="20"/>
      <c r="AC10" s="20"/>
    </row>
    <row r="11" ht="15.75" customHeight="1">
      <c r="A11" s="16">
        <v>46027.0</v>
      </c>
      <c r="B11" s="17">
        <v>96.3</v>
      </c>
      <c r="C11" s="17">
        <v>97.3</v>
      </c>
      <c r="D11" s="18">
        <v>89.78</v>
      </c>
      <c r="E11" s="18">
        <v>92.02</v>
      </c>
      <c r="F11" s="19">
        <v>92.02</v>
      </c>
      <c r="G11" s="20">
        <v>4297330.0</v>
      </c>
      <c r="I11" s="24"/>
      <c r="K11" s="16">
        <v>46027.0</v>
      </c>
      <c r="L11" s="18">
        <v>61.6</v>
      </c>
      <c r="M11" s="18">
        <v>62.34</v>
      </c>
      <c r="N11" s="18">
        <v>58.79</v>
      </c>
      <c r="O11" s="18">
        <v>60.37</v>
      </c>
      <c r="P11" s="19">
        <v>60.37</v>
      </c>
      <c r="Q11" s="20">
        <v>1.0451462E7</v>
      </c>
      <c r="S11" s="24"/>
      <c r="U11" s="16">
        <v>46027.0</v>
      </c>
      <c r="V11" s="17">
        <v>6892.19</v>
      </c>
      <c r="W11" s="17">
        <v>6978.36</v>
      </c>
      <c r="X11" s="17">
        <v>6891.56</v>
      </c>
      <c r="Y11" s="17">
        <v>6966.28</v>
      </c>
      <c r="Z11" s="22">
        <v>6966.28</v>
      </c>
      <c r="AA11" s="20">
        <v>2.699319E10</v>
      </c>
      <c r="AB11" s="20"/>
      <c r="AC11" s="20"/>
    </row>
    <row r="12" ht="15.75" customHeight="1">
      <c r="A12" s="16">
        <v>46020.0</v>
      </c>
      <c r="B12" s="17">
        <v>92.68</v>
      </c>
      <c r="C12" s="17">
        <v>96.32</v>
      </c>
      <c r="D12" s="18">
        <v>92.34</v>
      </c>
      <c r="E12" s="18">
        <v>96.32</v>
      </c>
      <c r="F12" s="19">
        <v>96.32</v>
      </c>
      <c r="G12" s="20">
        <v>1449552.0</v>
      </c>
      <c r="I12" s="24"/>
      <c r="K12" s="16">
        <v>46020.0</v>
      </c>
      <c r="L12" s="18">
        <v>59.25</v>
      </c>
      <c r="M12" s="18">
        <v>62.03</v>
      </c>
      <c r="N12" s="18">
        <v>59.25</v>
      </c>
      <c r="O12" s="18">
        <v>61.93</v>
      </c>
      <c r="P12" s="19">
        <v>61.93</v>
      </c>
      <c r="Q12" s="20">
        <v>4890034.0</v>
      </c>
      <c r="S12" s="24"/>
      <c r="U12" s="16">
        <v>46020.0</v>
      </c>
      <c r="V12" s="17">
        <v>6903.6</v>
      </c>
      <c r="W12" s="17">
        <v>6920.21</v>
      </c>
      <c r="X12" s="17">
        <v>6824.31</v>
      </c>
      <c r="Y12" s="17">
        <v>6858.47</v>
      </c>
      <c r="Z12" s="22">
        <v>6858.47</v>
      </c>
      <c r="AA12" s="20">
        <v>1.429763E10</v>
      </c>
      <c r="AB12" s="20"/>
      <c r="AC12" s="20"/>
    </row>
    <row r="13" ht="15.75" customHeight="1">
      <c r="A13" s="16">
        <v>46013.0</v>
      </c>
      <c r="B13" s="17">
        <v>94.0</v>
      </c>
      <c r="C13" s="17">
        <v>94.04</v>
      </c>
      <c r="D13" s="18">
        <v>92.14</v>
      </c>
      <c r="E13" s="18">
        <v>92.66</v>
      </c>
      <c r="F13" s="19">
        <v>92.66</v>
      </c>
      <c r="G13" s="20">
        <v>701590.0</v>
      </c>
      <c r="I13" s="24"/>
      <c r="K13" s="16">
        <v>46013.0</v>
      </c>
      <c r="L13" s="18">
        <v>60.13</v>
      </c>
      <c r="M13" s="18">
        <v>60.17</v>
      </c>
      <c r="N13" s="18">
        <v>59.11</v>
      </c>
      <c r="O13" s="18">
        <v>59.3</v>
      </c>
      <c r="P13" s="19">
        <v>59.3</v>
      </c>
      <c r="Q13" s="20">
        <v>1809422.0</v>
      </c>
      <c r="S13" s="24"/>
      <c r="U13" s="16">
        <v>46013.0</v>
      </c>
      <c r="V13" s="17">
        <v>6865.21</v>
      </c>
      <c r="W13" s="17">
        <v>6945.77</v>
      </c>
      <c r="X13" s="17">
        <v>6855.74</v>
      </c>
      <c r="Y13" s="17">
        <v>6929.94</v>
      </c>
      <c r="Z13" s="22">
        <v>6929.94</v>
      </c>
      <c r="AA13" s="20">
        <v>1.267041E10</v>
      </c>
      <c r="AB13" s="20"/>
      <c r="AC13" s="20"/>
    </row>
    <row r="14" ht="15.75" customHeight="1">
      <c r="A14" s="16">
        <v>46006.0</v>
      </c>
      <c r="B14" s="17">
        <v>96.14</v>
      </c>
      <c r="C14" s="17">
        <v>96.14</v>
      </c>
      <c r="D14" s="18">
        <v>93.0</v>
      </c>
      <c r="E14" s="18">
        <v>93.62</v>
      </c>
      <c r="F14" s="19">
        <v>93.62</v>
      </c>
      <c r="G14" s="20">
        <v>3783486.0</v>
      </c>
      <c r="I14" s="24"/>
      <c r="K14" s="16">
        <v>46006.0</v>
      </c>
      <c r="L14" s="18">
        <v>61.69</v>
      </c>
      <c r="M14" s="18">
        <v>61.78</v>
      </c>
      <c r="N14" s="18">
        <v>59.46</v>
      </c>
      <c r="O14" s="18">
        <v>59.84</v>
      </c>
      <c r="P14" s="19">
        <v>59.84</v>
      </c>
      <c r="Q14" s="20">
        <v>6066903.0</v>
      </c>
      <c r="S14" s="24"/>
      <c r="U14" s="16">
        <v>46006.0</v>
      </c>
      <c r="V14" s="17">
        <v>6860.19</v>
      </c>
      <c r="W14" s="17">
        <v>6861.59</v>
      </c>
      <c r="X14" s="17">
        <v>6720.43</v>
      </c>
      <c r="Y14" s="17">
        <v>6834.5</v>
      </c>
      <c r="Z14" s="22">
        <v>6834.5</v>
      </c>
      <c r="AA14" s="20">
        <v>2.873656E10</v>
      </c>
      <c r="AB14" s="20"/>
      <c r="AC14" s="20"/>
    </row>
    <row r="15" ht="15.75" customHeight="1">
      <c r="A15" s="16">
        <v>45999.0</v>
      </c>
      <c r="B15" s="17">
        <v>95.94</v>
      </c>
      <c r="C15" s="17">
        <v>97.92</v>
      </c>
      <c r="D15" s="18">
        <v>93.66</v>
      </c>
      <c r="E15" s="18">
        <v>96.14</v>
      </c>
      <c r="F15" s="19">
        <v>96.14</v>
      </c>
      <c r="G15" s="20">
        <v>4291566.0</v>
      </c>
      <c r="I15" s="24"/>
      <c r="K15" s="16">
        <v>45999.0</v>
      </c>
      <c r="L15" s="18">
        <v>61.31</v>
      </c>
      <c r="M15" s="18">
        <v>62.03</v>
      </c>
      <c r="N15" s="18">
        <v>59.82</v>
      </c>
      <c r="O15" s="18">
        <v>61.69</v>
      </c>
      <c r="P15" s="19">
        <v>61.69</v>
      </c>
      <c r="Q15" s="20">
        <v>8168263.0</v>
      </c>
      <c r="S15" s="24"/>
      <c r="U15" s="16">
        <v>45999.0</v>
      </c>
      <c r="V15" s="17">
        <v>6875.2</v>
      </c>
      <c r="W15" s="17">
        <v>6903.46</v>
      </c>
      <c r="X15" s="17">
        <v>6801.79</v>
      </c>
      <c r="Y15" s="17">
        <v>6827.41</v>
      </c>
      <c r="Z15" s="22">
        <v>6827.41</v>
      </c>
      <c r="AA15" s="20">
        <v>2.472297E10</v>
      </c>
      <c r="AB15" s="20"/>
      <c r="AC15" s="20"/>
    </row>
    <row r="16" ht="15.75" customHeight="1">
      <c r="A16" s="16">
        <v>45992.0</v>
      </c>
      <c r="B16" s="17">
        <v>88.0</v>
      </c>
      <c r="C16" s="17">
        <v>97.04</v>
      </c>
      <c r="D16" s="18">
        <v>87.58</v>
      </c>
      <c r="E16" s="18">
        <v>96.46</v>
      </c>
      <c r="F16" s="19">
        <v>96.46</v>
      </c>
      <c r="G16" s="20">
        <v>6299268.0</v>
      </c>
      <c r="I16" s="24"/>
      <c r="K16" s="16">
        <v>45992.0</v>
      </c>
      <c r="L16" s="18">
        <v>58.2</v>
      </c>
      <c r="M16" s="18">
        <v>61.68</v>
      </c>
      <c r="N16" s="18">
        <v>56.88</v>
      </c>
      <c r="O16" s="18">
        <v>61.6</v>
      </c>
      <c r="P16" s="19">
        <v>61.6</v>
      </c>
      <c r="Q16" s="20">
        <v>1.294949E7</v>
      </c>
      <c r="S16" s="24"/>
      <c r="U16" s="16">
        <v>45992.0</v>
      </c>
      <c r="V16" s="17">
        <v>6812.3</v>
      </c>
      <c r="W16" s="17">
        <v>6895.78</v>
      </c>
      <c r="X16" s="17">
        <v>6799.94</v>
      </c>
      <c r="Y16" s="17">
        <v>6870.4</v>
      </c>
      <c r="Z16" s="22">
        <v>6870.4</v>
      </c>
      <c r="AA16" s="20">
        <v>2.368544E10</v>
      </c>
      <c r="AB16" s="20"/>
      <c r="AC16" s="20"/>
    </row>
    <row r="17" ht="15.75" customHeight="1">
      <c r="A17" s="16">
        <v>45985.0</v>
      </c>
      <c r="B17" s="17">
        <v>86.8</v>
      </c>
      <c r="C17" s="17">
        <v>88.52</v>
      </c>
      <c r="D17" s="18">
        <v>85.76</v>
      </c>
      <c r="E17" s="18">
        <v>88.04</v>
      </c>
      <c r="F17" s="19">
        <v>88.04</v>
      </c>
      <c r="G17" s="20">
        <v>3426058.0</v>
      </c>
      <c r="I17" s="24"/>
      <c r="K17" s="16">
        <v>45985.0</v>
      </c>
      <c r="L17" s="18">
        <v>58.09</v>
      </c>
      <c r="M17" s="18">
        <v>58.48</v>
      </c>
      <c r="N17" s="18">
        <v>56.94</v>
      </c>
      <c r="O17" s="18">
        <v>58.16</v>
      </c>
      <c r="P17" s="19">
        <v>58.16</v>
      </c>
      <c r="Q17" s="20">
        <v>8502451.0</v>
      </c>
      <c r="S17" s="24"/>
      <c r="U17" s="16">
        <v>45985.0</v>
      </c>
      <c r="V17" s="17">
        <v>6636.54</v>
      </c>
      <c r="W17" s="17">
        <v>6850.86</v>
      </c>
      <c r="X17" s="17">
        <v>6630.7</v>
      </c>
      <c r="Y17" s="17">
        <v>6849.09</v>
      </c>
      <c r="Z17" s="22">
        <v>6849.09</v>
      </c>
      <c r="AA17" s="20">
        <v>1.808661E10</v>
      </c>
      <c r="AB17" s="20"/>
      <c r="AC17" s="20"/>
    </row>
    <row r="18" ht="15.75" customHeight="1">
      <c r="A18" s="16">
        <v>45978.0</v>
      </c>
      <c r="B18" s="17">
        <v>88.52</v>
      </c>
      <c r="C18" s="17">
        <v>89.0</v>
      </c>
      <c r="D18" s="18">
        <v>83.58</v>
      </c>
      <c r="E18" s="18">
        <v>85.08</v>
      </c>
      <c r="F18" s="19">
        <v>85.08</v>
      </c>
      <c r="G18" s="20">
        <v>3155509.0</v>
      </c>
      <c r="I18" s="24"/>
      <c r="K18" s="16">
        <v>45978.0</v>
      </c>
      <c r="L18" s="18">
        <v>59.33</v>
      </c>
      <c r="M18" s="18">
        <v>59.68</v>
      </c>
      <c r="N18" s="18">
        <v>55.97</v>
      </c>
      <c r="O18" s="18">
        <v>57.02</v>
      </c>
      <c r="P18" s="19">
        <v>57.02</v>
      </c>
      <c r="Q18" s="20">
        <v>8390400.0</v>
      </c>
      <c r="S18" s="24"/>
      <c r="U18" s="16">
        <v>45978.0</v>
      </c>
      <c r="V18" s="17">
        <v>6713.61</v>
      </c>
      <c r="W18" s="17">
        <v>6770.35</v>
      </c>
      <c r="X18" s="17">
        <v>6521.92</v>
      </c>
      <c r="Y18" s="17">
        <v>6602.99</v>
      </c>
      <c r="Z18" s="22">
        <v>6602.99</v>
      </c>
      <c r="AA18" s="20">
        <v>2.691123E10</v>
      </c>
      <c r="AB18" s="20"/>
      <c r="AC18" s="20"/>
    </row>
    <row r="19" ht="15.75" customHeight="1">
      <c r="A19" s="16">
        <v>45971.0</v>
      </c>
      <c r="B19" s="17">
        <v>86.7</v>
      </c>
      <c r="C19" s="17">
        <v>89.82</v>
      </c>
      <c r="D19" s="18">
        <v>85.66</v>
      </c>
      <c r="E19" s="18">
        <v>88.74</v>
      </c>
      <c r="F19" s="19">
        <v>88.74</v>
      </c>
      <c r="G19" s="20">
        <v>3061530.0</v>
      </c>
      <c r="I19" s="24"/>
      <c r="K19" s="16">
        <v>45971.0</v>
      </c>
      <c r="L19" s="18">
        <v>58.94</v>
      </c>
      <c r="M19" s="18">
        <v>60.0</v>
      </c>
      <c r="N19" s="18">
        <v>57.85</v>
      </c>
      <c r="O19" s="18">
        <v>59.56</v>
      </c>
      <c r="P19" s="19">
        <v>59.56</v>
      </c>
      <c r="Q19" s="20">
        <v>7992072.0</v>
      </c>
      <c r="S19" s="24"/>
      <c r="U19" s="16">
        <v>45971.0</v>
      </c>
      <c r="V19" s="17">
        <v>6785.36</v>
      </c>
      <c r="W19" s="17">
        <v>6869.91</v>
      </c>
      <c r="X19" s="17">
        <v>6646.87</v>
      </c>
      <c r="Y19" s="17">
        <v>6734.11</v>
      </c>
      <c r="Z19" s="22">
        <v>6734.11</v>
      </c>
      <c r="AA19" s="20">
        <v>2.615953E10</v>
      </c>
      <c r="AB19" s="20"/>
      <c r="AC19" s="20"/>
    </row>
    <row r="20" ht="15.75" customHeight="1">
      <c r="A20" s="16">
        <v>45964.0</v>
      </c>
      <c r="B20" s="17">
        <v>80.64</v>
      </c>
      <c r="C20" s="17">
        <v>86.42</v>
      </c>
      <c r="D20" s="18">
        <v>78.88</v>
      </c>
      <c r="E20" s="18">
        <v>84.3</v>
      </c>
      <c r="F20" s="19">
        <v>84.3</v>
      </c>
      <c r="G20" s="20">
        <v>4610686.0</v>
      </c>
      <c r="I20" s="24"/>
      <c r="K20" s="16">
        <v>45964.0</v>
      </c>
      <c r="L20" s="18">
        <v>56.4</v>
      </c>
      <c r="M20" s="18">
        <v>58.8</v>
      </c>
      <c r="N20" s="18">
        <v>55.65</v>
      </c>
      <c r="O20" s="18">
        <v>58.19</v>
      </c>
      <c r="P20" s="19">
        <v>58.19</v>
      </c>
      <c r="Q20" s="20">
        <v>9841109.0</v>
      </c>
      <c r="S20" s="24"/>
      <c r="U20" s="16">
        <v>45964.0</v>
      </c>
      <c r="V20" s="17">
        <v>6882.32</v>
      </c>
      <c r="W20" s="17">
        <v>6882.32</v>
      </c>
      <c r="X20" s="17">
        <v>6631.44</v>
      </c>
      <c r="Y20" s="17">
        <v>6728.8</v>
      </c>
      <c r="Z20" s="22">
        <v>6728.8</v>
      </c>
      <c r="AA20" s="20">
        <v>2.97228E10</v>
      </c>
      <c r="AB20" s="20"/>
      <c r="AC20" s="20"/>
    </row>
    <row r="21" ht="15.75" customHeight="1">
      <c r="A21" s="16">
        <v>45957.0</v>
      </c>
      <c r="B21" s="17">
        <v>81.4</v>
      </c>
      <c r="C21" s="17">
        <v>83.32</v>
      </c>
      <c r="D21" s="18">
        <v>80.7</v>
      </c>
      <c r="E21" s="18">
        <v>80.72</v>
      </c>
      <c r="F21" s="19">
        <v>80.72</v>
      </c>
      <c r="G21" s="20">
        <v>3879822.0</v>
      </c>
      <c r="I21" s="24"/>
      <c r="K21" s="16">
        <v>45957.0</v>
      </c>
      <c r="L21" s="18">
        <v>53.79</v>
      </c>
      <c r="M21" s="18">
        <v>58.95</v>
      </c>
      <c r="N21" s="18">
        <v>53.46</v>
      </c>
      <c r="O21" s="18">
        <v>56.21</v>
      </c>
      <c r="P21" s="19">
        <v>56.21</v>
      </c>
      <c r="Q21" s="20">
        <v>1.4747271E7</v>
      </c>
      <c r="S21" s="24"/>
      <c r="U21" s="16">
        <v>45957.0</v>
      </c>
      <c r="V21" s="17">
        <v>6845.46</v>
      </c>
      <c r="W21" s="17">
        <v>6920.34</v>
      </c>
      <c r="X21" s="17">
        <v>6814.26</v>
      </c>
      <c r="Y21" s="17">
        <v>6840.2</v>
      </c>
      <c r="Z21" s="22">
        <v>6840.2</v>
      </c>
      <c r="AA21" s="20">
        <v>2.971769E10</v>
      </c>
      <c r="AB21" s="20"/>
      <c r="AC21" s="20"/>
    </row>
    <row r="22" ht="15.75" customHeight="1">
      <c r="A22" s="16">
        <v>45950.0</v>
      </c>
      <c r="B22" s="17">
        <v>80.42</v>
      </c>
      <c r="C22" s="17">
        <v>81.78</v>
      </c>
      <c r="D22" s="18">
        <v>79.28</v>
      </c>
      <c r="E22" s="18">
        <v>81.16</v>
      </c>
      <c r="F22" s="19">
        <v>81.16</v>
      </c>
      <c r="G22" s="20">
        <v>4966356.0</v>
      </c>
      <c r="I22" s="24"/>
      <c r="K22" s="16">
        <v>45950.0</v>
      </c>
      <c r="L22" s="18">
        <v>53.17</v>
      </c>
      <c r="M22" s="18">
        <v>54.56</v>
      </c>
      <c r="N22" s="18">
        <v>52.07</v>
      </c>
      <c r="O22" s="18">
        <v>53.75</v>
      </c>
      <c r="P22" s="19">
        <v>53.75</v>
      </c>
      <c r="Q22" s="20">
        <v>8526583.0</v>
      </c>
      <c r="S22" s="24"/>
      <c r="U22" s="16">
        <v>45950.0</v>
      </c>
      <c r="V22" s="17">
        <v>6690.05</v>
      </c>
      <c r="W22" s="17">
        <v>6807.11</v>
      </c>
      <c r="X22" s="17">
        <v>6655.69</v>
      </c>
      <c r="Y22" s="17">
        <v>6791.69</v>
      </c>
      <c r="Z22" s="22">
        <v>6791.69</v>
      </c>
      <c r="AA22" s="20">
        <v>2.625117E10</v>
      </c>
      <c r="AB22" s="20"/>
      <c r="AC22" s="20"/>
    </row>
    <row r="23" ht="15.75" customHeight="1">
      <c r="A23" s="16">
        <v>45943.0</v>
      </c>
      <c r="B23" s="17">
        <v>79.1</v>
      </c>
      <c r="C23" s="17">
        <v>80.54</v>
      </c>
      <c r="D23" s="18">
        <v>78.14</v>
      </c>
      <c r="E23" s="18">
        <v>80.22</v>
      </c>
      <c r="F23" s="19">
        <v>80.22</v>
      </c>
      <c r="G23" s="20">
        <v>4123850.0</v>
      </c>
      <c r="I23" s="24"/>
      <c r="K23" s="16">
        <v>45943.0</v>
      </c>
      <c r="L23" s="18">
        <v>53.69</v>
      </c>
      <c r="M23" s="18">
        <v>53.92</v>
      </c>
      <c r="N23" s="18">
        <v>51.78</v>
      </c>
      <c r="O23" s="18">
        <v>53.37</v>
      </c>
      <c r="P23" s="19">
        <v>53.37</v>
      </c>
      <c r="Q23" s="20">
        <v>8145533.0</v>
      </c>
      <c r="S23" s="24"/>
      <c r="U23" s="16">
        <v>45943.0</v>
      </c>
      <c r="V23" s="17">
        <v>6622.53</v>
      </c>
      <c r="W23" s="17">
        <v>6724.12</v>
      </c>
      <c r="X23" s="17">
        <v>6555.07</v>
      </c>
      <c r="Y23" s="17">
        <v>6664.01</v>
      </c>
      <c r="Z23" s="22">
        <v>6664.01</v>
      </c>
      <c r="AA23" s="20">
        <v>2.801024E10</v>
      </c>
      <c r="AB23" s="20"/>
      <c r="AC23" s="20"/>
    </row>
    <row r="24" ht="15.75" customHeight="1">
      <c r="A24" s="16">
        <v>45936.0</v>
      </c>
      <c r="B24" s="17">
        <v>86.82</v>
      </c>
      <c r="C24" s="17">
        <v>89.96</v>
      </c>
      <c r="D24" s="18">
        <v>78.02</v>
      </c>
      <c r="E24" s="18">
        <v>78.48</v>
      </c>
      <c r="F24" s="19">
        <v>78.48</v>
      </c>
      <c r="G24" s="20">
        <v>1.3291467E7</v>
      </c>
      <c r="I24" s="24"/>
      <c r="K24" s="16">
        <v>45936.0</v>
      </c>
      <c r="L24" s="18">
        <v>55.41</v>
      </c>
      <c r="M24" s="18">
        <v>55.89</v>
      </c>
      <c r="N24" s="18">
        <v>52.78</v>
      </c>
      <c r="O24" s="18">
        <v>53.2</v>
      </c>
      <c r="P24" s="19">
        <v>53.2</v>
      </c>
      <c r="Q24" s="20">
        <v>1.120605E7</v>
      </c>
      <c r="S24" s="24"/>
      <c r="U24" s="16">
        <v>45936.0</v>
      </c>
      <c r="V24" s="17">
        <v>6733.86</v>
      </c>
      <c r="W24" s="17">
        <v>6764.58</v>
      </c>
      <c r="X24" s="17">
        <v>6550.78</v>
      </c>
      <c r="Y24" s="17">
        <v>6552.51</v>
      </c>
      <c r="Z24" s="22">
        <v>6552.51</v>
      </c>
      <c r="AA24" s="20">
        <v>2.851537E10</v>
      </c>
      <c r="AB24" s="20"/>
      <c r="AC24" s="20"/>
    </row>
    <row r="25" ht="15.75" customHeight="1">
      <c r="A25" s="16">
        <v>45929.0</v>
      </c>
      <c r="B25" s="17">
        <v>85.92</v>
      </c>
      <c r="C25" s="17">
        <v>87.44</v>
      </c>
      <c r="D25" s="18">
        <v>84.72</v>
      </c>
      <c r="E25" s="18">
        <v>86.42</v>
      </c>
      <c r="F25" s="19">
        <v>86.42</v>
      </c>
      <c r="G25" s="20">
        <v>2354294.0</v>
      </c>
      <c r="I25" s="24"/>
      <c r="K25" s="16">
        <v>45929.0</v>
      </c>
      <c r="L25" s="18">
        <v>53.35</v>
      </c>
      <c r="M25" s="18">
        <v>55.58</v>
      </c>
      <c r="N25" s="18">
        <v>53.05</v>
      </c>
      <c r="O25" s="18">
        <v>55.41</v>
      </c>
      <c r="P25" s="19">
        <v>55.41</v>
      </c>
      <c r="Q25" s="20">
        <v>7545380.0</v>
      </c>
      <c r="S25" s="24"/>
      <c r="U25" s="16">
        <v>45929.0</v>
      </c>
      <c r="V25" s="17">
        <v>6661.58</v>
      </c>
      <c r="W25" s="17">
        <v>6750.87</v>
      </c>
      <c r="X25" s="17">
        <v>6641.0</v>
      </c>
      <c r="Y25" s="17">
        <v>6715.79</v>
      </c>
      <c r="Z25" s="22">
        <v>6715.79</v>
      </c>
      <c r="AA25" s="20">
        <v>2.858316E10</v>
      </c>
      <c r="AB25" s="20"/>
      <c r="AC25" s="20"/>
    </row>
    <row r="26" ht="15.75" customHeight="1">
      <c r="A26" s="16">
        <v>45922.0</v>
      </c>
      <c r="B26" s="17">
        <v>83.26</v>
      </c>
      <c r="C26" s="17">
        <v>86.76</v>
      </c>
      <c r="D26" s="18">
        <v>82.34</v>
      </c>
      <c r="E26" s="18">
        <v>85.74</v>
      </c>
      <c r="F26" s="19">
        <v>85.74</v>
      </c>
      <c r="G26" s="20">
        <v>3508236.0</v>
      </c>
      <c r="I26" s="24"/>
      <c r="K26" s="16">
        <v>45922.0</v>
      </c>
      <c r="L26" s="18">
        <v>51.48</v>
      </c>
      <c r="M26" s="18">
        <v>53.65</v>
      </c>
      <c r="N26" s="18">
        <v>50.39</v>
      </c>
      <c r="O26" s="18">
        <v>53.32</v>
      </c>
      <c r="P26" s="19">
        <v>53.32</v>
      </c>
      <c r="Q26" s="20">
        <v>9622860.0</v>
      </c>
      <c r="S26" s="24"/>
      <c r="U26" s="16">
        <v>45922.0</v>
      </c>
      <c r="V26" s="17">
        <v>6654.28</v>
      </c>
      <c r="W26" s="17">
        <v>6699.52</v>
      </c>
      <c r="X26" s="17">
        <v>6569.22</v>
      </c>
      <c r="Y26" s="17">
        <v>6643.7</v>
      </c>
      <c r="Z26" s="22">
        <v>6643.7</v>
      </c>
      <c r="AA26" s="20">
        <v>2.77132E10</v>
      </c>
      <c r="AB26" s="20"/>
      <c r="AC26" s="20"/>
    </row>
    <row r="27" ht="15.75" customHeight="1">
      <c r="A27" s="16">
        <v>45915.0</v>
      </c>
      <c r="B27" s="17">
        <v>84.26</v>
      </c>
      <c r="C27" s="17">
        <v>84.44</v>
      </c>
      <c r="D27" s="18">
        <v>82.22</v>
      </c>
      <c r="E27" s="18">
        <v>83.26</v>
      </c>
      <c r="F27" s="19">
        <v>83.26</v>
      </c>
      <c r="G27" s="20">
        <v>5579131.0</v>
      </c>
      <c r="I27" s="24"/>
      <c r="K27" s="16">
        <v>45915.0</v>
      </c>
      <c r="L27" s="18">
        <v>51.91</v>
      </c>
      <c r="M27" s="18">
        <v>52.31</v>
      </c>
      <c r="N27" s="18">
        <v>50.39</v>
      </c>
      <c r="O27" s="18">
        <v>51.48</v>
      </c>
      <c r="P27" s="19">
        <v>51.48</v>
      </c>
      <c r="Q27" s="20">
        <v>1.439917E7</v>
      </c>
      <c r="S27" s="24"/>
      <c r="U27" s="16">
        <v>45915.0</v>
      </c>
      <c r="V27" s="17">
        <v>6603.49</v>
      </c>
      <c r="W27" s="17">
        <v>6671.82</v>
      </c>
      <c r="X27" s="17">
        <v>6551.15</v>
      </c>
      <c r="Y27" s="17">
        <v>6664.36</v>
      </c>
      <c r="Z27" s="22">
        <v>6664.36</v>
      </c>
      <c r="AA27" s="20">
        <v>3.062823E10</v>
      </c>
      <c r="AB27" s="20"/>
      <c r="AC27" s="20"/>
    </row>
    <row r="28" ht="15.75" customHeight="1">
      <c r="A28" s="16">
        <v>45908.0</v>
      </c>
      <c r="B28" s="17">
        <v>88.8</v>
      </c>
      <c r="C28" s="17">
        <v>89.16</v>
      </c>
      <c r="D28" s="18">
        <v>82.56</v>
      </c>
      <c r="E28" s="18">
        <v>83.82</v>
      </c>
      <c r="F28" s="19">
        <v>83.82</v>
      </c>
      <c r="G28" s="20">
        <v>6872965.0</v>
      </c>
      <c r="I28" s="24"/>
      <c r="K28" s="16">
        <v>45908.0</v>
      </c>
      <c r="L28" s="18">
        <v>53.0</v>
      </c>
      <c r="M28" s="18">
        <v>53.49</v>
      </c>
      <c r="N28" s="18">
        <v>50.63</v>
      </c>
      <c r="O28" s="18">
        <v>51.69</v>
      </c>
      <c r="P28" s="19">
        <v>51.69</v>
      </c>
      <c r="Q28" s="20">
        <v>9992871.0</v>
      </c>
      <c r="S28" s="24"/>
      <c r="U28" s="16">
        <v>45908.0</v>
      </c>
      <c r="V28" s="17">
        <v>6498.09</v>
      </c>
      <c r="W28" s="17">
        <v>6600.21</v>
      </c>
      <c r="X28" s="17">
        <v>6483.08</v>
      </c>
      <c r="Y28" s="17">
        <v>6584.29</v>
      </c>
      <c r="Z28" s="22">
        <v>6584.29</v>
      </c>
      <c r="AA28" s="20">
        <v>2.533096E10</v>
      </c>
      <c r="AB28" s="20"/>
      <c r="AC28" s="20"/>
    </row>
    <row r="29" ht="15.75" customHeight="1">
      <c r="A29" s="16">
        <v>45901.0</v>
      </c>
      <c r="B29" s="17">
        <v>89.9</v>
      </c>
      <c r="C29" s="17">
        <v>90.7</v>
      </c>
      <c r="D29" s="18">
        <v>88.22</v>
      </c>
      <c r="E29" s="18">
        <v>88.44</v>
      </c>
      <c r="F29" s="19">
        <v>88.44</v>
      </c>
      <c r="G29" s="20">
        <v>2720245.0</v>
      </c>
      <c r="I29" s="24"/>
      <c r="K29" s="16">
        <v>45901.0</v>
      </c>
      <c r="L29" s="18">
        <v>53.58</v>
      </c>
      <c r="M29" s="18">
        <v>53.95</v>
      </c>
      <c r="N29" s="18">
        <v>52.82</v>
      </c>
      <c r="O29" s="18">
        <v>52.92</v>
      </c>
      <c r="P29" s="19">
        <v>52.92</v>
      </c>
      <c r="Q29" s="20">
        <v>6014514.0</v>
      </c>
      <c r="S29" s="24"/>
      <c r="U29" s="16">
        <v>45901.0</v>
      </c>
      <c r="V29" s="17">
        <v>6401.51</v>
      </c>
      <c r="W29" s="17">
        <v>6532.65</v>
      </c>
      <c r="X29" s="17">
        <v>6360.58</v>
      </c>
      <c r="Y29" s="17">
        <v>6481.5</v>
      </c>
      <c r="Z29" s="22">
        <v>6481.5</v>
      </c>
      <c r="AA29" s="20">
        <v>1.898625E10</v>
      </c>
      <c r="AB29" s="20"/>
      <c r="AC29" s="20"/>
    </row>
    <row r="30" ht="15.75" customHeight="1">
      <c r="A30" s="16">
        <v>45894.0</v>
      </c>
      <c r="B30" s="17">
        <v>91.38</v>
      </c>
      <c r="C30" s="17">
        <v>91.62</v>
      </c>
      <c r="D30" s="18">
        <v>88.96</v>
      </c>
      <c r="E30" s="18">
        <v>89.46</v>
      </c>
      <c r="F30" s="19">
        <v>89.46</v>
      </c>
      <c r="G30" s="20">
        <v>3500404.0</v>
      </c>
      <c r="I30" s="24"/>
      <c r="K30" s="16">
        <v>45894.0</v>
      </c>
      <c r="L30" s="18">
        <v>55.0</v>
      </c>
      <c r="M30" s="18">
        <v>55.1</v>
      </c>
      <c r="N30" s="18">
        <v>52.9</v>
      </c>
      <c r="O30" s="18">
        <v>53.35</v>
      </c>
      <c r="P30" s="19">
        <v>53.35</v>
      </c>
      <c r="Q30" s="20">
        <v>7293897.0</v>
      </c>
      <c r="S30" s="24"/>
      <c r="U30" s="16">
        <v>45894.0</v>
      </c>
      <c r="V30" s="17">
        <v>6457.67</v>
      </c>
      <c r="W30" s="17">
        <v>6508.23</v>
      </c>
      <c r="X30" s="17">
        <v>6429.21</v>
      </c>
      <c r="Y30" s="17">
        <v>6460.26</v>
      </c>
      <c r="Z30" s="22">
        <v>6460.26</v>
      </c>
      <c r="AA30" s="20">
        <v>2.158903E10</v>
      </c>
      <c r="AB30" s="20"/>
      <c r="AC30" s="20"/>
    </row>
    <row r="31" ht="15.75" customHeight="1">
      <c r="A31" s="16">
        <v>45887.0</v>
      </c>
      <c r="B31" s="17">
        <v>89.66</v>
      </c>
      <c r="C31" s="17">
        <v>91.72</v>
      </c>
      <c r="D31" s="18">
        <v>88.62</v>
      </c>
      <c r="E31" s="18">
        <v>91.42</v>
      </c>
      <c r="F31" s="19">
        <v>91.42</v>
      </c>
      <c r="G31" s="20">
        <v>3465886.0</v>
      </c>
      <c r="I31" s="24"/>
      <c r="K31" s="16">
        <v>45887.0</v>
      </c>
      <c r="L31" s="18">
        <v>53.22</v>
      </c>
      <c r="M31" s="18">
        <v>55.37</v>
      </c>
      <c r="N31" s="18">
        <v>52.54</v>
      </c>
      <c r="O31" s="18">
        <v>55.14</v>
      </c>
      <c r="P31" s="19">
        <v>55.14</v>
      </c>
      <c r="Q31" s="20">
        <v>7774182.0</v>
      </c>
      <c r="S31" s="24"/>
      <c r="U31" s="16">
        <v>45887.0</v>
      </c>
      <c r="V31" s="17">
        <v>6445.02</v>
      </c>
      <c r="W31" s="17">
        <v>6478.89</v>
      </c>
      <c r="X31" s="17">
        <v>6343.86</v>
      </c>
      <c r="Y31" s="17">
        <v>6466.91</v>
      </c>
      <c r="Z31" s="22">
        <v>6466.91</v>
      </c>
      <c r="AA31" s="20">
        <v>2.207054E10</v>
      </c>
      <c r="AB31" s="20"/>
      <c r="AC31" s="20"/>
    </row>
    <row r="32" ht="15.75" customHeight="1">
      <c r="A32" s="16">
        <v>45880.0</v>
      </c>
      <c r="B32" s="17">
        <v>87.9</v>
      </c>
      <c r="C32" s="17">
        <v>90.92</v>
      </c>
      <c r="D32" s="18">
        <v>86.2</v>
      </c>
      <c r="E32" s="18">
        <v>90.14</v>
      </c>
      <c r="F32" s="19">
        <v>90.14</v>
      </c>
      <c r="G32" s="20">
        <v>3977210.0</v>
      </c>
      <c r="I32" s="24"/>
      <c r="K32" s="16">
        <v>45880.0</v>
      </c>
      <c r="L32" s="18">
        <v>52.41</v>
      </c>
      <c r="M32" s="18">
        <v>54.26</v>
      </c>
      <c r="N32" s="18">
        <v>51.53</v>
      </c>
      <c r="O32" s="18">
        <v>53.51</v>
      </c>
      <c r="P32" s="19">
        <v>53.51</v>
      </c>
      <c r="Q32" s="20">
        <v>5728449.0</v>
      </c>
      <c r="S32" s="24"/>
      <c r="U32" s="16">
        <v>45880.0</v>
      </c>
      <c r="V32" s="17">
        <v>6389.67</v>
      </c>
      <c r="W32" s="17">
        <v>6481.34</v>
      </c>
      <c r="X32" s="17">
        <v>6364.06</v>
      </c>
      <c r="Y32" s="17">
        <v>6449.8</v>
      </c>
      <c r="Z32" s="22">
        <v>6449.8</v>
      </c>
      <c r="AA32" s="20">
        <v>2.402076E10</v>
      </c>
      <c r="AB32" s="20"/>
      <c r="AC32" s="20"/>
    </row>
    <row r="33" ht="15.75" customHeight="1">
      <c r="A33" s="16">
        <v>45873.0</v>
      </c>
      <c r="B33" s="17">
        <v>82.04</v>
      </c>
      <c r="C33" s="17">
        <v>87.98</v>
      </c>
      <c r="D33" s="18">
        <v>81.6</v>
      </c>
      <c r="E33" s="18">
        <v>87.44</v>
      </c>
      <c r="F33" s="19">
        <v>87.44</v>
      </c>
      <c r="G33" s="20">
        <v>4724225.0</v>
      </c>
      <c r="I33" s="24"/>
      <c r="K33" s="16">
        <v>45873.0</v>
      </c>
      <c r="L33" s="18">
        <v>49.15</v>
      </c>
      <c r="M33" s="18">
        <v>52.38</v>
      </c>
      <c r="N33" s="18">
        <v>48.69</v>
      </c>
      <c r="O33" s="18">
        <v>52.12</v>
      </c>
      <c r="P33" s="19">
        <v>52.12</v>
      </c>
      <c r="Q33" s="20">
        <v>8795569.0</v>
      </c>
      <c r="S33" s="24"/>
      <c r="U33" s="16">
        <v>45873.0</v>
      </c>
      <c r="V33" s="17">
        <v>6271.71</v>
      </c>
      <c r="W33" s="17">
        <v>6395.16</v>
      </c>
      <c r="X33" s="17">
        <v>6271.71</v>
      </c>
      <c r="Y33" s="17">
        <v>6389.45</v>
      </c>
      <c r="Z33" s="22">
        <v>6389.45</v>
      </c>
      <c r="AA33" s="20">
        <v>2.584455E10</v>
      </c>
      <c r="AB33" s="20"/>
      <c r="AC33" s="20"/>
    </row>
    <row r="34" ht="15.75" customHeight="1">
      <c r="A34" s="16">
        <v>45866.0</v>
      </c>
      <c r="B34" s="17">
        <v>90.16</v>
      </c>
      <c r="C34" s="17">
        <v>90.9</v>
      </c>
      <c r="D34" s="18">
        <v>81.76</v>
      </c>
      <c r="E34" s="18">
        <v>82.1</v>
      </c>
      <c r="F34" s="19">
        <v>82.1</v>
      </c>
      <c r="G34" s="20">
        <v>6563504.0</v>
      </c>
      <c r="I34" s="24"/>
      <c r="K34" s="16">
        <v>45866.0</v>
      </c>
      <c r="L34" s="18">
        <v>56.68</v>
      </c>
      <c r="M34" s="18">
        <v>56.84</v>
      </c>
      <c r="N34" s="18">
        <v>49.01</v>
      </c>
      <c r="O34" s="18">
        <v>49.1</v>
      </c>
      <c r="P34" s="19">
        <v>49.1</v>
      </c>
      <c r="Q34" s="20">
        <v>1.4983187E7</v>
      </c>
      <c r="S34" s="24"/>
      <c r="U34" s="16">
        <v>45866.0</v>
      </c>
      <c r="V34" s="17">
        <v>6397.69</v>
      </c>
      <c r="W34" s="17">
        <v>6427.02</v>
      </c>
      <c r="X34" s="17">
        <v>6212.69</v>
      </c>
      <c r="Y34" s="17">
        <v>6238.01</v>
      </c>
      <c r="Z34" s="22">
        <v>6238.01</v>
      </c>
      <c r="AA34" s="20">
        <v>2.692104E10</v>
      </c>
      <c r="AB34" s="20"/>
      <c r="AC34" s="20"/>
    </row>
    <row r="35" ht="15.75" customHeight="1">
      <c r="A35" s="16">
        <v>45859.0</v>
      </c>
      <c r="B35" s="17">
        <v>83.52</v>
      </c>
      <c r="C35" s="17">
        <v>89.02</v>
      </c>
      <c r="D35" s="18">
        <v>83.14</v>
      </c>
      <c r="E35" s="18">
        <v>89.02</v>
      </c>
      <c r="F35" s="19">
        <v>89.02</v>
      </c>
      <c r="G35" s="20">
        <v>3471262.0</v>
      </c>
      <c r="I35" s="24"/>
      <c r="K35" s="16">
        <v>45859.0</v>
      </c>
      <c r="L35" s="18">
        <v>51.33</v>
      </c>
      <c r="M35" s="18">
        <v>55.49</v>
      </c>
      <c r="N35" s="18">
        <v>50.59</v>
      </c>
      <c r="O35" s="18">
        <v>55.49</v>
      </c>
      <c r="P35" s="19">
        <v>55.49</v>
      </c>
      <c r="Q35" s="20">
        <v>6286042.0</v>
      </c>
      <c r="S35" s="24"/>
      <c r="U35" s="16">
        <v>45859.0</v>
      </c>
      <c r="V35" s="17">
        <v>6304.74</v>
      </c>
      <c r="W35" s="17">
        <v>6395.82</v>
      </c>
      <c r="X35" s="17">
        <v>6281.71</v>
      </c>
      <c r="Y35" s="17">
        <v>6388.64</v>
      </c>
      <c r="Z35" s="22">
        <v>6388.64</v>
      </c>
      <c r="AA35" s="20">
        <v>2.606883E10</v>
      </c>
      <c r="AB35" s="20"/>
      <c r="AC35" s="20"/>
    </row>
    <row r="36" ht="15.75" customHeight="1">
      <c r="A36" s="16">
        <v>45852.0</v>
      </c>
      <c r="B36" s="17">
        <v>83.46</v>
      </c>
      <c r="C36" s="17">
        <v>86.1</v>
      </c>
      <c r="D36" s="18">
        <v>83.08</v>
      </c>
      <c r="E36" s="18">
        <v>83.52</v>
      </c>
      <c r="F36" s="19">
        <v>83.52</v>
      </c>
      <c r="G36" s="20">
        <v>4089231.0</v>
      </c>
      <c r="I36" s="24"/>
      <c r="K36" s="16">
        <v>45852.0</v>
      </c>
      <c r="L36" s="18">
        <v>52.15</v>
      </c>
      <c r="M36" s="18">
        <v>52.82</v>
      </c>
      <c r="N36" s="18">
        <v>51.26</v>
      </c>
      <c r="O36" s="18">
        <v>51.33</v>
      </c>
      <c r="P36" s="19">
        <v>51.33</v>
      </c>
      <c r="Q36" s="20">
        <v>6134284.0</v>
      </c>
      <c r="S36" s="24"/>
      <c r="U36" s="16">
        <v>45852.0</v>
      </c>
      <c r="V36" s="17">
        <v>6255.15</v>
      </c>
      <c r="W36" s="17">
        <v>6315.61</v>
      </c>
      <c r="X36" s="17">
        <v>6201.59</v>
      </c>
      <c r="Y36" s="17">
        <v>6296.79</v>
      </c>
      <c r="Z36" s="22">
        <v>6296.79</v>
      </c>
      <c r="AA36" s="20">
        <v>2.573037E10</v>
      </c>
      <c r="AB36" s="20"/>
      <c r="AC36" s="20"/>
    </row>
    <row r="37" ht="15.75" customHeight="1">
      <c r="A37" s="16">
        <v>45845.0</v>
      </c>
      <c r="B37" s="17">
        <v>77.5</v>
      </c>
      <c r="C37" s="17">
        <v>86.16</v>
      </c>
      <c r="D37" s="18">
        <v>77.44</v>
      </c>
      <c r="E37" s="18">
        <v>85.58</v>
      </c>
      <c r="F37" s="19">
        <v>85.58</v>
      </c>
      <c r="G37" s="20">
        <v>6987603.0</v>
      </c>
      <c r="I37" s="24"/>
      <c r="K37" s="16">
        <v>45845.0</v>
      </c>
      <c r="L37" s="18">
        <v>49.9</v>
      </c>
      <c r="M37" s="18">
        <v>53.37</v>
      </c>
      <c r="N37" s="18">
        <v>49.63</v>
      </c>
      <c r="O37" s="18">
        <v>53.11</v>
      </c>
      <c r="P37" s="19">
        <v>53.11</v>
      </c>
      <c r="Q37" s="20">
        <v>9874626.0</v>
      </c>
      <c r="S37" s="24"/>
      <c r="U37" s="16">
        <v>45845.0</v>
      </c>
      <c r="V37" s="17">
        <v>6259.04</v>
      </c>
      <c r="W37" s="17">
        <v>6290.22</v>
      </c>
      <c r="X37" s="17">
        <v>6201.0</v>
      </c>
      <c r="Y37" s="17">
        <v>6259.75</v>
      </c>
      <c r="Z37" s="22">
        <v>6259.75</v>
      </c>
      <c r="AA37" s="20">
        <v>2.581267E10</v>
      </c>
      <c r="AB37" s="20"/>
      <c r="AC37" s="20"/>
    </row>
    <row r="38" ht="15.75" customHeight="1">
      <c r="A38" s="16">
        <v>45838.0</v>
      </c>
      <c r="B38" s="17">
        <v>77.4</v>
      </c>
      <c r="C38" s="17">
        <v>79.88</v>
      </c>
      <c r="D38" s="18">
        <v>74.06</v>
      </c>
      <c r="E38" s="18">
        <v>77.84</v>
      </c>
      <c r="F38" s="19">
        <v>77.84</v>
      </c>
      <c r="G38" s="20">
        <v>6574124.0</v>
      </c>
      <c r="I38" s="24"/>
      <c r="K38" s="16">
        <v>45838.0</v>
      </c>
      <c r="L38" s="18">
        <v>50.62</v>
      </c>
      <c r="M38" s="18">
        <v>51.21</v>
      </c>
      <c r="N38" s="18">
        <v>48.49</v>
      </c>
      <c r="O38" s="18">
        <v>50.08</v>
      </c>
      <c r="P38" s="19">
        <v>50.08</v>
      </c>
      <c r="Q38" s="20">
        <v>1.0723814E7</v>
      </c>
      <c r="S38" s="24"/>
      <c r="U38" s="16">
        <v>45838.0</v>
      </c>
      <c r="V38" s="17">
        <v>6193.36</v>
      </c>
      <c r="W38" s="17">
        <v>6284.65</v>
      </c>
      <c r="X38" s="17">
        <v>6174.97</v>
      </c>
      <c r="Y38" s="17">
        <v>6279.35</v>
      </c>
      <c r="Z38" s="22">
        <v>6279.35</v>
      </c>
      <c r="AA38" s="20">
        <v>2.108203E10</v>
      </c>
      <c r="AB38" s="20"/>
      <c r="AC38" s="20"/>
    </row>
    <row r="39" ht="15.75" customHeight="1">
      <c r="A39" s="16">
        <v>45831.0</v>
      </c>
      <c r="B39" s="17">
        <v>71.5</v>
      </c>
      <c r="C39" s="17">
        <v>77.1</v>
      </c>
      <c r="D39" s="18">
        <v>70.94</v>
      </c>
      <c r="E39" s="18">
        <v>76.84</v>
      </c>
      <c r="F39" s="19">
        <v>76.84</v>
      </c>
      <c r="G39" s="20">
        <v>4409653.0</v>
      </c>
      <c r="I39" s="24"/>
      <c r="K39" s="16">
        <v>45831.0</v>
      </c>
      <c r="L39" s="18">
        <v>48.35</v>
      </c>
      <c r="M39" s="18">
        <v>50.67</v>
      </c>
      <c r="N39" s="18">
        <v>47.9</v>
      </c>
      <c r="O39" s="18">
        <v>50.49</v>
      </c>
      <c r="P39" s="19">
        <v>50.49</v>
      </c>
      <c r="Q39" s="20">
        <v>1.0576068E7</v>
      </c>
      <c r="S39" s="24"/>
      <c r="U39" s="16">
        <v>45831.0</v>
      </c>
      <c r="V39" s="17">
        <v>5969.67</v>
      </c>
      <c r="W39" s="17">
        <v>6187.68</v>
      </c>
      <c r="X39" s="17">
        <v>5943.23</v>
      </c>
      <c r="Y39" s="17">
        <v>6173.07</v>
      </c>
      <c r="Z39" s="22">
        <v>6173.07</v>
      </c>
      <c r="AA39" s="20">
        <v>2.940929E10</v>
      </c>
      <c r="AB39" s="20"/>
      <c r="AC39" s="20"/>
    </row>
    <row r="40" ht="15.75" customHeight="1">
      <c r="A40" s="16">
        <v>45824.0</v>
      </c>
      <c r="B40" s="17">
        <v>75.38</v>
      </c>
      <c r="C40" s="17">
        <v>75.54</v>
      </c>
      <c r="D40" s="18">
        <v>71.42</v>
      </c>
      <c r="E40" s="18">
        <v>72.0</v>
      </c>
      <c r="F40" s="19">
        <v>72.0</v>
      </c>
      <c r="G40" s="20">
        <v>5412167.0</v>
      </c>
      <c r="I40" s="24"/>
      <c r="K40" s="16">
        <v>45824.0</v>
      </c>
      <c r="L40" s="18">
        <v>50.92</v>
      </c>
      <c r="M40" s="18">
        <v>51.0</v>
      </c>
      <c r="N40" s="18">
        <v>48.35</v>
      </c>
      <c r="O40" s="18">
        <v>48.63</v>
      </c>
      <c r="P40" s="19">
        <v>48.63</v>
      </c>
      <c r="Q40" s="20">
        <v>1.3016541E7</v>
      </c>
      <c r="S40" s="24"/>
      <c r="U40" s="16">
        <v>45824.0</v>
      </c>
      <c r="V40" s="17">
        <v>6004.0</v>
      </c>
      <c r="W40" s="17">
        <v>6050.83</v>
      </c>
      <c r="X40" s="17">
        <v>5952.56</v>
      </c>
      <c r="Y40" s="17">
        <v>5967.84</v>
      </c>
      <c r="Z40" s="22">
        <v>5967.84</v>
      </c>
      <c r="AA40" s="20">
        <v>2.262538E10</v>
      </c>
      <c r="AB40" s="20"/>
      <c r="AC40" s="20"/>
    </row>
    <row r="41" ht="15.75" customHeight="1">
      <c r="A41" s="16">
        <v>45817.0</v>
      </c>
      <c r="B41" s="17">
        <v>76.68</v>
      </c>
      <c r="C41" s="17">
        <v>78.76</v>
      </c>
      <c r="D41" s="18">
        <v>74.74</v>
      </c>
      <c r="E41" s="18">
        <v>75.3</v>
      </c>
      <c r="F41" s="19">
        <v>75.3</v>
      </c>
      <c r="G41" s="20">
        <v>3706289.0</v>
      </c>
      <c r="I41" s="24"/>
      <c r="K41" s="16">
        <v>45817.0</v>
      </c>
      <c r="L41" s="18">
        <v>51.35</v>
      </c>
      <c r="M41" s="18">
        <v>53.0</v>
      </c>
      <c r="N41" s="18">
        <v>50.38</v>
      </c>
      <c r="O41" s="18">
        <v>50.82</v>
      </c>
      <c r="P41" s="19">
        <v>50.82</v>
      </c>
      <c r="Q41" s="20">
        <v>7420759.0</v>
      </c>
      <c r="S41" s="24"/>
      <c r="U41" s="16">
        <v>45817.0</v>
      </c>
      <c r="V41" s="17">
        <v>6004.63</v>
      </c>
      <c r="W41" s="17">
        <v>6059.4</v>
      </c>
      <c r="X41" s="17">
        <v>5963.21</v>
      </c>
      <c r="Y41" s="17">
        <v>5976.97</v>
      </c>
      <c r="Z41" s="22">
        <v>5976.97</v>
      </c>
      <c r="AA41" s="20">
        <v>2.45652E10</v>
      </c>
      <c r="AB41" s="20"/>
      <c r="AC41" s="20"/>
    </row>
    <row r="42" ht="15.75" customHeight="1">
      <c r="A42" s="16">
        <v>45810.0</v>
      </c>
      <c r="B42" s="17">
        <v>77.0</v>
      </c>
      <c r="C42" s="17">
        <v>78.4</v>
      </c>
      <c r="D42" s="18">
        <v>75.7</v>
      </c>
      <c r="E42" s="18">
        <v>76.68</v>
      </c>
      <c r="F42" s="19">
        <v>76.68</v>
      </c>
      <c r="G42" s="20">
        <v>3219884.0</v>
      </c>
      <c r="I42" s="24"/>
      <c r="K42" s="16">
        <v>45810.0</v>
      </c>
      <c r="L42" s="18">
        <v>51.84</v>
      </c>
      <c r="M42" s="18">
        <v>52.03</v>
      </c>
      <c r="N42" s="18">
        <v>50.6</v>
      </c>
      <c r="O42" s="18">
        <v>51.35</v>
      </c>
      <c r="P42" s="19">
        <v>51.35</v>
      </c>
      <c r="Q42" s="20">
        <v>9592675.0</v>
      </c>
      <c r="S42" s="24"/>
      <c r="U42" s="16">
        <v>45810.0</v>
      </c>
      <c r="V42" s="17">
        <v>5896.68</v>
      </c>
      <c r="W42" s="17">
        <v>6016.87</v>
      </c>
      <c r="X42" s="17">
        <v>5861.43</v>
      </c>
      <c r="Y42" s="17">
        <v>6000.36</v>
      </c>
      <c r="Z42" s="22">
        <v>6000.36</v>
      </c>
      <c r="AA42" s="20">
        <v>2.407353E10</v>
      </c>
      <c r="AB42" s="20"/>
      <c r="AC42" s="20"/>
    </row>
    <row r="43" ht="15.75" customHeight="1">
      <c r="A43" s="16">
        <v>45803.0</v>
      </c>
      <c r="B43" s="17">
        <v>76.68</v>
      </c>
      <c r="C43" s="17">
        <v>80.62</v>
      </c>
      <c r="D43" s="18">
        <v>75.9</v>
      </c>
      <c r="E43" s="18">
        <v>78.1</v>
      </c>
      <c r="F43" s="19">
        <v>78.1</v>
      </c>
      <c r="G43" s="20">
        <v>5214717.0</v>
      </c>
      <c r="I43" s="24"/>
      <c r="K43" s="16">
        <v>45803.0</v>
      </c>
      <c r="L43" s="18">
        <v>51.61</v>
      </c>
      <c r="M43" s="18">
        <v>53.91</v>
      </c>
      <c r="N43" s="18">
        <v>51.23</v>
      </c>
      <c r="O43" s="18">
        <v>52.59</v>
      </c>
      <c r="P43" s="19">
        <v>52.59</v>
      </c>
      <c r="Q43" s="20">
        <v>1.0577349E7</v>
      </c>
      <c r="S43" s="24"/>
      <c r="U43" s="16">
        <v>45803.0</v>
      </c>
      <c r="V43" s="17">
        <v>5854.07</v>
      </c>
      <c r="W43" s="17">
        <v>5943.13</v>
      </c>
      <c r="X43" s="17">
        <v>5843.66</v>
      </c>
      <c r="Y43" s="17">
        <v>5911.69</v>
      </c>
      <c r="Z43" s="22">
        <v>5911.69</v>
      </c>
      <c r="AA43" s="20">
        <v>2.097972E10</v>
      </c>
      <c r="AB43" s="20"/>
      <c r="AC43" s="20"/>
    </row>
    <row r="44" ht="15.75" customHeight="1">
      <c r="A44" s="16">
        <v>45796.0</v>
      </c>
      <c r="B44" s="17">
        <v>76.7</v>
      </c>
      <c r="C44" s="17">
        <v>79.52</v>
      </c>
      <c r="D44" s="18">
        <v>74.02</v>
      </c>
      <c r="E44" s="18">
        <v>75.26</v>
      </c>
      <c r="F44" s="19">
        <v>75.26</v>
      </c>
      <c r="G44" s="20">
        <v>5456166.0</v>
      </c>
      <c r="I44" s="24"/>
      <c r="K44" s="16">
        <v>45796.0</v>
      </c>
      <c r="L44" s="18">
        <v>52.46</v>
      </c>
      <c r="M44" s="18">
        <v>53.55</v>
      </c>
      <c r="N44" s="18">
        <v>49.92</v>
      </c>
      <c r="O44" s="18">
        <v>50.54</v>
      </c>
      <c r="P44" s="19">
        <v>50.54</v>
      </c>
      <c r="Q44" s="20">
        <v>1.0866366E7</v>
      </c>
      <c r="S44" s="24"/>
      <c r="U44" s="16">
        <v>45796.0</v>
      </c>
      <c r="V44" s="17">
        <v>5902.88</v>
      </c>
      <c r="W44" s="17">
        <v>5968.61</v>
      </c>
      <c r="X44" s="17">
        <v>5767.41</v>
      </c>
      <c r="Y44" s="17">
        <v>5802.82</v>
      </c>
      <c r="Z44" s="22">
        <v>5802.82</v>
      </c>
      <c r="AA44" s="20">
        <v>2.363498E10</v>
      </c>
      <c r="AB44" s="20"/>
      <c r="AC44" s="20"/>
    </row>
    <row r="45" ht="15.75" customHeight="1">
      <c r="A45" s="16">
        <v>45792.0</v>
      </c>
      <c r="B45" s="26" t="s">
        <v>17</v>
      </c>
      <c r="I45" s="24"/>
      <c r="K45" s="16">
        <v>45789.0</v>
      </c>
      <c r="L45" s="18">
        <v>52.11</v>
      </c>
      <c r="M45" s="18">
        <v>54.51</v>
      </c>
      <c r="N45" s="18">
        <v>52.05</v>
      </c>
      <c r="O45" s="18">
        <v>52.5</v>
      </c>
      <c r="P45" s="19">
        <v>52.5</v>
      </c>
      <c r="Q45" s="20">
        <v>1.2856683E7</v>
      </c>
      <c r="S45" s="24"/>
      <c r="U45" s="16">
        <v>45789.0</v>
      </c>
      <c r="V45" s="17">
        <v>5807.2</v>
      </c>
      <c r="W45" s="17">
        <v>5958.62</v>
      </c>
      <c r="X45" s="17">
        <v>5786.08</v>
      </c>
      <c r="Y45" s="17">
        <v>5958.38</v>
      </c>
      <c r="Z45" s="22">
        <v>5958.38</v>
      </c>
      <c r="AA45" s="20">
        <v>2.660646E10</v>
      </c>
      <c r="AB45" s="20"/>
      <c r="AC45" s="20"/>
    </row>
    <row r="46" ht="15.75" customHeight="1">
      <c r="A46" s="16">
        <v>45789.0</v>
      </c>
      <c r="B46" s="17">
        <v>81.3</v>
      </c>
      <c r="C46" s="17">
        <v>84.7</v>
      </c>
      <c r="D46" s="18">
        <v>76.66</v>
      </c>
      <c r="E46" s="18">
        <v>76.92</v>
      </c>
      <c r="F46" s="19">
        <v>72.98</v>
      </c>
      <c r="G46" s="20">
        <v>5787642.0</v>
      </c>
      <c r="I46" s="24"/>
      <c r="K46" s="16">
        <v>45785.0</v>
      </c>
      <c r="L46" s="27" t="s">
        <v>17</v>
      </c>
      <c r="S46" s="24"/>
      <c r="U46" s="16">
        <v>45782.0</v>
      </c>
      <c r="V46" s="17">
        <v>5655.32</v>
      </c>
      <c r="W46" s="17">
        <v>5720.1</v>
      </c>
      <c r="X46" s="17">
        <v>5578.64</v>
      </c>
      <c r="Y46" s="17">
        <v>5659.91</v>
      </c>
      <c r="Z46" s="22">
        <v>5659.91</v>
      </c>
      <c r="AA46" s="20">
        <v>2.433545E10</v>
      </c>
      <c r="AB46" s="20"/>
      <c r="AC46" s="20"/>
    </row>
    <row r="47" ht="15.75" customHeight="1">
      <c r="A47" s="16">
        <v>45782.0</v>
      </c>
      <c r="B47" s="17">
        <v>75.16</v>
      </c>
      <c r="C47" s="17">
        <v>80.26</v>
      </c>
      <c r="D47" s="18">
        <v>73.54</v>
      </c>
      <c r="E47" s="18">
        <v>79.68</v>
      </c>
      <c r="F47" s="19">
        <v>75.6</v>
      </c>
      <c r="G47" s="20">
        <v>6381064.0</v>
      </c>
      <c r="I47" s="24"/>
      <c r="K47" s="16">
        <v>45782.0</v>
      </c>
      <c r="L47" s="18">
        <v>53.5</v>
      </c>
      <c r="M47" s="18">
        <v>54.92</v>
      </c>
      <c r="N47" s="18">
        <v>49.76</v>
      </c>
      <c r="O47" s="18">
        <v>51.07</v>
      </c>
      <c r="P47" s="19">
        <v>47.0</v>
      </c>
      <c r="Q47" s="20">
        <v>1.8223047E7</v>
      </c>
      <c r="S47" s="24"/>
      <c r="U47" s="16">
        <v>45775.0</v>
      </c>
      <c r="V47" s="17">
        <v>5529.22</v>
      </c>
      <c r="W47" s="17">
        <v>5700.7</v>
      </c>
      <c r="X47" s="17">
        <v>5433.24</v>
      </c>
      <c r="Y47" s="17">
        <v>5686.67</v>
      </c>
      <c r="Z47" s="22">
        <v>5686.67</v>
      </c>
      <c r="AA47" s="20">
        <v>2.424417E10</v>
      </c>
      <c r="AB47" s="20"/>
      <c r="AC47" s="20"/>
    </row>
    <row r="48" ht="15.75" customHeight="1">
      <c r="A48" s="16">
        <v>45775.0</v>
      </c>
      <c r="B48" s="17">
        <v>76.74</v>
      </c>
      <c r="C48" s="17">
        <v>77.5</v>
      </c>
      <c r="D48" s="18">
        <v>73.4</v>
      </c>
      <c r="E48" s="18">
        <v>74.82</v>
      </c>
      <c r="F48" s="19">
        <v>70.99</v>
      </c>
      <c r="G48" s="20">
        <v>4533979.0</v>
      </c>
      <c r="I48" s="24"/>
      <c r="K48" s="16">
        <v>45775.0</v>
      </c>
      <c r="L48" s="18">
        <v>55.05</v>
      </c>
      <c r="M48" s="18">
        <v>55.57</v>
      </c>
      <c r="N48" s="18">
        <v>52.12</v>
      </c>
      <c r="O48" s="18">
        <v>53.3</v>
      </c>
      <c r="P48" s="19">
        <v>49.05</v>
      </c>
      <c r="Q48" s="20">
        <v>1.4599472E7</v>
      </c>
      <c r="S48" s="24"/>
      <c r="U48" s="16">
        <v>45768.0</v>
      </c>
      <c r="V48" s="17">
        <v>5232.94</v>
      </c>
      <c r="W48" s="17">
        <v>5528.11</v>
      </c>
      <c r="X48" s="17">
        <v>5101.63</v>
      </c>
      <c r="Y48" s="17">
        <v>5525.21</v>
      </c>
      <c r="Z48" s="22">
        <v>5525.21</v>
      </c>
      <c r="AA48" s="20">
        <v>2.319897E10</v>
      </c>
      <c r="AB48" s="20"/>
      <c r="AC48" s="20"/>
    </row>
    <row r="49" ht="15.75" customHeight="1">
      <c r="A49" s="16">
        <v>45768.0</v>
      </c>
      <c r="B49" s="17">
        <v>70.26</v>
      </c>
      <c r="C49" s="17">
        <v>76.34</v>
      </c>
      <c r="D49" s="18">
        <v>69.78</v>
      </c>
      <c r="E49" s="18">
        <v>76.32</v>
      </c>
      <c r="F49" s="19">
        <v>72.41</v>
      </c>
      <c r="G49" s="20">
        <v>4955850.0</v>
      </c>
      <c r="I49" s="24"/>
      <c r="K49" s="16">
        <v>45768.0</v>
      </c>
      <c r="L49" s="18">
        <v>50.23</v>
      </c>
      <c r="M49" s="18">
        <v>54.82</v>
      </c>
      <c r="N49" s="18">
        <v>50.16</v>
      </c>
      <c r="O49" s="18">
        <v>54.59</v>
      </c>
      <c r="P49" s="19">
        <v>50.24</v>
      </c>
      <c r="Q49" s="20">
        <v>1.053315E7</v>
      </c>
      <c r="S49" s="24"/>
      <c r="U49" s="16">
        <v>45761.0</v>
      </c>
      <c r="V49" s="17">
        <v>5441.96</v>
      </c>
      <c r="W49" s="17">
        <v>5459.46</v>
      </c>
      <c r="X49" s="17">
        <v>5220.79</v>
      </c>
      <c r="Y49" s="17">
        <v>5282.7</v>
      </c>
      <c r="Z49" s="22">
        <v>5282.7</v>
      </c>
      <c r="AA49" s="20">
        <v>1.867118E10</v>
      </c>
      <c r="AB49" s="20"/>
      <c r="AC49" s="20"/>
    </row>
    <row r="50" ht="15.75" customHeight="1">
      <c r="A50" s="16">
        <v>45761.0</v>
      </c>
      <c r="B50" s="17">
        <v>67.96</v>
      </c>
      <c r="C50" s="17">
        <v>71.64</v>
      </c>
      <c r="D50" s="18">
        <v>67.44</v>
      </c>
      <c r="E50" s="18">
        <v>70.26</v>
      </c>
      <c r="F50" s="19">
        <v>66.66</v>
      </c>
      <c r="G50" s="20">
        <v>3596206.0</v>
      </c>
      <c r="I50" s="24"/>
      <c r="K50" s="16">
        <v>45761.0</v>
      </c>
      <c r="L50" s="18">
        <v>49.12</v>
      </c>
      <c r="M50" s="18">
        <v>51.16</v>
      </c>
      <c r="N50" s="18">
        <v>48.67</v>
      </c>
      <c r="O50" s="18">
        <v>50.23</v>
      </c>
      <c r="P50" s="19">
        <v>46.23</v>
      </c>
      <c r="Q50" s="20">
        <v>7900713.0</v>
      </c>
      <c r="S50" s="24"/>
      <c r="U50" s="16">
        <v>45754.0</v>
      </c>
      <c r="V50" s="17">
        <v>4953.79</v>
      </c>
      <c r="W50" s="17">
        <v>5481.34</v>
      </c>
      <c r="X50" s="17">
        <v>4835.04</v>
      </c>
      <c r="Y50" s="17">
        <v>5363.36</v>
      </c>
      <c r="Z50" s="22">
        <v>5363.36</v>
      </c>
      <c r="AA50" s="20">
        <v>3.786941E10</v>
      </c>
      <c r="AB50" s="20"/>
      <c r="AC50" s="20"/>
    </row>
    <row r="51" ht="15.75" customHeight="1">
      <c r="A51" s="16">
        <v>45754.0</v>
      </c>
      <c r="B51" s="17">
        <v>64.8</v>
      </c>
      <c r="C51" s="17">
        <v>72.46</v>
      </c>
      <c r="D51" s="18">
        <v>62.96</v>
      </c>
      <c r="E51" s="18">
        <v>66.36</v>
      </c>
      <c r="F51" s="19">
        <v>62.96</v>
      </c>
      <c r="G51" s="20">
        <v>1.4048733E7</v>
      </c>
      <c r="I51" s="24"/>
      <c r="K51" s="16">
        <v>45754.0</v>
      </c>
      <c r="L51" s="18">
        <v>45.66</v>
      </c>
      <c r="M51" s="18">
        <v>51.46</v>
      </c>
      <c r="N51" s="18">
        <v>45.6</v>
      </c>
      <c r="O51" s="18">
        <v>48.19</v>
      </c>
      <c r="P51" s="19">
        <v>44.36</v>
      </c>
      <c r="Q51" s="20">
        <v>3.0136102E7</v>
      </c>
      <c r="S51" s="24"/>
      <c r="U51" s="16">
        <v>45747.0</v>
      </c>
      <c r="V51" s="17">
        <v>5527.91</v>
      </c>
      <c r="W51" s="17">
        <v>5695.31</v>
      </c>
      <c r="X51" s="17">
        <v>5069.9</v>
      </c>
      <c r="Y51" s="17">
        <v>5074.08</v>
      </c>
      <c r="Z51" s="22">
        <v>5074.08</v>
      </c>
      <c r="AA51" s="20">
        <v>2.999955E10</v>
      </c>
      <c r="AB51" s="20"/>
      <c r="AC51" s="20"/>
    </row>
    <row r="52" ht="15.75" customHeight="1">
      <c r="A52" s="16">
        <v>45747.0</v>
      </c>
      <c r="B52" s="17">
        <v>75.26</v>
      </c>
      <c r="C52" s="17">
        <v>75.58</v>
      </c>
      <c r="D52" s="18">
        <v>66.94</v>
      </c>
      <c r="E52" s="18">
        <v>68.0</v>
      </c>
      <c r="F52" s="19">
        <v>64.52</v>
      </c>
      <c r="G52" s="20">
        <v>9661625.0</v>
      </c>
      <c r="I52" s="24"/>
      <c r="K52" s="16">
        <v>45747.0</v>
      </c>
      <c r="L52" s="18">
        <v>55.13</v>
      </c>
      <c r="M52" s="18">
        <v>55.19</v>
      </c>
      <c r="N52" s="18">
        <v>48.31</v>
      </c>
      <c r="O52" s="18">
        <v>49.06</v>
      </c>
      <c r="P52" s="19">
        <v>45.16</v>
      </c>
      <c r="Q52" s="20">
        <v>2.115218E7</v>
      </c>
      <c r="S52" s="24"/>
      <c r="U52" s="16">
        <v>45740.0</v>
      </c>
      <c r="V52" s="17">
        <v>5718.08</v>
      </c>
      <c r="W52" s="17">
        <v>5786.95</v>
      </c>
      <c r="X52" s="17">
        <v>5572.42</v>
      </c>
      <c r="Y52" s="17">
        <v>5580.94</v>
      </c>
      <c r="Z52" s="22">
        <v>5580.94</v>
      </c>
      <c r="AA52" s="20">
        <v>2.208526E10</v>
      </c>
      <c r="AB52" s="20"/>
      <c r="AC52" s="20"/>
    </row>
    <row r="53" ht="15.75" customHeight="1">
      <c r="A53" s="16">
        <v>45740.0</v>
      </c>
      <c r="B53" s="17">
        <v>79.16</v>
      </c>
      <c r="C53" s="17">
        <v>81.92</v>
      </c>
      <c r="D53" s="18">
        <v>75.38</v>
      </c>
      <c r="E53" s="18">
        <v>75.94</v>
      </c>
      <c r="F53" s="19">
        <v>72.05</v>
      </c>
      <c r="G53" s="20">
        <v>5396038.0</v>
      </c>
      <c r="I53" s="24"/>
      <c r="K53" s="16">
        <v>45740.0</v>
      </c>
      <c r="L53" s="18">
        <v>58.36</v>
      </c>
      <c r="M53" s="18">
        <v>59.81</v>
      </c>
      <c r="N53" s="18">
        <v>54.75</v>
      </c>
      <c r="O53" s="18">
        <v>55.75</v>
      </c>
      <c r="P53" s="19">
        <v>51.31</v>
      </c>
      <c r="Q53" s="20">
        <v>1.1720581E7</v>
      </c>
      <c r="S53" s="24"/>
      <c r="U53" s="16">
        <v>45733.0</v>
      </c>
      <c r="V53" s="17">
        <v>5635.6</v>
      </c>
      <c r="W53" s="17">
        <v>5715.33</v>
      </c>
      <c r="X53" s="17">
        <v>5597.76</v>
      </c>
      <c r="Y53" s="17">
        <v>5667.56</v>
      </c>
      <c r="Z53" s="22">
        <v>5667.56</v>
      </c>
      <c r="AA53" s="20">
        <v>2.840401E10</v>
      </c>
      <c r="AB53" s="20"/>
      <c r="AC53" s="20"/>
    </row>
    <row r="54" ht="15.75" customHeight="1">
      <c r="A54" s="16">
        <v>45733.0</v>
      </c>
      <c r="B54" s="17">
        <v>82.1</v>
      </c>
      <c r="C54" s="17">
        <v>86.38</v>
      </c>
      <c r="D54" s="18">
        <v>77.94</v>
      </c>
      <c r="E54" s="18">
        <v>79.16</v>
      </c>
      <c r="F54" s="19">
        <v>75.11</v>
      </c>
      <c r="G54" s="20">
        <v>7617281.0</v>
      </c>
      <c r="I54" s="24"/>
      <c r="K54" s="16">
        <v>45733.0</v>
      </c>
      <c r="L54" s="18">
        <v>59.97</v>
      </c>
      <c r="M54" s="18">
        <v>61.55</v>
      </c>
      <c r="N54" s="18">
        <v>57.7</v>
      </c>
      <c r="O54" s="18">
        <v>58.36</v>
      </c>
      <c r="P54" s="19">
        <v>53.71</v>
      </c>
      <c r="Q54" s="20">
        <v>1.5929729E7</v>
      </c>
      <c r="S54" s="24"/>
      <c r="U54" s="16">
        <v>45726.0</v>
      </c>
      <c r="V54" s="17">
        <v>5705.37</v>
      </c>
      <c r="W54" s="17">
        <v>5705.37</v>
      </c>
      <c r="X54" s="17">
        <v>5504.65</v>
      </c>
      <c r="Y54" s="17">
        <v>5638.94</v>
      </c>
      <c r="Z54" s="22">
        <v>5638.94</v>
      </c>
      <c r="AA54" s="20">
        <v>2.77326E10</v>
      </c>
      <c r="AB54" s="20"/>
      <c r="AC54" s="20"/>
    </row>
    <row r="55" ht="15.75" customHeight="1">
      <c r="A55" s="16">
        <v>45726.0</v>
      </c>
      <c r="B55" s="17">
        <v>85.28</v>
      </c>
      <c r="C55" s="17">
        <v>88.26</v>
      </c>
      <c r="D55" s="18">
        <v>78.66</v>
      </c>
      <c r="E55" s="18">
        <v>82.1</v>
      </c>
      <c r="F55" s="19">
        <v>77.9</v>
      </c>
      <c r="G55" s="20">
        <v>8273022.0</v>
      </c>
      <c r="I55" s="24"/>
      <c r="K55" s="16">
        <v>45726.0</v>
      </c>
      <c r="L55" s="18">
        <v>61.74</v>
      </c>
      <c r="M55" s="18">
        <v>63.17</v>
      </c>
      <c r="N55" s="18">
        <v>58.72</v>
      </c>
      <c r="O55" s="18">
        <v>59.97</v>
      </c>
      <c r="P55" s="19">
        <v>55.19</v>
      </c>
      <c r="Q55" s="20">
        <v>1.5177174E7</v>
      </c>
      <c r="S55" s="24"/>
      <c r="U55" s="28"/>
      <c r="Z55" s="29"/>
    </row>
    <row r="56" ht="15.75" hidden="1" customHeight="1">
      <c r="A56" s="30"/>
      <c r="B56" s="31"/>
      <c r="C56" s="31"/>
      <c r="D56" s="32"/>
      <c r="E56" s="32"/>
      <c r="F56" s="33"/>
      <c r="G56" s="32"/>
      <c r="I56" s="24"/>
      <c r="K56" s="28"/>
      <c r="P56" s="29"/>
      <c r="S56" s="24"/>
    </row>
    <row r="57" ht="15.75" hidden="1" customHeight="1">
      <c r="A57" s="30"/>
      <c r="B57" s="31"/>
      <c r="C57" s="31"/>
      <c r="D57" s="32"/>
      <c r="E57" s="32"/>
      <c r="F57" s="33"/>
      <c r="G57" s="32"/>
      <c r="I57" s="24"/>
      <c r="K57" s="28"/>
      <c r="P57" s="29"/>
      <c r="S57" s="24"/>
    </row>
    <row r="58" ht="15.75" hidden="1" customHeight="1">
      <c r="A58" s="30"/>
      <c r="B58" s="31"/>
      <c r="C58" s="31"/>
      <c r="D58" s="32"/>
      <c r="E58" s="32"/>
      <c r="F58" s="33"/>
      <c r="G58" s="32"/>
      <c r="I58" s="24"/>
      <c r="K58" s="28"/>
      <c r="P58" s="29"/>
      <c r="S58" s="24"/>
    </row>
    <row r="59" ht="15.75" hidden="1" customHeight="1">
      <c r="A59" s="30"/>
      <c r="B59" s="31"/>
      <c r="C59" s="31"/>
      <c r="D59" s="32"/>
      <c r="E59" s="32"/>
      <c r="F59" s="33"/>
      <c r="G59" s="32"/>
      <c r="I59" s="24"/>
      <c r="K59" s="28"/>
      <c r="P59" s="29"/>
      <c r="S59" s="24"/>
    </row>
    <row r="60" ht="15.75" hidden="1" customHeight="1">
      <c r="A60" s="34"/>
      <c r="B60" s="35"/>
      <c r="C60" s="35"/>
      <c r="F60" s="29"/>
      <c r="I60" s="24"/>
      <c r="K60" s="28"/>
      <c r="P60" s="29"/>
      <c r="S60" s="24"/>
    </row>
    <row r="61" ht="15.75" hidden="1" customHeight="1">
      <c r="A61" s="34"/>
      <c r="B61" s="35"/>
      <c r="C61" s="35"/>
      <c r="F61" s="29"/>
      <c r="I61" s="24"/>
      <c r="K61" s="28"/>
      <c r="P61" s="29"/>
      <c r="S61" s="24"/>
    </row>
    <row r="62" ht="15.75" hidden="1" customHeight="1">
      <c r="A62" s="34"/>
      <c r="B62" s="35"/>
      <c r="C62" s="35"/>
      <c r="F62" s="29"/>
      <c r="I62" s="24"/>
      <c r="K62" s="28"/>
      <c r="P62" s="29"/>
      <c r="S62" s="24"/>
    </row>
    <row r="63" ht="15.75" hidden="1" customHeight="1">
      <c r="A63" s="34"/>
      <c r="B63" s="35"/>
      <c r="C63" s="35"/>
      <c r="F63" s="29"/>
      <c r="I63" s="24"/>
      <c r="K63" s="28"/>
      <c r="P63" s="29"/>
      <c r="S63" s="24"/>
    </row>
    <row r="64" ht="15.75" hidden="1" customHeight="1">
      <c r="A64" s="34"/>
      <c r="B64" s="35"/>
      <c r="C64" s="35"/>
      <c r="F64" s="29"/>
      <c r="I64" s="24"/>
      <c r="K64" s="28"/>
      <c r="P64" s="29"/>
      <c r="S64" s="24"/>
    </row>
    <row r="65" ht="15.75" hidden="1" customHeight="1">
      <c r="A65" s="34"/>
      <c r="B65" s="35"/>
      <c r="C65" s="35"/>
      <c r="F65" s="29"/>
      <c r="I65" s="24"/>
      <c r="K65" s="28"/>
      <c r="P65" s="29"/>
      <c r="S65" s="24"/>
    </row>
    <row r="66" ht="15.75" hidden="1" customHeight="1">
      <c r="A66" s="34"/>
      <c r="B66" s="35"/>
      <c r="C66" s="35"/>
      <c r="F66" s="29"/>
      <c r="I66" s="24"/>
      <c r="K66" s="28"/>
      <c r="P66" s="29"/>
      <c r="S66" s="24"/>
    </row>
    <row r="67" ht="15.75" hidden="1" customHeight="1">
      <c r="A67" s="34"/>
      <c r="B67" s="35"/>
      <c r="C67" s="35"/>
      <c r="F67" s="29"/>
      <c r="I67" s="24"/>
      <c r="K67" s="28"/>
      <c r="P67" s="29"/>
      <c r="S67" s="24"/>
    </row>
    <row r="68" ht="15.75" hidden="1" customHeight="1">
      <c r="A68" s="34"/>
      <c r="B68" s="35"/>
      <c r="C68" s="35"/>
      <c r="F68" s="29"/>
      <c r="I68" s="24"/>
      <c r="K68" s="28"/>
      <c r="P68" s="29"/>
      <c r="S68" s="24"/>
    </row>
    <row r="69" ht="15.75" hidden="1" customHeight="1">
      <c r="A69" s="34"/>
      <c r="B69" s="35"/>
      <c r="C69" s="35"/>
      <c r="F69" s="29"/>
      <c r="I69" s="24"/>
      <c r="K69" s="28"/>
      <c r="P69" s="29"/>
      <c r="S69" s="24"/>
    </row>
    <row r="70" ht="15.75" hidden="1" customHeight="1">
      <c r="A70" s="34"/>
      <c r="B70" s="35"/>
      <c r="C70" s="35"/>
      <c r="F70" s="29"/>
      <c r="I70" s="24"/>
      <c r="K70" s="28"/>
      <c r="P70" s="29"/>
      <c r="S70" s="24"/>
    </row>
    <row r="71" ht="15.75" hidden="1" customHeight="1">
      <c r="A71" s="34"/>
      <c r="B71" s="35"/>
      <c r="C71" s="35"/>
      <c r="F71" s="29"/>
      <c r="I71" s="24"/>
      <c r="K71" s="28"/>
      <c r="P71" s="29"/>
      <c r="S71" s="24"/>
    </row>
    <row r="72" ht="15.75" hidden="1" customHeight="1">
      <c r="A72" s="34"/>
      <c r="B72" s="35"/>
      <c r="C72" s="35"/>
      <c r="F72" s="29"/>
      <c r="I72" s="24"/>
      <c r="K72" s="28"/>
      <c r="P72" s="29"/>
      <c r="S72" s="24"/>
    </row>
    <row r="73" ht="15.75" hidden="1" customHeight="1">
      <c r="A73" s="34"/>
      <c r="B73" s="35"/>
      <c r="C73" s="35"/>
      <c r="F73" s="29"/>
      <c r="I73" s="24"/>
      <c r="K73" s="28"/>
      <c r="P73" s="29"/>
      <c r="S73" s="24"/>
    </row>
    <row r="74" ht="15.75" hidden="1" customHeight="1">
      <c r="A74" s="34"/>
      <c r="B74" s="35"/>
      <c r="C74" s="35"/>
      <c r="F74" s="29"/>
      <c r="I74" s="24"/>
      <c r="K74" s="28"/>
      <c r="P74" s="29"/>
      <c r="S74" s="24"/>
    </row>
    <row r="75" ht="15.75" hidden="1" customHeight="1">
      <c r="A75" s="34"/>
      <c r="B75" s="35"/>
      <c r="C75" s="35"/>
      <c r="F75" s="29"/>
      <c r="I75" s="24"/>
      <c r="K75" s="28"/>
      <c r="P75" s="29"/>
      <c r="S75" s="24"/>
    </row>
    <row r="76" ht="15.75" hidden="1" customHeight="1">
      <c r="A76" s="34"/>
      <c r="B76" s="35"/>
      <c r="C76" s="35"/>
      <c r="F76" s="29"/>
      <c r="I76" s="24"/>
      <c r="K76" s="28"/>
      <c r="P76" s="29"/>
      <c r="S76" s="24"/>
    </row>
    <row r="77" ht="15.75" hidden="1" customHeight="1">
      <c r="A77" s="34"/>
      <c r="B77" s="35"/>
      <c r="C77" s="35"/>
      <c r="F77" s="29"/>
      <c r="I77" s="24"/>
      <c r="K77" s="28"/>
      <c r="P77" s="29"/>
      <c r="S77" s="24"/>
    </row>
    <row r="78" ht="15.75" hidden="1" customHeight="1">
      <c r="A78" s="34"/>
      <c r="B78" s="35"/>
      <c r="C78" s="35"/>
      <c r="F78" s="29"/>
      <c r="I78" s="24"/>
      <c r="K78" s="28"/>
      <c r="P78" s="29"/>
      <c r="S78" s="24"/>
    </row>
    <row r="79" ht="15.75" hidden="1" customHeight="1">
      <c r="A79" s="34"/>
      <c r="B79" s="35"/>
      <c r="C79" s="35"/>
      <c r="F79" s="29"/>
      <c r="I79" s="24"/>
      <c r="K79" s="28"/>
      <c r="P79" s="29"/>
      <c r="S79" s="24"/>
    </row>
    <row r="80" ht="15.75" hidden="1" customHeight="1">
      <c r="A80" s="34"/>
      <c r="B80" s="35"/>
      <c r="C80" s="35"/>
      <c r="F80" s="29"/>
      <c r="I80" s="24"/>
      <c r="K80" s="28"/>
      <c r="P80" s="29"/>
      <c r="S80" s="24"/>
    </row>
    <row r="81" ht="15.75" hidden="1" customHeight="1">
      <c r="A81" s="34"/>
      <c r="B81" s="35"/>
      <c r="C81" s="35"/>
      <c r="F81" s="29"/>
      <c r="I81" s="24"/>
      <c r="K81" s="28"/>
      <c r="P81" s="29"/>
      <c r="S81" s="24"/>
    </row>
    <row r="82" ht="15.75" hidden="1" customHeight="1">
      <c r="A82" s="34"/>
      <c r="B82" s="35"/>
      <c r="C82" s="35"/>
      <c r="F82" s="29"/>
      <c r="I82" s="24"/>
      <c r="K82" s="28"/>
      <c r="P82" s="29"/>
      <c r="S82" s="24"/>
    </row>
    <row r="83" ht="15.75" hidden="1" customHeight="1">
      <c r="A83" s="34"/>
      <c r="B83" s="35"/>
      <c r="C83" s="35"/>
      <c r="F83" s="29"/>
      <c r="I83" s="24"/>
      <c r="K83" s="28"/>
      <c r="P83" s="29"/>
      <c r="S83" s="24"/>
    </row>
    <row r="84" ht="15.75" hidden="1" customHeight="1">
      <c r="A84" s="34"/>
      <c r="B84" s="35"/>
      <c r="C84" s="35"/>
      <c r="F84" s="29"/>
      <c r="I84" s="24"/>
      <c r="K84" s="28"/>
      <c r="P84" s="29"/>
      <c r="S84" s="24"/>
    </row>
    <row r="85" ht="15.75" hidden="1" customHeight="1">
      <c r="A85" s="34"/>
      <c r="B85" s="35"/>
      <c r="C85" s="35"/>
      <c r="F85" s="29"/>
      <c r="I85" s="24"/>
      <c r="K85" s="28"/>
      <c r="P85" s="29"/>
      <c r="S85" s="24"/>
    </row>
    <row r="86" ht="15.75" hidden="1" customHeight="1">
      <c r="A86" s="34"/>
      <c r="B86" s="35"/>
      <c r="C86" s="35"/>
      <c r="F86" s="29"/>
      <c r="I86" s="24"/>
      <c r="K86" s="28"/>
      <c r="P86" s="29"/>
      <c r="S86" s="24"/>
    </row>
    <row r="87" ht="15.75" hidden="1" customHeight="1">
      <c r="A87" s="34"/>
      <c r="B87" s="35"/>
      <c r="C87" s="35"/>
      <c r="F87" s="29"/>
      <c r="I87" s="24"/>
      <c r="K87" s="28"/>
      <c r="P87" s="29"/>
      <c r="S87" s="24"/>
    </row>
    <row r="88" ht="15.75" hidden="1" customHeight="1">
      <c r="A88" s="34"/>
      <c r="B88" s="35"/>
      <c r="C88" s="35"/>
      <c r="F88" s="29"/>
      <c r="I88" s="24"/>
      <c r="K88" s="28"/>
      <c r="P88" s="29"/>
      <c r="S88" s="24"/>
    </row>
    <row r="89" ht="15.75" hidden="1" customHeight="1">
      <c r="A89" s="34"/>
      <c r="B89" s="35"/>
      <c r="C89" s="35"/>
      <c r="F89" s="29"/>
      <c r="I89" s="24"/>
      <c r="K89" s="28"/>
      <c r="P89" s="29"/>
      <c r="S89" s="24"/>
    </row>
    <row r="90" ht="15.75" hidden="1" customHeight="1">
      <c r="A90" s="34"/>
      <c r="B90" s="35"/>
      <c r="C90" s="35"/>
      <c r="F90" s="29"/>
      <c r="I90" s="24"/>
      <c r="K90" s="28"/>
      <c r="P90" s="29"/>
      <c r="S90" s="24"/>
    </row>
    <row r="91" ht="15.75" hidden="1" customHeight="1">
      <c r="A91" s="34"/>
      <c r="B91" s="35"/>
      <c r="C91" s="35"/>
      <c r="F91" s="29"/>
      <c r="I91" s="24"/>
      <c r="K91" s="28"/>
      <c r="P91" s="29"/>
      <c r="S91" s="24"/>
    </row>
    <row r="92" ht="15.75" hidden="1" customHeight="1">
      <c r="A92" s="34"/>
      <c r="B92" s="35"/>
      <c r="C92" s="35"/>
      <c r="F92" s="29"/>
      <c r="I92" s="24"/>
      <c r="K92" s="28"/>
      <c r="P92" s="29"/>
      <c r="S92" s="24"/>
    </row>
    <row r="93" ht="15.75" hidden="1" customHeight="1">
      <c r="A93" s="34"/>
      <c r="B93" s="35"/>
      <c r="C93" s="35"/>
      <c r="F93" s="29"/>
      <c r="I93" s="24"/>
      <c r="K93" s="28"/>
      <c r="P93" s="29"/>
      <c r="S93" s="24"/>
    </row>
    <row r="94" ht="15.75" hidden="1" customHeight="1">
      <c r="A94" s="34"/>
      <c r="B94" s="35"/>
      <c r="C94" s="35"/>
      <c r="F94" s="29"/>
      <c r="I94" s="24"/>
      <c r="K94" s="28"/>
      <c r="P94" s="29"/>
      <c r="S94" s="24"/>
    </row>
    <row r="95" ht="15.75" hidden="1" customHeight="1">
      <c r="A95" s="34"/>
      <c r="B95" s="35"/>
      <c r="C95" s="35"/>
      <c r="F95" s="29"/>
      <c r="I95" s="24"/>
      <c r="K95" s="28"/>
      <c r="P95" s="29"/>
      <c r="S95" s="24"/>
    </row>
    <row r="96" ht="15.75" hidden="1" customHeight="1">
      <c r="A96" s="34"/>
      <c r="B96" s="35"/>
      <c r="C96" s="35"/>
      <c r="F96" s="29"/>
      <c r="I96" s="24"/>
      <c r="K96" s="28"/>
      <c r="P96" s="29"/>
      <c r="S96" s="24"/>
    </row>
    <row r="97" ht="15.75" hidden="1" customHeight="1">
      <c r="A97" s="34"/>
      <c r="B97" s="35"/>
      <c r="C97" s="35"/>
      <c r="F97" s="29"/>
      <c r="I97" s="24"/>
      <c r="K97" s="28"/>
      <c r="P97" s="29"/>
      <c r="S97" s="24"/>
    </row>
    <row r="98" ht="15.75" hidden="1" customHeight="1">
      <c r="A98" s="34"/>
      <c r="B98" s="35"/>
      <c r="C98" s="35"/>
      <c r="F98" s="29"/>
      <c r="I98" s="24"/>
      <c r="K98" s="28"/>
      <c r="P98" s="29"/>
      <c r="S98" s="24"/>
    </row>
    <row r="99" ht="15.75" hidden="1" customHeight="1">
      <c r="A99" s="34"/>
      <c r="B99" s="35"/>
      <c r="C99" s="35"/>
      <c r="F99" s="29"/>
      <c r="I99" s="24"/>
      <c r="K99" s="28"/>
      <c r="P99" s="29"/>
      <c r="S99" s="24"/>
    </row>
    <row r="100" ht="15.75" hidden="1" customHeight="1">
      <c r="A100" s="34"/>
      <c r="B100" s="35"/>
      <c r="C100" s="35"/>
      <c r="F100" s="29"/>
      <c r="I100" s="24"/>
      <c r="K100" s="28"/>
      <c r="P100" s="29"/>
      <c r="S100" s="24"/>
    </row>
    <row r="101" ht="15.75" hidden="1" customHeight="1">
      <c r="A101" s="34"/>
      <c r="B101" s="35"/>
      <c r="C101" s="35"/>
      <c r="F101" s="29"/>
      <c r="I101" s="24"/>
      <c r="K101" s="28"/>
      <c r="P101" s="29"/>
      <c r="S101" s="24"/>
    </row>
    <row r="102" ht="15.75" hidden="1" customHeight="1">
      <c r="A102" s="34"/>
      <c r="B102" s="35"/>
      <c r="C102" s="35"/>
      <c r="F102" s="29"/>
      <c r="I102" s="24"/>
      <c r="K102" s="28"/>
      <c r="P102" s="29"/>
      <c r="S102" s="24"/>
    </row>
    <row r="103" ht="15.75" hidden="1" customHeight="1">
      <c r="A103" s="34"/>
      <c r="B103" s="35"/>
      <c r="C103" s="35"/>
      <c r="F103" s="29"/>
      <c r="I103" s="24"/>
      <c r="K103" s="28"/>
      <c r="P103" s="29"/>
      <c r="S103" s="24"/>
    </row>
    <row r="104" ht="15.75" hidden="1" customHeight="1">
      <c r="A104" s="34"/>
      <c r="B104" s="35"/>
      <c r="C104" s="35"/>
      <c r="F104" s="29"/>
      <c r="I104" s="24"/>
      <c r="K104" s="28"/>
      <c r="P104" s="29"/>
      <c r="S104" s="24"/>
    </row>
    <row r="105" ht="15.75" hidden="1" customHeight="1">
      <c r="A105" s="34"/>
      <c r="B105" s="35"/>
      <c r="C105" s="35"/>
      <c r="F105" s="29"/>
      <c r="I105" s="24"/>
      <c r="K105" s="28"/>
      <c r="P105" s="29"/>
      <c r="S105" s="24"/>
    </row>
    <row r="106" ht="15.75" hidden="1" customHeight="1">
      <c r="A106" s="34"/>
      <c r="B106" s="35"/>
      <c r="C106" s="35"/>
      <c r="F106" s="29"/>
      <c r="I106" s="24"/>
      <c r="K106" s="28"/>
      <c r="P106" s="29"/>
      <c r="S106" s="24"/>
    </row>
    <row r="107" ht="15.75" hidden="1" customHeight="1">
      <c r="A107" s="34"/>
      <c r="B107" s="35"/>
      <c r="C107" s="35"/>
      <c r="F107" s="29"/>
      <c r="I107" s="24"/>
      <c r="K107" s="28"/>
      <c r="P107" s="29"/>
      <c r="S107" s="24"/>
    </row>
    <row r="108" ht="15.75" hidden="1" customHeight="1">
      <c r="A108" s="34"/>
      <c r="B108" s="35"/>
      <c r="C108" s="35"/>
      <c r="F108" s="29"/>
      <c r="I108" s="24"/>
      <c r="K108" s="28"/>
      <c r="P108" s="29"/>
      <c r="S108" s="24"/>
    </row>
    <row r="109" ht="15.75" hidden="1" customHeight="1">
      <c r="A109" s="34"/>
      <c r="B109" s="35"/>
      <c r="C109" s="35"/>
      <c r="F109" s="29"/>
      <c r="I109" s="24"/>
      <c r="K109" s="28"/>
      <c r="P109" s="29"/>
      <c r="S109" s="24"/>
    </row>
    <row r="110" ht="15.75" hidden="1" customHeight="1">
      <c r="A110" s="34"/>
      <c r="B110" s="35"/>
      <c r="C110" s="35"/>
      <c r="F110" s="29"/>
      <c r="I110" s="24"/>
      <c r="K110" s="28"/>
      <c r="P110" s="29"/>
      <c r="S110" s="24"/>
    </row>
    <row r="111" ht="15.75" hidden="1" customHeight="1">
      <c r="A111" s="34"/>
      <c r="B111" s="35"/>
      <c r="C111" s="35"/>
      <c r="F111" s="29"/>
      <c r="I111" s="24"/>
      <c r="K111" s="28"/>
      <c r="P111" s="29"/>
      <c r="S111" s="24"/>
    </row>
    <row r="112" ht="15.75" hidden="1" customHeight="1">
      <c r="A112" s="34"/>
      <c r="B112" s="35"/>
      <c r="C112" s="35"/>
      <c r="F112" s="29"/>
      <c r="I112" s="24"/>
      <c r="K112" s="28"/>
      <c r="P112" s="29"/>
      <c r="S112" s="24"/>
    </row>
    <row r="113" ht="15.75" hidden="1" customHeight="1">
      <c r="A113" s="34"/>
      <c r="B113" s="35"/>
      <c r="C113" s="35"/>
      <c r="F113" s="29"/>
      <c r="I113" s="24"/>
      <c r="K113" s="28"/>
      <c r="P113" s="29"/>
      <c r="S113" s="24"/>
    </row>
    <row r="114" ht="15.75" hidden="1" customHeight="1">
      <c r="A114" s="34"/>
      <c r="B114" s="35"/>
      <c r="C114" s="35"/>
      <c r="F114" s="29"/>
      <c r="I114" s="24"/>
      <c r="K114" s="28"/>
      <c r="P114" s="29"/>
      <c r="S114" s="24"/>
    </row>
    <row r="115" ht="15.75" hidden="1" customHeight="1">
      <c r="A115" s="34"/>
      <c r="B115" s="35"/>
      <c r="C115" s="35"/>
      <c r="F115" s="29"/>
      <c r="I115" s="24"/>
      <c r="K115" s="28"/>
      <c r="P115" s="29"/>
      <c r="S115" s="24"/>
    </row>
    <row r="116" ht="15.75" hidden="1" customHeight="1">
      <c r="A116" s="34"/>
      <c r="B116" s="35"/>
      <c r="C116" s="35"/>
      <c r="F116" s="29"/>
      <c r="I116" s="24"/>
      <c r="K116" s="28"/>
      <c r="P116" s="29"/>
      <c r="S116" s="24"/>
    </row>
    <row r="117" ht="15.75" hidden="1" customHeight="1">
      <c r="A117" s="34"/>
      <c r="B117" s="35"/>
      <c r="C117" s="35"/>
      <c r="F117" s="29"/>
      <c r="I117" s="24"/>
      <c r="K117" s="28"/>
      <c r="P117" s="29"/>
      <c r="S117" s="24"/>
    </row>
    <row r="118" ht="15.75" hidden="1" customHeight="1">
      <c r="A118" s="34"/>
      <c r="B118" s="35"/>
      <c r="C118" s="35"/>
      <c r="F118" s="29"/>
      <c r="I118" s="24"/>
      <c r="K118" s="28"/>
      <c r="P118" s="29"/>
      <c r="S118" s="24"/>
    </row>
    <row r="119" ht="15.75" hidden="1" customHeight="1">
      <c r="A119" s="34"/>
      <c r="B119" s="35"/>
      <c r="C119" s="35"/>
      <c r="F119" s="29"/>
      <c r="I119" s="24"/>
      <c r="K119" s="28"/>
      <c r="P119" s="29"/>
      <c r="S119" s="24"/>
    </row>
    <row r="120" ht="15.75" hidden="1" customHeight="1">
      <c r="A120" s="34"/>
      <c r="B120" s="35"/>
      <c r="C120" s="35"/>
      <c r="F120" s="29"/>
      <c r="I120" s="24"/>
      <c r="K120" s="28"/>
      <c r="P120" s="29"/>
      <c r="S120" s="24"/>
    </row>
    <row r="121" ht="15.75" hidden="1" customHeight="1">
      <c r="A121" s="34"/>
      <c r="B121" s="35"/>
      <c r="C121" s="35"/>
      <c r="F121" s="29"/>
      <c r="I121" s="24"/>
      <c r="K121" s="28"/>
      <c r="P121" s="29"/>
      <c r="S121" s="24"/>
    </row>
    <row r="122" ht="15.75" hidden="1" customHeight="1">
      <c r="A122" s="34"/>
      <c r="B122" s="35"/>
      <c r="C122" s="35"/>
      <c r="F122" s="29"/>
      <c r="I122" s="24"/>
      <c r="K122" s="28"/>
      <c r="P122" s="29"/>
      <c r="S122" s="24"/>
    </row>
    <row r="123" ht="15.75" hidden="1" customHeight="1">
      <c r="A123" s="34"/>
      <c r="B123" s="35"/>
      <c r="C123" s="35"/>
      <c r="F123" s="29"/>
      <c r="I123" s="24"/>
      <c r="K123" s="28"/>
      <c r="P123" s="29"/>
      <c r="S123" s="24"/>
    </row>
    <row r="124" ht="15.75" hidden="1" customHeight="1">
      <c r="A124" s="34"/>
      <c r="B124" s="35"/>
      <c r="C124" s="35"/>
      <c r="F124" s="29"/>
      <c r="I124" s="24"/>
      <c r="K124" s="28"/>
      <c r="P124" s="29"/>
      <c r="S124" s="24"/>
    </row>
    <row r="125" ht="15.75" hidden="1" customHeight="1">
      <c r="A125" s="34"/>
      <c r="B125" s="35"/>
      <c r="C125" s="35"/>
      <c r="F125" s="29"/>
      <c r="I125" s="24"/>
      <c r="K125" s="28"/>
      <c r="P125" s="29"/>
      <c r="S125" s="24"/>
    </row>
    <row r="126" ht="15.75" hidden="1" customHeight="1">
      <c r="A126" s="34"/>
      <c r="B126" s="35"/>
      <c r="C126" s="35"/>
      <c r="F126" s="29"/>
      <c r="I126" s="24"/>
      <c r="K126" s="28"/>
      <c r="P126" s="29"/>
      <c r="S126" s="24"/>
    </row>
    <row r="127" ht="15.75" hidden="1" customHeight="1">
      <c r="A127" s="34"/>
      <c r="B127" s="35"/>
      <c r="C127" s="35"/>
      <c r="F127" s="29"/>
      <c r="I127" s="24"/>
      <c r="K127" s="28"/>
      <c r="P127" s="29"/>
      <c r="S127" s="24"/>
    </row>
    <row r="128" ht="15.75" hidden="1" customHeight="1">
      <c r="A128" s="34"/>
      <c r="B128" s="35"/>
      <c r="C128" s="35"/>
      <c r="F128" s="29"/>
      <c r="I128" s="24"/>
      <c r="K128" s="28"/>
      <c r="P128" s="29"/>
      <c r="S128" s="24"/>
    </row>
    <row r="129" ht="15.75" hidden="1" customHeight="1">
      <c r="A129" s="34"/>
      <c r="B129" s="35"/>
      <c r="C129" s="35"/>
      <c r="F129" s="29"/>
      <c r="I129" s="24"/>
      <c r="K129" s="28"/>
      <c r="P129" s="29"/>
      <c r="S129" s="24"/>
    </row>
    <row r="130" ht="15.75" hidden="1" customHeight="1">
      <c r="A130" s="34"/>
      <c r="B130" s="35"/>
      <c r="C130" s="35"/>
      <c r="F130" s="29"/>
      <c r="I130" s="24"/>
      <c r="K130" s="28"/>
      <c r="P130" s="29"/>
      <c r="S130" s="24"/>
    </row>
    <row r="131" ht="15.75" hidden="1" customHeight="1">
      <c r="A131" s="34"/>
      <c r="B131" s="35"/>
      <c r="C131" s="35"/>
      <c r="F131" s="29"/>
      <c r="I131" s="24"/>
      <c r="K131" s="28"/>
      <c r="P131" s="29"/>
      <c r="S131" s="24"/>
    </row>
    <row r="132" ht="15.75" hidden="1" customHeight="1">
      <c r="A132" s="34"/>
      <c r="B132" s="35"/>
      <c r="C132" s="35"/>
      <c r="F132" s="29"/>
      <c r="I132" s="24"/>
      <c r="K132" s="28"/>
      <c r="P132" s="29"/>
      <c r="S132" s="24"/>
    </row>
    <row r="133" ht="15.75" hidden="1" customHeight="1">
      <c r="A133" s="34"/>
      <c r="B133" s="35"/>
      <c r="C133" s="35"/>
      <c r="F133" s="29"/>
      <c r="I133" s="24"/>
      <c r="K133" s="28"/>
      <c r="P133" s="29"/>
      <c r="S133" s="24"/>
    </row>
    <row r="134" ht="15.75" hidden="1" customHeight="1">
      <c r="A134" s="34"/>
      <c r="B134" s="35"/>
      <c r="C134" s="35"/>
      <c r="F134" s="29"/>
      <c r="I134" s="24"/>
      <c r="K134" s="28"/>
      <c r="P134" s="29"/>
      <c r="S134" s="24"/>
    </row>
    <row r="135" ht="15.75" hidden="1" customHeight="1">
      <c r="A135" s="34"/>
      <c r="B135" s="35"/>
      <c r="C135" s="35"/>
      <c r="F135" s="29"/>
      <c r="I135" s="24"/>
      <c r="K135" s="28"/>
      <c r="P135" s="29"/>
      <c r="S135" s="24"/>
    </row>
    <row r="136" ht="15.75" hidden="1" customHeight="1">
      <c r="A136" s="34"/>
      <c r="B136" s="35"/>
      <c r="C136" s="35"/>
      <c r="F136" s="29"/>
      <c r="I136" s="24"/>
      <c r="K136" s="28"/>
      <c r="P136" s="29"/>
      <c r="S136" s="24"/>
    </row>
    <row r="137" ht="15.75" hidden="1" customHeight="1">
      <c r="A137" s="34"/>
      <c r="B137" s="35"/>
      <c r="C137" s="35"/>
      <c r="F137" s="29"/>
      <c r="I137" s="24"/>
      <c r="K137" s="28"/>
      <c r="P137" s="29"/>
      <c r="S137" s="24"/>
    </row>
    <row r="138" ht="15.75" hidden="1" customHeight="1">
      <c r="A138" s="34"/>
      <c r="B138" s="35"/>
      <c r="C138" s="35"/>
      <c r="F138" s="29"/>
      <c r="I138" s="24"/>
      <c r="K138" s="28"/>
      <c r="P138" s="29"/>
      <c r="S138" s="24"/>
    </row>
    <row r="139" ht="15.75" hidden="1" customHeight="1">
      <c r="A139" s="34"/>
      <c r="B139" s="35"/>
      <c r="C139" s="35"/>
      <c r="F139" s="29"/>
      <c r="I139" s="24"/>
      <c r="K139" s="28"/>
      <c r="P139" s="29"/>
      <c r="S139" s="24"/>
    </row>
    <row r="140" ht="15.75" hidden="1" customHeight="1">
      <c r="A140" s="34"/>
      <c r="B140" s="35"/>
      <c r="C140" s="35"/>
      <c r="F140" s="29"/>
      <c r="I140" s="24"/>
      <c r="K140" s="28"/>
      <c r="P140" s="29"/>
      <c r="S140" s="24"/>
    </row>
    <row r="141" ht="15.75" hidden="1" customHeight="1">
      <c r="A141" s="34"/>
      <c r="B141" s="35"/>
      <c r="C141" s="35"/>
      <c r="F141" s="29"/>
      <c r="I141" s="24"/>
      <c r="K141" s="28"/>
      <c r="P141" s="29"/>
      <c r="S141" s="24"/>
    </row>
    <row r="142" ht="15.75" hidden="1" customHeight="1">
      <c r="A142" s="34"/>
      <c r="B142" s="35"/>
      <c r="C142" s="35"/>
      <c r="F142" s="29"/>
      <c r="I142" s="24"/>
      <c r="K142" s="28"/>
      <c r="P142" s="29"/>
      <c r="S142" s="24"/>
    </row>
    <row r="143" ht="15.75" hidden="1" customHeight="1">
      <c r="A143" s="34"/>
      <c r="B143" s="35"/>
      <c r="C143" s="35"/>
      <c r="F143" s="29"/>
      <c r="I143" s="24"/>
      <c r="K143" s="28"/>
      <c r="P143" s="29"/>
      <c r="S143" s="24"/>
    </row>
    <row r="144" ht="15.75" hidden="1" customHeight="1">
      <c r="A144" s="34"/>
      <c r="B144" s="35"/>
      <c r="C144" s="35"/>
      <c r="F144" s="29"/>
      <c r="I144" s="24"/>
      <c r="K144" s="28"/>
      <c r="P144" s="29"/>
      <c r="S144" s="24"/>
    </row>
    <row r="145" ht="15.75" hidden="1" customHeight="1">
      <c r="A145" s="34"/>
      <c r="B145" s="35"/>
      <c r="C145" s="35"/>
      <c r="F145" s="29"/>
      <c r="I145" s="24"/>
      <c r="K145" s="28"/>
      <c r="P145" s="29"/>
      <c r="S145" s="24"/>
    </row>
    <row r="146" ht="15.75" hidden="1" customHeight="1">
      <c r="A146" s="34"/>
      <c r="B146" s="35"/>
      <c r="C146" s="35"/>
      <c r="F146" s="29"/>
      <c r="I146" s="24"/>
      <c r="K146" s="28"/>
      <c r="P146" s="29"/>
      <c r="S146" s="24"/>
    </row>
    <row r="147" ht="15.75" hidden="1" customHeight="1">
      <c r="A147" s="34"/>
      <c r="B147" s="35"/>
      <c r="C147" s="35"/>
      <c r="F147" s="29"/>
      <c r="I147" s="24"/>
      <c r="K147" s="28"/>
      <c r="P147" s="29"/>
      <c r="S147" s="24"/>
    </row>
    <row r="148" ht="15.75" hidden="1" customHeight="1">
      <c r="A148" s="34"/>
      <c r="B148" s="35"/>
      <c r="C148" s="35"/>
      <c r="F148" s="29"/>
      <c r="I148" s="24"/>
      <c r="K148" s="28"/>
      <c r="P148" s="29"/>
      <c r="S148" s="24"/>
    </row>
    <row r="149" ht="15.75" hidden="1" customHeight="1">
      <c r="A149" s="34"/>
      <c r="B149" s="35"/>
      <c r="C149" s="35"/>
      <c r="F149" s="29"/>
      <c r="I149" s="24"/>
      <c r="K149" s="28"/>
      <c r="P149" s="29"/>
      <c r="S149" s="24"/>
    </row>
    <row r="150" ht="15.75" hidden="1" customHeight="1">
      <c r="A150" s="34"/>
      <c r="B150" s="35"/>
      <c r="C150" s="35"/>
      <c r="F150" s="29"/>
      <c r="I150" s="24"/>
      <c r="K150" s="28"/>
      <c r="P150" s="29"/>
      <c r="S150" s="24"/>
    </row>
    <row r="151" ht="15.75" hidden="1" customHeight="1">
      <c r="A151" s="34"/>
      <c r="B151" s="35"/>
      <c r="C151" s="35"/>
      <c r="F151" s="29"/>
      <c r="I151" s="24"/>
      <c r="K151" s="28"/>
      <c r="P151" s="29"/>
      <c r="S151" s="24"/>
    </row>
    <row r="152" ht="15.75" hidden="1" customHeight="1">
      <c r="A152" s="34"/>
      <c r="B152" s="35"/>
      <c r="C152" s="35"/>
      <c r="F152" s="29"/>
      <c r="I152" s="24"/>
      <c r="K152" s="28"/>
      <c r="P152" s="29"/>
      <c r="S152" s="24"/>
    </row>
    <row r="153" ht="15.75" hidden="1" customHeight="1">
      <c r="A153" s="34"/>
      <c r="B153" s="35"/>
      <c r="C153" s="35"/>
      <c r="F153" s="29"/>
      <c r="I153" s="24"/>
      <c r="K153" s="28"/>
      <c r="P153" s="29"/>
      <c r="S153" s="24"/>
    </row>
    <row r="154" ht="15.75" hidden="1" customHeight="1">
      <c r="A154" s="34"/>
      <c r="B154" s="35"/>
      <c r="C154" s="35"/>
      <c r="F154" s="29"/>
      <c r="I154" s="24"/>
      <c r="K154" s="28"/>
      <c r="P154" s="29"/>
      <c r="S154" s="24"/>
    </row>
    <row r="155" ht="15.75" hidden="1" customHeight="1">
      <c r="A155" s="34"/>
      <c r="B155" s="35"/>
      <c r="C155" s="35"/>
      <c r="F155" s="29"/>
      <c r="I155" s="24"/>
      <c r="K155" s="28"/>
      <c r="P155" s="29"/>
      <c r="S155" s="24"/>
    </row>
    <row r="156" ht="15.75" hidden="1" customHeight="1">
      <c r="A156" s="34"/>
      <c r="B156" s="35"/>
      <c r="C156" s="35"/>
      <c r="F156" s="29"/>
      <c r="I156" s="24"/>
      <c r="K156" s="28"/>
      <c r="P156" s="29"/>
      <c r="S156" s="24"/>
    </row>
    <row r="157" ht="15.75" hidden="1" customHeight="1">
      <c r="A157" s="34"/>
      <c r="B157" s="35"/>
      <c r="C157" s="35"/>
      <c r="F157" s="29"/>
      <c r="I157" s="24"/>
      <c r="K157" s="28"/>
      <c r="P157" s="29"/>
      <c r="S157" s="24"/>
    </row>
    <row r="158" ht="15.75" hidden="1" customHeight="1">
      <c r="A158" s="34"/>
      <c r="B158" s="35"/>
      <c r="C158" s="35"/>
      <c r="F158" s="29"/>
      <c r="I158" s="24"/>
      <c r="K158" s="28"/>
      <c r="P158" s="29"/>
      <c r="S158" s="24"/>
    </row>
    <row r="159" ht="15.75" hidden="1" customHeight="1">
      <c r="A159" s="34"/>
      <c r="B159" s="35"/>
      <c r="C159" s="35"/>
      <c r="F159" s="29"/>
      <c r="I159" s="24"/>
      <c r="K159" s="28"/>
      <c r="P159" s="29"/>
      <c r="S159" s="24"/>
    </row>
    <row r="160" ht="15.75" hidden="1" customHeight="1">
      <c r="A160" s="34"/>
      <c r="B160" s="35"/>
      <c r="C160" s="35"/>
      <c r="F160" s="29"/>
      <c r="I160" s="24"/>
      <c r="K160" s="28"/>
      <c r="P160" s="29"/>
      <c r="S160" s="24"/>
    </row>
    <row r="161" ht="15.75" hidden="1" customHeight="1">
      <c r="A161" s="34"/>
      <c r="B161" s="35"/>
      <c r="C161" s="35"/>
      <c r="F161" s="29"/>
      <c r="I161" s="24"/>
      <c r="K161" s="28"/>
      <c r="P161" s="29"/>
      <c r="S161" s="24"/>
    </row>
    <row r="162" ht="15.75" hidden="1" customHeight="1">
      <c r="A162" s="34"/>
      <c r="B162" s="35"/>
      <c r="C162" s="35"/>
      <c r="F162" s="29"/>
      <c r="I162" s="24"/>
      <c r="K162" s="28"/>
      <c r="P162" s="29"/>
      <c r="S162" s="24"/>
    </row>
    <row r="163" ht="15.75" hidden="1" customHeight="1">
      <c r="A163" s="34"/>
      <c r="B163" s="35"/>
      <c r="C163" s="35"/>
      <c r="F163" s="29"/>
      <c r="I163" s="24"/>
      <c r="K163" s="28"/>
      <c r="P163" s="29"/>
      <c r="S163" s="24"/>
    </row>
    <row r="164" ht="15.75" hidden="1" customHeight="1">
      <c r="A164" s="34"/>
      <c r="B164" s="35"/>
      <c r="C164" s="35"/>
      <c r="F164" s="29"/>
      <c r="I164" s="24"/>
      <c r="K164" s="28"/>
      <c r="P164" s="29"/>
      <c r="S164" s="24"/>
    </row>
    <row r="165" ht="15.75" hidden="1" customHeight="1">
      <c r="A165" s="34"/>
      <c r="B165" s="35"/>
      <c r="F165" s="29"/>
      <c r="I165" s="24"/>
      <c r="K165" s="28"/>
      <c r="P165" s="29"/>
      <c r="S165" s="24"/>
    </row>
    <row r="166" ht="15.75" hidden="1" customHeight="1">
      <c r="A166" s="34"/>
      <c r="C166" s="35"/>
      <c r="F166" s="29"/>
      <c r="I166" s="24"/>
      <c r="K166" s="28"/>
      <c r="P166" s="29"/>
      <c r="S166" s="24"/>
    </row>
    <row r="167" ht="15.75" hidden="1" customHeight="1">
      <c r="A167" s="34"/>
      <c r="B167" s="35"/>
      <c r="C167" s="35"/>
      <c r="F167" s="29"/>
      <c r="I167" s="24"/>
      <c r="K167" s="28"/>
      <c r="P167" s="29"/>
      <c r="S167" s="24"/>
    </row>
    <row r="168" ht="15.75" hidden="1" customHeight="1">
      <c r="A168" s="34"/>
      <c r="B168" s="35"/>
      <c r="C168" s="35"/>
      <c r="F168" s="29"/>
      <c r="I168" s="24"/>
      <c r="K168" s="28"/>
      <c r="P168" s="29"/>
      <c r="S168" s="24"/>
    </row>
    <row r="169" ht="15.75" hidden="1" customHeight="1">
      <c r="A169" s="34"/>
      <c r="B169" s="35"/>
      <c r="C169" s="35"/>
      <c r="F169" s="29"/>
      <c r="I169" s="24"/>
      <c r="K169" s="28"/>
      <c r="P169" s="29"/>
      <c r="S169" s="24"/>
    </row>
    <row r="170" ht="15.75" hidden="1" customHeight="1">
      <c r="A170" s="34"/>
      <c r="B170" s="35"/>
      <c r="C170" s="35"/>
      <c r="F170" s="29"/>
      <c r="I170" s="24"/>
      <c r="K170" s="28"/>
      <c r="P170" s="29"/>
      <c r="S170" s="24"/>
    </row>
    <row r="171" ht="15.75" hidden="1" customHeight="1">
      <c r="A171" s="34"/>
      <c r="B171" s="35"/>
      <c r="C171" s="35"/>
      <c r="F171" s="29"/>
      <c r="I171" s="24"/>
      <c r="K171" s="28"/>
      <c r="P171" s="29"/>
      <c r="S171" s="24"/>
    </row>
    <row r="172" ht="15.75" hidden="1" customHeight="1">
      <c r="A172" s="34"/>
      <c r="B172" s="35"/>
      <c r="C172" s="35"/>
      <c r="F172" s="29"/>
      <c r="I172" s="24"/>
      <c r="K172" s="28"/>
      <c r="P172" s="29"/>
      <c r="S172" s="24"/>
    </row>
    <row r="173" ht="15.75" hidden="1" customHeight="1">
      <c r="A173" s="34"/>
      <c r="B173" s="35"/>
      <c r="C173" s="35"/>
      <c r="F173" s="29"/>
      <c r="I173" s="24"/>
      <c r="K173" s="28"/>
      <c r="P173" s="29"/>
      <c r="S173" s="24"/>
    </row>
    <row r="174" ht="15.75" hidden="1" customHeight="1">
      <c r="A174" s="34"/>
      <c r="B174" s="35"/>
      <c r="C174" s="35"/>
      <c r="F174" s="29"/>
      <c r="I174" s="24"/>
      <c r="K174" s="28"/>
      <c r="P174" s="29"/>
      <c r="S174" s="24"/>
    </row>
    <row r="175" ht="15.75" hidden="1" customHeight="1">
      <c r="A175" s="34"/>
      <c r="B175" s="35"/>
      <c r="C175" s="35"/>
      <c r="F175" s="29"/>
      <c r="I175" s="24"/>
      <c r="K175" s="28"/>
      <c r="P175" s="29"/>
      <c r="S175" s="24"/>
    </row>
    <row r="176" ht="15.75" hidden="1" customHeight="1">
      <c r="A176" s="34"/>
      <c r="B176" s="35"/>
      <c r="C176" s="35"/>
      <c r="F176" s="29"/>
      <c r="I176" s="24"/>
      <c r="K176" s="28"/>
      <c r="P176" s="29"/>
      <c r="S176" s="24"/>
    </row>
    <row r="177" ht="15.75" hidden="1" customHeight="1">
      <c r="A177" s="34"/>
      <c r="B177" s="35"/>
      <c r="C177" s="35"/>
      <c r="F177" s="29"/>
      <c r="I177" s="24"/>
      <c r="K177" s="28"/>
      <c r="P177" s="29"/>
      <c r="S177" s="24"/>
    </row>
    <row r="178" ht="15.75" hidden="1" customHeight="1">
      <c r="A178" s="34"/>
      <c r="B178" s="35"/>
      <c r="C178" s="35"/>
      <c r="F178" s="29"/>
      <c r="I178" s="24"/>
      <c r="K178" s="28"/>
      <c r="P178" s="29"/>
      <c r="S178" s="24"/>
    </row>
    <row r="179" ht="15.75" hidden="1" customHeight="1">
      <c r="A179" s="34"/>
      <c r="B179" s="35"/>
      <c r="C179" s="35"/>
      <c r="F179" s="29"/>
      <c r="I179" s="24"/>
      <c r="K179" s="28"/>
      <c r="P179" s="29"/>
      <c r="S179" s="24"/>
    </row>
    <row r="180" ht="15.75" hidden="1" customHeight="1">
      <c r="A180" s="34"/>
      <c r="B180" s="35"/>
      <c r="C180" s="35"/>
      <c r="F180" s="29"/>
      <c r="I180" s="24"/>
      <c r="K180" s="28"/>
      <c r="P180" s="29"/>
      <c r="S180" s="24"/>
    </row>
    <row r="181" ht="15.75" hidden="1" customHeight="1">
      <c r="A181" s="34"/>
      <c r="B181" s="35"/>
      <c r="C181" s="35"/>
      <c r="F181" s="29"/>
      <c r="I181" s="24"/>
      <c r="K181" s="28"/>
      <c r="P181" s="29"/>
      <c r="S181" s="24"/>
    </row>
    <row r="182" ht="15.75" hidden="1" customHeight="1">
      <c r="A182" s="34"/>
      <c r="B182" s="35"/>
      <c r="C182" s="35"/>
      <c r="F182" s="29"/>
      <c r="I182" s="24"/>
      <c r="K182" s="28"/>
      <c r="P182" s="29"/>
      <c r="S182" s="24"/>
    </row>
    <row r="183" ht="15.75" hidden="1" customHeight="1">
      <c r="A183" s="34"/>
      <c r="B183" s="35"/>
      <c r="C183" s="35"/>
      <c r="F183" s="29"/>
      <c r="I183" s="24"/>
      <c r="K183" s="28"/>
      <c r="P183" s="29"/>
      <c r="S183" s="24"/>
    </row>
    <row r="184" ht="15.75" hidden="1" customHeight="1">
      <c r="A184" s="34"/>
      <c r="B184" s="35"/>
      <c r="C184" s="35"/>
      <c r="F184" s="29"/>
      <c r="I184" s="24"/>
      <c r="K184" s="28"/>
      <c r="P184" s="29"/>
      <c r="S184" s="24"/>
    </row>
    <row r="185" ht="15.75" hidden="1" customHeight="1">
      <c r="A185" s="34"/>
      <c r="B185" s="35"/>
      <c r="C185" s="35"/>
      <c r="F185" s="29"/>
      <c r="I185" s="24"/>
      <c r="K185" s="28"/>
      <c r="P185" s="29"/>
      <c r="S185" s="24"/>
    </row>
    <row r="186" ht="15.75" hidden="1" customHeight="1">
      <c r="A186" s="34"/>
      <c r="B186" s="35"/>
      <c r="C186" s="35"/>
      <c r="F186" s="29"/>
      <c r="I186" s="24"/>
      <c r="K186" s="28"/>
      <c r="P186" s="29"/>
      <c r="S186" s="24"/>
    </row>
    <row r="187" ht="15.75" hidden="1" customHeight="1">
      <c r="A187" s="34"/>
      <c r="B187" s="35"/>
      <c r="C187" s="35"/>
      <c r="F187" s="29"/>
      <c r="I187" s="24"/>
      <c r="K187" s="28"/>
      <c r="P187" s="29"/>
      <c r="S187" s="24"/>
    </row>
    <row r="188" ht="15.75" hidden="1" customHeight="1">
      <c r="A188" s="34"/>
      <c r="B188" s="35"/>
      <c r="C188" s="35"/>
      <c r="F188" s="29"/>
      <c r="I188" s="24"/>
      <c r="K188" s="28"/>
      <c r="P188" s="29"/>
      <c r="S188" s="24"/>
    </row>
    <row r="189" ht="15.75" hidden="1" customHeight="1">
      <c r="A189" s="34"/>
      <c r="B189" s="35"/>
      <c r="C189" s="35"/>
      <c r="F189" s="29"/>
      <c r="I189" s="24"/>
      <c r="K189" s="28"/>
      <c r="P189" s="29"/>
      <c r="S189" s="24"/>
    </row>
    <row r="190" ht="15.75" hidden="1" customHeight="1">
      <c r="A190" s="34"/>
      <c r="B190" s="35"/>
      <c r="C190" s="35"/>
      <c r="F190" s="29"/>
      <c r="I190" s="24"/>
      <c r="K190" s="28"/>
      <c r="P190" s="29"/>
      <c r="S190" s="24"/>
    </row>
    <row r="191" ht="15.75" hidden="1" customHeight="1">
      <c r="A191" s="34"/>
      <c r="B191" s="35"/>
      <c r="C191" s="35"/>
      <c r="F191" s="29"/>
      <c r="I191" s="24"/>
      <c r="K191" s="28"/>
      <c r="P191" s="29"/>
      <c r="S191" s="24"/>
    </row>
    <row r="192" ht="15.75" hidden="1" customHeight="1">
      <c r="A192" s="34"/>
      <c r="B192" s="35"/>
      <c r="C192" s="35"/>
      <c r="F192" s="29"/>
      <c r="I192" s="24"/>
      <c r="K192" s="28"/>
      <c r="P192" s="29"/>
      <c r="S192" s="24"/>
    </row>
    <row r="193" ht="15.75" hidden="1" customHeight="1">
      <c r="A193" s="34"/>
      <c r="B193" s="35"/>
      <c r="C193" s="35"/>
      <c r="F193" s="29"/>
      <c r="I193" s="24"/>
      <c r="K193" s="28"/>
      <c r="P193" s="29"/>
      <c r="S193" s="24"/>
    </row>
    <row r="194" ht="15.75" hidden="1" customHeight="1">
      <c r="A194" s="34"/>
      <c r="B194" s="35"/>
      <c r="C194" s="35"/>
      <c r="F194" s="29"/>
      <c r="I194" s="24"/>
      <c r="K194" s="28"/>
      <c r="P194" s="29"/>
      <c r="S194" s="24"/>
    </row>
    <row r="195" ht="15.75" hidden="1" customHeight="1">
      <c r="A195" s="34"/>
      <c r="B195" s="35"/>
      <c r="C195" s="35"/>
      <c r="F195" s="29"/>
      <c r="I195" s="24"/>
      <c r="K195" s="28"/>
      <c r="P195" s="29"/>
      <c r="S195" s="24"/>
    </row>
    <row r="196" ht="15.75" hidden="1" customHeight="1">
      <c r="A196" s="34"/>
      <c r="B196" s="35"/>
      <c r="C196" s="35"/>
      <c r="F196" s="29"/>
      <c r="I196" s="24"/>
      <c r="K196" s="28"/>
      <c r="P196" s="29"/>
      <c r="S196" s="24"/>
    </row>
    <row r="197" ht="15.75" hidden="1" customHeight="1">
      <c r="A197" s="34"/>
      <c r="B197" s="35"/>
      <c r="C197" s="35"/>
      <c r="F197" s="29"/>
      <c r="I197" s="24"/>
      <c r="K197" s="28"/>
      <c r="P197" s="29"/>
      <c r="S197" s="24"/>
    </row>
    <row r="198" ht="15.75" hidden="1" customHeight="1">
      <c r="A198" s="34"/>
      <c r="B198" s="35"/>
      <c r="C198" s="35"/>
      <c r="F198" s="29"/>
      <c r="I198" s="24"/>
      <c r="K198" s="28"/>
      <c r="P198" s="29"/>
      <c r="S198" s="24"/>
    </row>
    <row r="199" ht="15.75" hidden="1" customHeight="1">
      <c r="A199" s="34"/>
      <c r="B199" s="35"/>
      <c r="C199" s="35"/>
      <c r="F199" s="29"/>
      <c r="I199" s="24"/>
      <c r="K199" s="28"/>
      <c r="P199" s="29"/>
      <c r="S199" s="24"/>
    </row>
    <row r="200" ht="15.75" hidden="1" customHeight="1">
      <c r="A200" s="34"/>
      <c r="B200" s="35"/>
      <c r="C200" s="35"/>
      <c r="F200" s="29"/>
      <c r="I200" s="24"/>
      <c r="K200" s="28"/>
      <c r="P200" s="29"/>
      <c r="S200" s="24"/>
    </row>
    <row r="201" ht="15.75" hidden="1" customHeight="1">
      <c r="A201" s="34"/>
      <c r="B201" s="35"/>
      <c r="C201" s="35"/>
      <c r="F201" s="29"/>
      <c r="I201" s="24"/>
      <c r="K201" s="28"/>
      <c r="P201" s="29"/>
      <c r="S201" s="24"/>
    </row>
    <row r="202" ht="15.75" hidden="1" customHeight="1">
      <c r="A202" s="34"/>
      <c r="B202" s="35"/>
      <c r="C202" s="35"/>
      <c r="F202" s="29"/>
      <c r="I202" s="24"/>
      <c r="K202" s="28"/>
      <c r="P202" s="29"/>
      <c r="S202" s="24"/>
    </row>
    <row r="203" ht="15.75" hidden="1" customHeight="1">
      <c r="A203" s="34"/>
      <c r="B203" s="35"/>
      <c r="C203" s="35"/>
      <c r="F203" s="29"/>
      <c r="I203" s="24"/>
      <c r="K203" s="28"/>
      <c r="P203" s="29"/>
      <c r="S203" s="24"/>
    </row>
    <row r="204" ht="15.75" hidden="1" customHeight="1">
      <c r="A204" s="34"/>
      <c r="B204" s="35"/>
      <c r="C204" s="35"/>
      <c r="F204" s="29"/>
      <c r="I204" s="24"/>
      <c r="K204" s="28"/>
      <c r="P204" s="29"/>
      <c r="S204" s="24"/>
    </row>
    <row r="205" ht="15.75" hidden="1" customHeight="1">
      <c r="A205" s="34"/>
      <c r="B205" s="35"/>
      <c r="C205" s="35"/>
      <c r="F205" s="29"/>
      <c r="I205" s="24"/>
      <c r="K205" s="28"/>
      <c r="P205" s="29"/>
      <c r="S205" s="24"/>
    </row>
    <row r="206" ht="15.75" hidden="1" customHeight="1">
      <c r="A206" s="34"/>
      <c r="B206" s="35"/>
      <c r="C206" s="35"/>
      <c r="F206" s="29"/>
      <c r="I206" s="24"/>
      <c r="K206" s="28"/>
      <c r="P206" s="29"/>
      <c r="S206" s="24"/>
    </row>
    <row r="207" ht="15.75" hidden="1" customHeight="1">
      <c r="A207" s="34"/>
      <c r="B207" s="35"/>
      <c r="C207" s="35"/>
      <c r="F207" s="29"/>
      <c r="I207" s="24"/>
      <c r="K207" s="28"/>
      <c r="P207" s="29"/>
      <c r="S207" s="24"/>
    </row>
    <row r="208" ht="15.75" hidden="1" customHeight="1">
      <c r="A208" s="34"/>
      <c r="B208" s="35"/>
      <c r="C208" s="35"/>
      <c r="F208" s="29"/>
      <c r="I208" s="24"/>
      <c r="K208" s="28"/>
      <c r="P208" s="29"/>
      <c r="S208" s="24"/>
    </row>
    <row r="209" ht="15.75" hidden="1" customHeight="1">
      <c r="A209" s="34"/>
      <c r="B209" s="35"/>
      <c r="C209" s="35"/>
      <c r="F209" s="29"/>
      <c r="I209" s="24"/>
      <c r="K209" s="28"/>
      <c r="P209" s="29"/>
      <c r="S209" s="24"/>
    </row>
    <row r="210" ht="15.75" hidden="1" customHeight="1">
      <c r="A210" s="34"/>
      <c r="B210" s="35"/>
      <c r="C210" s="35"/>
      <c r="F210" s="29"/>
      <c r="I210" s="24"/>
      <c r="K210" s="28"/>
      <c r="P210" s="29"/>
      <c r="S210" s="24"/>
    </row>
    <row r="211" ht="15.75" hidden="1" customHeight="1">
      <c r="A211" s="34"/>
      <c r="B211" s="35"/>
      <c r="C211" s="35"/>
      <c r="F211" s="29"/>
      <c r="I211" s="24"/>
      <c r="K211" s="28"/>
      <c r="P211" s="29"/>
      <c r="S211" s="24"/>
    </row>
    <row r="212" ht="15.75" hidden="1" customHeight="1">
      <c r="A212" s="34"/>
      <c r="B212" s="35"/>
      <c r="C212" s="35"/>
      <c r="F212" s="29"/>
      <c r="I212" s="24"/>
      <c r="K212" s="28"/>
      <c r="P212" s="29"/>
      <c r="S212" s="24"/>
    </row>
    <row r="213" ht="15.75" hidden="1" customHeight="1">
      <c r="A213" s="34"/>
      <c r="B213" s="35"/>
      <c r="C213" s="35"/>
      <c r="F213" s="29"/>
      <c r="I213" s="24"/>
      <c r="K213" s="28"/>
      <c r="P213" s="29"/>
      <c r="S213" s="24"/>
    </row>
    <row r="214" ht="15.75" hidden="1" customHeight="1">
      <c r="A214" s="34"/>
      <c r="B214" s="35"/>
      <c r="C214" s="35"/>
      <c r="F214" s="29"/>
      <c r="I214" s="24"/>
      <c r="K214" s="28"/>
      <c r="P214" s="29"/>
      <c r="S214" s="24"/>
    </row>
    <row r="215" ht="15.75" hidden="1" customHeight="1">
      <c r="A215" s="34"/>
      <c r="B215" s="35"/>
      <c r="C215" s="35"/>
      <c r="F215" s="29"/>
      <c r="I215" s="24"/>
      <c r="K215" s="28"/>
      <c r="P215" s="29"/>
      <c r="S215" s="24"/>
    </row>
    <row r="216" ht="15.75" hidden="1" customHeight="1">
      <c r="A216" s="34"/>
      <c r="B216" s="35"/>
      <c r="C216" s="35"/>
      <c r="F216" s="29"/>
      <c r="I216" s="24"/>
      <c r="K216" s="28"/>
      <c r="P216" s="29"/>
      <c r="S216" s="24"/>
    </row>
    <row r="217" ht="15.75" hidden="1" customHeight="1">
      <c r="A217" s="34"/>
      <c r="B217" s="35"/>
      <c r="C217" s="35"/>
      <c r="F217" s="29"/>
      <c r="I217" s="24"/>
      <c r="K217" s="28"/>
      <c r="P217" s="29"/>
      <c r="S217" s="24"/>
    </row>
    <row r="218" ht="15.75" hidden="1" customHeight="1">
      <c r="A218" s="34"/>
      <c r="B218" s="35"/>
      <c r="C218" s="35"/>
      <c r="F218" s="29"/>
      <c r="I218" s="24"/>
      <c r="K218" s="28"/>
      <c r="P218" s="29"/>
      <c r="S218" s="24"/>
    </row>
    <row r="219" ht="15.75" hidden="1" customHeight="1">
      <c r="A219" s="34"/>
      <c r="B219" s="35"/>
      <c r="C219" s="35"/>
      <c r="F219" s="29"/>
      <c r="I219" s="24"/>
      <c r="K219" s="28"/>
      <c r="P219" s="29"/>
      <c r="S219" s="24"/>
    </row>
    <row r="220" ht="15.75" hidden="1" customHeight="1">
      <c r="A220" s="34"/>
      <c r="B220" s="35"/>
      <c r="C220" s="35"/>
      <c r="F220" s="29"/>
      <c r="I220" s="24"/>
      <c r="K220" s="28"/>
      <c r="P220" s="29"/>
      <c r="S220" s="24"/>
    </row>
    <row r="221" ht="15.75" hidden="1" customHeight="1">
      <c r="A221" s="34"/>
      <c r="B221" s="35"/>
      <c r="C221" s="35"/>
      <c r="F221" s="29"/>
      <c r="I221" s="24"/>
      <c r="K221" s="28"/>
      <c r="P221" s="29"/>
      <c r="S221" s="24"/>
    </row>
    <row r="222" ht="15.75" hidden="1" customHeight="1">
      <c r="A222" s="34"/>
      <c r="B222" s="35"/>
      <c r="C222" s="35"/>
      <c r="F222" s="29"/>
      <c r="I222" s="24"/>
      <c r="K222" s="28"/>
      <c r="P222" s="29"/>
      <c r="S222" s="24"/>
    </row>
    <row r="223" ht="15.75" hidden="1" customHeight="1">
      <c r="A223" s="34"/>
      <c r="B223" s="35"/>
      <c r="C223" s="35"/>
      <c r="F223" s="29"/>
      <c r="I223" s="24"/>
      <c r="K223" s="28"/>
      <c r="P223" s="29"/>
      <c r="S223" s="24"/>
    </row>
    <row r="224" ht="15.75" hidden="1" customHeight="1">
      <c r="A224" s="34"/>
      <c r="B224" s="35"/>
      <c r="C224" s="35"/>
      <c r="F224" s="29"/>
      <c r="I224" s="24"/>
      <c r="K224" s="28"/>
      <c r="P224" s="29"/>
      <c r="S224" s="24"/>
    </row>
    <row r="225" ht="15.75" hidden="1" customHeight="1">
      <c r="A225" s="34"/>
      <c r="B225" s="35"/>
      <c r="C225" s="35"/>
      <c r="F225" s="29"/>
      <c r="I225" s="24"/>
      <c r="K225" s="28"/>
      <c r="P225" s="29"/>
      <c r="S225" s="24"/>
    </row>
    <row r="226" ht="15.75" hidden="1" customHeight="1">
      <c r="A226" s="34"/>
      <c r="B226" s="35"/>
      <c r="C226" s="35"/>
      <c r="F226" s="29"/>
      <c r="I226" s="24"/>
      <c r="K226" s="28"/>
      <c r="P226" s="29"/>
      <c r="S226" s="24"/>
    </row>
    <row r="227" ht="15.75" hidden="1" customHeight="1">
      <c r="A227" s="34"/>
      <c r="B227" s="35"/>
      <c r="C227" s="35"/>
      <c r="F227" s="29"/>
      <c r="I227" s="24"/>
      <c r="K227" s="28"/>
      <c r="P227" s="29"/>
      <c r="S227" s="24"/>
    </row>
    <row r="228" ht="15.75" hidden="1" customHeight="1">
      <c r="A228" s="34"/>
      <c r="B228" s="35"/>
      <c r="C228" s="35"/>
      <c r="F228" s="29"/>
      <c r="I228" s="24"/>
      <c r="K228" s="28"/>
      <c r="P228" s="29"/>
      <c r="S228" s="24"/>
    </row>
    <row r="229" ht="15.75" hidden="1" customHeight="1">
      <c r="A229" s="34"/>
      <c r="B229" s="35"/>
      <c r="C229" s="35"/>
      <c r="F229" s="29"/>
      <c r="I229" s="24"/>
      <c r="K229" s="28"/>
      <c r="P229" s="29"/>
      <c r="S229" s="24"/>
    </row>
    <row r="230" ht="15.75" hidden="1" customHeight="1">
      <c r="A230" s="34"/>
      <c r="B230" s="35"/>
      <c r="C230" s="35"/>
      <c r="F230" s="29"/>
      <c r="I230" s="24"/>
      <c r="K230" s="28"/>
      <c r="P230" s="29"/>
      <c r="S230" s="24"/>
    </row>
    <row r="231" ht="15.75" hidden="1" customHeight="1">
      <c r="A231" s="34"/>
      <c r="B231" s="35"/>
      <c r="C231" s="35"/>
      <c r="F231" s="29"/>
      <c r="I231" s="24"/>
      <c r="K231" s="28"/>
      <c r="P231" s="29"/>
      <c r="S231" s="24"/>
    </row>
    <row r="232" ht="15.75" hidden="1" customHeight="1">
      <c r="A232" s="34"/>
      <c r="B232" s="35"/>
      <c r="C232" s="35"/>
      <c r="F232" s="29"/>
      <c r="I232" s="24"/>
      <c r="K232" s="28"/>
      <c r="P232" s="29"/>
      <c r="S232" s="24"/>
    </row>
    <row r="233" ht="15.75" hidden="1" customHeight="1">
      <c r="A233" s="34"/>
      <c r="B233" s="35"/>
      <c r="C233" s="35"/>
      <c r="F233" s="29"/>
      <c r="I233" s="24"/>
      <c r="K233" s="28"/>
      <c r="P233" s="29"/>
      <c r="S233" s="24"/>
    </row>
    <row r="234" ht="15.75" hidden="1" customHeight="1">
      <c r="A234" s="34"/>
      <c r="B234" s="35"/>
      <c r="C234" s="35"/>
      <c r="F234" s="29"/>
      <c r="I234" s="24"/>
      <c r="K234" s="28"/>
      <c r="P234" s="29"/>
      <c r="S234" s="24"/>
    </row>
    <row r="235" ht="15.75" hidden="1" customHeight="1">
      <c r="A235" s="34"/>
      <c r="B235" s="35"/>
      <c r="C235" s="35"/>
      <c r="F235" s="29"/>
      <c r="I235" s="24"/>
      <c r="K235" s="28"/>
      <c r="P235" s="29"/>
      <c r="S235" s="24"/>
    </row>
    <row r="236" ht="15.75" hidden="1" customHeight="1">
      <c r="A236" s="34"/>
      <c r="B236" s="35"/>
      <c r="C236" s="35"/>
      <c r="F236" s="29"/>
      <c r="I236" s="24"/>
      <c r="K236" s="28"/>
      <c r="P236" s="29"/>
      <c r="S236" s="24"/>
    </row>
    <row r="237" ht="15.75" hidden="1" customHeight="1">
      <c r="A237" s="34"/>
      <c r="B237" s="35"/>
      <c r="C237" s="35"/>
      <c r="F237" s="29"/>
      <c r="I237" s="24"/>
      <c r="K237" s="28"/>
      <c r="P237" s="29"/>
      <c r="S237" s="24"/>
    </row>
    <row r="238" ht="15.75" hidden="1" customHeight="1">
      <c r="A238" s="34"/>
      <c r="B238" s="35"/>
      <c r="C238" s="35"/>
      <c r="F238" s="29"/>
      <c r="I238" s="24"/>
      <c r="K238" s="28"/>
      <c r="P238" s="29"/>
      <c r="S238" s="24"/>
    </row>
    <row r="239" ht="15.75" hidden="1" customHeight="1">
      <c r="A239" s="34"/>
      <c r="B239" s="35"/>
      <c r="C239" s="35"/>
      <c r="F239" s="29"/>
      <c r="I239" s="24"/>
      <c r="K239" s="28"/>
      <c r="P239" s="29"/>
      <c r="S239" s="24"/>
    </row>
    <row r="240" ht="15.75" hidden="1" customHeight="1">
      <c r="A240" s="34"/>
      <c r="B240" s="35"/>
      <c r="C240" s="35"/>
      <c r="F240" s="29"/>
      <c r="I240" s="24"/>
      <c r="K240" s="28"/>
      <c r="P240" s="29"/>
      <c r="S240" s="24"/>
    </row>
    <row r="241" ht="15.75" hidden="1" customHeight="1">
      <c r="A241" s="34"/>
      <c r="B241" s="35"/>
      <c r="C241" s="35"/>
      <c r="F241" s="29"/>
      <c r="I241" s="24"/>
      <c r="K241" s="28"/>
      <c r="P241" s="29"/>
      <c r="S241" s="24"/>
    </row>
    <row r="242" ht="15.75" hidden="1" customHeight="1">
      <c r="A242" s="34"/>
      <c r="B242" s="35"/>
      <c r="C242" s="35"/>
      <c r="F242" s="29"/>
      <c r="I242" s="24"/>
      <c r="K242" s="28"/>
      <c r="P242" s="29"/>
      <c r="S242" s="24"/>
    </row>
    <row r="243" ht="15.75" hidden="1" customHeight="1">
      <c r="A243" s="34"/>
      <c r="B243" s="35"/>
      <c r="C243" s="35"/>
      <c r="F243" s="29"/>
      <c r="I243" s="24"/>
      <c r="K243" s="28"/>
      <c r="P243" s="29"/>
      <c r="S243" s="24"/>
    </row>
    <row r="244" ht="15.75" hidden="1" customHeight="1">
      <c r="A244" s="34"/>
      <c r="B244" s="35"/>
      <c r="C244" s="35"/>
      <c r="F244" s="29"/>
      <c r="I244" s="24"/>
      <c r="K244" s="28"/>
      <c r="P244" s="29"/>
      <c r="S244" s="24"/>
    </row>
    <row r="245" ht="15.75" hidden="1" customHeight="1">
      <c r="A245" s="34"/>
      <c r="B245" s="35"/>
      <c r="C245" s="35"/>
      <c r="F245" s="29"/>
      <c r="I245" s="24"/>
      <c r="K245" s="28"/>
      <c r="P245" s="29"/>
      <c r="S245" s="24"/>
    </row>
    <row r="246" ht="15.75" hidden="1" customHeight="1">
      <c r="A246" s="34"/>
      <c r="B246" s="35"/>
      <c r="C246" s="35"/>
      <c r="F246" s="29"/>
      <c r="I246" s="24"/>
      <c r="K246" s="28"/>
      <c r="P246" s="29"/>
      <c r="S246" s="24"/>
    </row>
    <row r="247" ht="15.75" hidden="1" customHeight="1">
      <c r="A247" s="34"/>
      <c r="B247" s="35"/>
      <c r="C247" s="35"/>
      <c r="F247" s="29"/>
      <c r="I247" s="24"/>
      <c r="K247" s="28"/>
      <c r="P247" s="29"/>
      <c r="S247" s="24"/>
    </row>
    <row r="248" ht="15.75" hidden="1" customHeight="1">
      <c r="A248" s="34"/>
      <c r="B248" s="35"/>
      <c r="C248" s="35"/>
      <c r="F248" s="29"/>
      <c r="I248" s="24"/>
      <c r="K248" s="28"/>
      <c r="P248" s="29"/>
      <c r="S248" s="24"/>
    </row>
    <row r="249" ht="15.75" hidden="1" customHeight="1">
      <c r="A249" s="34"/>
      <c r="B249" s="35"/>
      <c r="C249" s="35"/>
      <c r="F249" s="29"/>
      <c r="I249" s="24"/>
      <c r="K249" s="28"/>
      <c r="P249" s="29"/>
      <c r="S249" s="24"/>
    </row>
    <row r="250" ht="15.75" hidden="1" customHeight="1">
      <c r="A250" s="34"/>
      <c r="B250" s="35"/>
      <c r="C250" s="35"/>
      <c r="F250" s="29"/>
      <c r="I250" s="24"/>
      <c r="K250" s="28"/>
      <c r="P250" s="29"/>
      <c r="S250" s="24"/>
    </row>
    <row r="251" ht="15.75" hidden="1" customHeight="1">
      <c r="A251" s="34"/>
      <c r="B251" s="35"/>
      <c r="C251" s="35"/>
      <c r="F251" s="29"/>
      <c r="I251" s="24"/>
      <c r="K251" s="28"/>
      <c r="P251" s="29"/>
      <c r="S251" s="24"/>
    </row>
    <row r="252" ht="15.75" hidden="1" customHeight="1">
      <c r="A252" s="34"/>
      <c r="B252" s="35"/>
      <c r="C252" s="35"/>
      <c r="F252" s="29"/>
      <c r="I252" s="24"/>
      <c r="K252" s="28"/>
      <c r="P252" s="29"/>
      <c r="S252" s="24"/>
    </row>
    <row r="253" ht="15.75" hidden="1" customHeight="1">
      <c r="A253" s="34"/>
      <c r="B253" s="35"/>
      <c r="C253" s="35"/>
      <c r="F253" s="29"/>
      <c r="I253" s="24"/>
      <c r="K253" s="28"/>
      <c r="P253" s="29"/>
      <c r="S253" s="24"/>
    </row>
    <row r="254" ht="15.75" hidden="1" customHeight="1">
      <c r="A254" s="34"/>
      <c r="B254" s="35"/>
      <c r="C254" s="35"/>
      <c r="F254" s="29"/>
      <c r="I254" s="24"/>
      <c r="K254" s="28"/>
      <c r="P254" s="29"/>
      <c r="S254" s="24"/>
    </row>
    <row r="255" ht="15.75" hidden="1" customHeight="1">
      <c r="A255" s="34"/>
      <c r="B255" s="35"/>
      <c r="C255" s="35"/>
      <c r="F255" s="29"/>
      <c r="I255" s="24"/>
      <c r="K255" s="28"/>
      <c r="P255" s="29"/>
      <c r="S255" s="24"/>
    </row>
    <row r="256" ht="15.75" hidden="1" customHeight="1">
      <c r="A256" s="34"/>
      <c r="B256" s="35"/>
      <c r="C256" s="35"/>
      <c r="F256" s="29"/>
      <c r="I256" s="24"/>
      <c r="K256" s="28"/>
      <c r="P256" s="29"/>
      <c r="S256" s="24"/>
    </row>
    <row r="257" ht="15.75" hidden="1" customHeight="1">
      <c r="A257" s="34"/>
      <c r="B257" s="35"/>
      <c r="C257" s="35"/>
      <c r="F257" s="29"/>
      <c r="I257" s="24"/>
      <c r="K257" s="28"/>
      <c r="P257" s="29"/>
      <c r="S257" s="24"/>
    </row>
    <row r="258" ht="15.75" hidden="1" customHeight="1">
      <c r="A258" s="34"/>
      <c r="B258" s="35"/>
      <c r="C258" s="35"/>
      <c r="F258" s="29"/>
      <c r="I258" s="24"/>
      <c r="K258" s="28"/>
      <c r="P258" s="29"/>
      <c r="S258" s="24"/>
    </row>
    <row r="259" ht="15.75" hidden="1" customHeight="1">
      <c r="A259" s="34"/>
      <c r="B259" s="35"/>
      <c r="C259" s="35"/>
      <c r="F259" s="29"/>
      <c r="I259" s="24"/>
      <c r="K259" s="28"/>
      <c r="P259" s="29"/>
      <c r="S259" s="24"/>
    </row>
    <row r="260" ht="15.75" hidden="1" customHeight="1">
      <c r="A260" s="34"/>
      <c r="B260" s="35"/>
      <c r="C260" s="35"/>
      <c r="F260" s="29"/>
      <c r="I260" s="24"/>
      <c r="K260" s="28"/>
      <c r="P260" s="29"/>
      <c r="S260" s="24"/>
    </row>
    <row r="261" ht="15.75" hidden="1" customHeight="1">
      <c r="A261" s="34"/>
      <c r="B261" s="35"/>
      <c r="C261" s="35"/>
      <c r="F261" s="29"/>
      <c r="I261" s="24"/>
      <c r="K261" s="28"/>
      <c r="P261" s="29"/>
      <c r="S261" s="24"/>
    </row>
    <row r="262" ht="15.75" hidden="1" customHeight="1">
      <c r="A262" s="34"/>
      <c r="B262" s="35"/>
      <c r="C262" s="35"/>
      <c r="F262" s="29"/>
      <c r="I262" s="24"/>
      <c r="K262" s="28"/>
      <c r="P262" s="29"/>
      <c r="S262" s="24"/>
    </row>
    <row r="263" ht="15.75" hidden="1" customHeight="1">
      <c r="A263" s="34"/>
      <c r="B263" s="35"/>
      <c r="C263" s="35"/>
      <c r="F263" s="29"/>
      <c r="I263" s="24"/>
      <c r="K263" s="28"/>
      <c r="P263" s="29"/>
      <c r="S263" s="24"/>
    </row>
    <row r="264" ht="15.75" hidden="1" customHeight="1">
      <c r="A264" s="34"/>
      <c r="B264" s="35"/>
      <c r="C264" s="35"/>
      <c r="F264" s="29"/>
      <c r="I264" s="24"/>
      <c r="K264" s="28"/>
      <c r="P264" s="29"/>
      <c r="S264" s="24"/>
    </row>
    <row r="265" ht="15.75" hidden="1" customHeight="1">
      <c r="A265" s="34"/>
      <c r="B265" s="35"/>
      <c r="C265" s="35"/>
      <c r="F265" s="29"/>
      <c r="I265" s="24"/>
      <c r="K265" s="28"/>
      <c r="P265" s="29"/>
      <c r="S265" s="24"/>
    </row>
    <row r="266" ht="15.75" hidden="1" customHeight="1">
      <c r="A266" s="34"/>
      <c r="B266" s="35"/>
      <c r="C266" s="35"/>
      <c r="F266" s="29"/>
      <c r="I266" s="24"/>
      <c r="K266" s="28"/>
      <c r="P266" s="29"/>
      <c r="S266" s="24"/>
    </row>
    <row r="267" ht="15.75" hidden="1" customHeight="1">
      <c r="A267" s="34"/>
      <c r="B267" s="35"/>
      <c r="C267" s="35"/>
      <c r="F267" s="29"/>
      <c r="I267" s="24"/>
      <c r="K267" s="28"/>
      <c r="P267" s="29"/>
      <c r="S267" s="24"/>
    </row>
    <row r="268" ht="15.75" hidden="1" customHeight="1">
      <c r="A268" s="34"/>
      <c r="B268" s="35"/>
      <c r="C268" s="35"/>
      <c r="F268" s="29"/>
      <c r="I268" s="24"/>
      <c r="K268" s="28"/>
      <c r="P268" s="29"/>
      <c r="S268" s="24"/>
    </row>
    <row r="269" ht="15.75" hidden="1" customHeight="1">
      <c r="A269" s="34"/>
      <c r="B269" s="35"/>
      <c r="C269" s="35"/>
      <c r="F269" s="29"/>
      <c r="I269" s="24"/>
      <c r="K269" s="28"/>
      <c r="P269" s="29"/>
      <c r="S269" s="24"/>
    </row>
    <row r="270" ht="15.75" hidden="1" customHeight="1">
      <c r="A270" s="34"/>
      <c r="B270" s="35"/>
      <c r="C270" s="35"/>
      <c r="F270" s="29"/>
      <c r="I270" s="24"/>
      <c r="K270" s="28"/>
      <c r="P270" s="29"/>
      <c r="S270" s="24"/>
    </row>
    <row r="271" ht="15.75" hidden="1" customHeight="1">
      <c r="A271" s="34"/>
      <c r="B271" s="35"/>
      <c r="C271" s="35"/>
      <c r="F271" s="29"/>
      <c r="I271" s="24"/>
      <c r="K271" s="28"/>
      <c r="P271" s="29"/>
      <c r="S271" s="24"/>
    </row>
    <row r="272" ht="15.75" hidden="1" customHeight="1">
      <c r="A272" s="34"/>
      <c r="B272" s="35"/>
      <c r="C272" s="35"/>
      <c r="F272" s="29"/>
      <c r="I272" s="24"/>
      <c r="K272" s="28"/>
      <c r="P272" s="29"/>
      <c r="S272" s="24"/>
    </row>
    <row r="273" ht="15.75" hidden="1" customHeight="1">
      <c r="A273" s="34"/>
      <c r="B273" s="35"/>
      <c r="C273" s="35"/>
      <c r="F273" s="29"/>
      <c r="I273" s="24"/>
      <c r="K273" s="28"/>
      <c r="P273" s="29"/>
      <c r="S273" s="24"/>
    </row>
    <row r="274" ht="15.75" hidden="1" customHeight="1">
      <c r="A274" s="34"/>
      <c r="B274" s="35"/>
      <c r="C274" s="35"/>
      <c r="F274" s="29"/>
      <c r="I274" s="24"/>
      <c r="K274" s="28"/>
      <c r="P274" s="29"/>
      <c r="S274" s="24"/>
    </row>
    <row r="275" ht="15.75" hidden="1" customHeight="1">
      <c r="A275" s="34"/>
      <c r="B275" s="35"/>
      <c r="C275" s="35"/>
      <c r="F275" s="29"/>
      <c r="I275" s="24"/>
      <c r="K275" s="28"/>
      <c r="P275" s="29"/>
      <c r="S275" s="24"/>
    </row>
    <row r="276" ht="15.75" hidden="1" customHeight="1">
      <c r="A276" s="34"/>
      <c r="B276" s="35"/>
      <c r="C276" s="35"/>
      <c r="F276" s="29"/>
      <c r="I276" s="24"/>
      <c r="K276" s="28"/>
      <c r="P276" s="29"/>
      <c r="S276" s="24"/>
    </row>
    <row r="277" ht="15.75" hidden="1" customHeight="1">
      <c r="A277" s="34"/>
      <c r="B277" s="35"/>
      <c r="C277" s="35"/>
      <c r="F277" s="29"/>
      <c r="I277" s="24"/>
      <c r="K277" s="28"/>
      <c r="P277" s="29"/>
      <c r="S277" s="24"/>
    </row>
    <row r="278" ht="15.75" hidden="1" customHeight="1">
      <c r="A278" s="34"/>
      <c r="B278" s="35"/>
      <c r="C278" s="35"/>
      <c r="F278" s="29"/>
      <c r="I278" s="24"/>
      <c r="K278" s="28"/>
      <c r="P278" s="29"/>
      <c r="S278" s="24"/>
    </row>
    <row r="279" ht="15.75" hidden="1" customHeight="1">
      <c r="A279" s="34"/>
      <c r="B279" s="35"/>
      <c r="C279" s="35"/>
      <c r="F279" s="29"/>
      <c r="I279" s="24"/>
      <c r="K279" s="28"/>
      <c r="P279" s="29"/>
      <c r="S279" s="24"/>
    </row>
    <row r="280" ht="15.75" hidden="1" customHeight="1">
      <c r="A280" s="34"/>
      <c r="B280" s="35"/>
      <c r="C280" s="35"/>
      <c r="F280" s="29"/>
      <c r="I280" s="24"/>
      <c r="K280" s="28"/>
      <c r="P280" s="29"/>
      <c r="S280" s="24"/>
    </row>
    <row r="281" ht="15.75" hidden="1" customHeight="1">
      <c r="A281" s="34"/>
      <c r="B281" s="35"/>
      <c r="C281" s="35"/>
      <c r="F281" s="29"/>
      <c r="I281" s="24"/>
      <c r="K281" s="28"/>
      <c r="P281" s="29"/>
      <c r="S281" s="24"/>
    </row>
    <row r="282" ht="15.75" hidden="1" customHeight="1">
      <c r="A282" s="34"/>
      <c r="B282" s="35"/>
      <c r="C282" s="35"/>
      <c r="F282" s="29"/>
      <c r="I282" s="24"/>
      <c r="K282" s="28"/>
      <c r="P282" s="29"/>
      <c r="S282" s="24"/>
    </row>
    <row r="283" ht="15.75" hidden="1" customHeight="1">
      <c r="A283" s="34"/>
      <c r="B283" s="35"/>
      <c r="C283" s="35"/>
      <c r="F283" s="29"/>
      <c r="I283" s="24"/>
      <c r="K283" s="28"/>
      <c r="P283" s="29"/>
      <c r="S283" s="24"/>
    </row>
    <row r="284" ht="15.75" hidden="1" customHeight="1">
      <c r="A284" s="34"/>
      <c r="B284" s="35"/>
      <c r="C284" s="35"/>
      <c r="F284" s="29"/>
      <c r="I284" s="24"/>
      <c r="K284" s="28"/>
      <c r="P284" s="29"/>
      <c r="S284" s="24"/>
    </row>
    <row r="285" ht="15.75" hidden="1" customHeight="1">
      <c r="A285" s="34"/>
      <c r="B285" s="35"/>
      <c r="C285" s="35"/>
      <c r="F285" s="29"/>
      <c r="I285" s="24"/>
      <c r="K285" s="28"/>
      <c r="P285" s="29"/>
      <c r="S285" s="24"/>
    </row>
    <row r="286" ht="15.75" hidden="1" customHeight="1">
      <c r="A286" s="34"/>
      <c r="B286" s="35"/>
      <c r="C286" s="35"/>
      <c r="F286" s="29"/>
      <c r="I286" s="24"/>
      <c r="K286" s="28"/>
      <c r="P286" s="29"/>
      <c r="S286" s="24"/>
    </row>
    <row r="287" ht="15.75" hidden="1" customHeight="1">
      <c r="A287" s="34"/>
      <c r="B287" s="35"/>
      <c r="C287" s="35"/>
      <c r="F287" s="29"/>
      <c r="I287" s="24"/>
      <c r="K287" s="28"/>
      <c r="P287" s="29"/>
      <c r="S287" s="24"/>
    </row>
    <row r="288" ht="15.75" hidden="1" customHeight="1">
      <c r="A288" s="34"/>
      <c r="B288" s="35"/>
      <c r="C288" s="35"/>
      <c r="F288" s="29"/>
      <c r="I288" s="24"/>
      <c r="K288" s="28"/>
      <c r="P288" s="29"/>
      <c r="S288" s="24"/>
    </row>
    <row r="289" ht="15.75" hidden="1" customHeight="1">
      <c r="A289" s="34"/>
      <c r="B289" s="35"/>
      <c r="C289" s="35"/>
      <c r="F289" s="29"/>
      <c r="I289" s="24"/>
      <c r="K289" s="28"/>
      <c r="P289" s="29"/>
      <c r="S289" s="24"/>
    </row>
    <row r="290" ht="15.75" hidden="1" customHeight="1">
      <c r="A290" s="34"/>
      <c r="B290" s="35"/>
      <c r="C290" s="35"/>
      <c r="F290" s="29"/>
      <c r="I290" s="24"/>
      <c r="K290" s="28"/>
      <c r="P290" s="29"/>
      <c r="S290" s="24"/>
    </row>
    <row r="291" ht="15.75" hidden="1" customHeight="1">
      <c r="A291" s="34"/>
      <c r="B291" s="35"/>
      <c r="C291" s="35"/>
      <c r="F291" s="29"/>
      <c r="I291" s="24"/>
      <c r="K291" s="28"/>
      <c r="P291" s="29"/>
      <c r="S291" s="24"/>
    </row>
    <row r="292" ht="15.75" hidden="1" customHeight="1">
      <c r="A292" s="34"/>
      <c r="B292" s="35"/>
      <c r="C292" s="35"/>
      <c r="F292" s="29"/>
      <c r="I292" s="24"/>
      <c r="K292" s="28"/>
      <c r="P292" s="29"/>
      <c r="S292" s="24"/>
    </row>
    <row r="293" ht="15.75" hidden="1" customHeight="1">
      <c r="A293" s="34"/>
      <c r="B293" s="35"/>
      <c r="C293" s="35"/>
      <c r="F293" s="29"/>
      <c r="I293" s="24"/>
      <c r="K293" s="28"/>
      <c r="P293" s="29"/>
      <c r="S293" s="24"/>
    </row>
    <row r="294" ht="15.75" hidden="1" customHeight="1">
      <c r="A294" s="34"/>
      <c r="B294" s="35"/>
      <c r="C294" s="35"/>
      <c r="F294" s="29"/>
      <c r="I294" s="24"/>
      <c r="K294" s="28"/>
      <c r="P294" s="29"/>
      <c r="S294" s="24"/>
    </row>
    <row r="295" ht="15.75" hidden="1" customHeight="1">
      <c r="A295" s="34"/>
      <c r="B295" s="35"/>
      <c r="C295" s="35"/>
      <c r="F295" s="29"/>
      <c r="I295" s="24"/>
      <c r="K295" s="28"/>
      <c r="P295" s="29"/>
      <c r="S295" s="24"/>
    </row>
    <row r="296" ht="15.75" hidden="1" customHeight="1">
      <c r="A296" s="34"/>
      <c r="B296" s="35"/>
      <c r="C296" s="35"/>
      <c r="F296" s="29"/>
      <c r="I296" s="24"/>
      <c r="K296" s="28"/>
      <c r="P296" s="29"/>
      <c r="S296" s="24"/>
    </row>
    <row r="297" ht="15.75" hidden="1" customHeight="1">
      <c r="A297" s="34"/>
      <c r="B297" s="35"/>
      <c r="C297" s="35"/>
      <c r="F297" s="29"/>
      <c r="I297" s="24"/>
      <c r="K297" s="28"/>
      <c r="P297" s="29"/>
      <c r="S297" s="24"/>
    </row>
    <row r="298" ht="15.75" hidden="1" customHeight="1">
      <c r="A298" s="34"/>
      <c r="B298" s="35"/>
      <c r="C298" s="35"/>
      <c r="F298" s="29"/>
      <c r="I298" s="24"/>
      <c r="K298" s="28"/>
      <c r="P298" s="29"/>
      <c r="S298" s="24"/>
    </row>
    <row r="299" ht="15.75" hidden="1" customHeight="1">
      <c r="A299" s="34"/>
      <c r="B299" s="35"/>
      <c r="C299" s="35"/>
      <c r="F299" s="29"/>
      <c r="I299" s="24"/>
      <c r="K299" s="28"/>
      <c r="P299" s="29"/>
      <c r="S299" s="24"/>
    </row>
    <row r="300" ht="15.75" hidden="1" customHeight="1">
      <c r="A300" s="34"/>
      <c r="B300" s="35"/>
      <c r="C300" s="35"/>
      <c r="F300" s="29"/>
      <c r="I300" s="24"/>
      <c r="K300" s="28"/>
      <c r="P300" s="29"/>
      <c r="S300" s="24"/>
    </row>
    <row r="301" ht="15.75" hidden="1" customHeight="1">
      <c r="A301" s="34"/>
      <c r="B301" s="35"/>
      <c r="C301" s="35"/>
      <c r="F301" s="29"/>
      <c r="I301" s="24"/>
      <c r="K301" s="28"/>
      <c r="P301" s="29"/>
      <c r="S301" s="24"/>
    </row>
    <row r="302" ht="15.75" hidden="1" customHeight="1">
      <c r="A302" s="34"/>
      <c r="B302" s="35"/>
      <c r="C302" s="35"/>
      <c r="F302" s="29"/>
      <c r="I302" s="24"/>
      <c r="K302" s="28"/>
      <c r="P302" s="29"/>
      <c r="S302" s="24"/>
    </row>
    <row r="303" ht="15.75" hidden="1" customHeight="1">
      <c r="A303" s="34"/>
      <c r="B303" s="35"/>
      <c r="C303" s="35"/>
      <c r="F303" s="29"/>
      <c r="I303" s="24"/>
      <c r="K303" s="28"/>
      <c r="P303" s="29"/>
      <c r="S303" s="24"/>
    </row>
    <row r="304" ht="15.75" hidden="1" customHeight="1">
      <c r="A304" s="34"/>
      <c r="B304" s="35"/>
      <c r="C304" s="35"/>
      <c r="F304" s="29"/>
      <c r="I304" s="24"/>
      <c r="K304" s="28"/>
      <c r="P304" s="29"/>
      <c r="S304" s="24"/>
    </row>
    <row r="305" ht="15.75" hidden="1" customHeight="1">
      <c r="A305" s="34"/>
      <c r="B305" s="35"/>
      <c r="C305" s="35"/>
      <c r="F305" s="29"/>
      <c r="I305" s="24"/>
      <c r="K305" s="28"/>
      <c r="P305" s="29"/>
      <c r="S305" s="24"/>
    </row>
    <row r="306" ht="15.75" hidden="1" customHeight="1">
      <c r="A306" s="34"/>
      <c r="B306" s="35"/>
      <c r="C306" s="35"/>
      <c r="F306" s="29"/>
      <c r="I306" s="24"/>
      <c r="K306" s="28"/>
      <c r="P306" s="29"/>
      <c r="S306" s="24"/>
    </row>
    <row r="307" ht="15.75" hidden="1" customHeight="1">
      <c r="A307" s="34"/>
      <c r="B307" s="35"/>
      <c r="C307" s="35"/>
      <c r="F307" s="29"/>
      <c r="I307" s="24"/>
      <c r="K307" s="28"/>
      <c r="P307" s="29"/>
      <c r="S307" s="24"/>
    </row>
    <row r="308" ht="15.75" hidden="1" customHeight="1">
      <c r="A308" s="34"/>
      <c r="B308" s="35"/>
      <c r="C308" s="35"/>
      <c r="F308" s="29"/>
      <c r="I308" s="24"/>
      <c r="K308" s="28"/>
      <c r="P308" s="29"/>
      <c r="S308" s="24"/>
    </row>
    <row r="309" ht="15.75" hidden="1" customHeight="1">
      <c r="A309" s="34"/>
      <c r="B309" s="35"/>
      <c r="C309" s="35"/>
      <c r="F309" s="29"/>
      <c r="I309" s="24"/>
      <c r="K309" s="28"/>
      <c r="P309" s="29"/>
      <c r="S309" s="24"/>
    </row>
    <row r="310" ht="15.75" hidden="1" customHeight="1">
      <c r="A310" s="34"/>
      <c r="B310" s="35"/>
      <c r="C310" s="35"/>
      <c r="F310" s="29"/>
      <c r="I310" s="24"/>
      <c r="K310" s="28"/>
      <c r="P310" s="29"/>
      <c r="S310" s="24"/>
    </row>
    <row r="311" ht="15.75" hidden="1" customHeight="1">
      <c r="A311" s="34"/>
      <c r="B311" s="35"/>
      <c r="C311" s="35"/>
      <c r="F311" s="29"/>
      <c r="I311" s="24"/>
      <c r="K311" s="28"/>
      <c r="P311" s="29"/>
      <c r="S311" s="24"/>
    </row>
    <row r="312" ht="15.75" hidden="1" customHeight="1">
      <c r="A312" s="34"/>
      <c r="B312" s="35"/>
      <c r="C312" s="35"/>
      <c r="F312" s="29"/>
      <c r="I312" s="24"/>
      <c r="K312" s="28"/>
      <c r="P312" s="29"/>
      <c r="S312" s="24"/>
    </row>
    <row r="313" ht="15.75" hidden="1" customHeight="1">
      <c r="A313" s="34"/>
      <c r="B313" s="35"/>
      <c r="C313" s="35"/>
      <c r="F313" s="29"/>
      <c r="I313" s="24"/>
      <c r="K313" s="28"/>
      <c r="P313" s="29"/>
      <c r="S313" s="24"/>
    </row>
    <row r="314" ht="15.75" hidden="1" customHeight="1">
      <c r="A314" s="34"/>
      <c r="B314" s="35"/>
      <c r="C314" s="35"/>
      <c r="F314" s="29"/>
      <c r="I314" s="24"/>
      <c r="K314" s="28"/>
      <c r="P314" s="29"/>
      <c r="S314" s="24"/>
    </row>
    <row r="315" ht="15.75" hidden="1" customHeight="1">
      <c r="A315" s="34"/>
      <c r="B315" s="35"/>
      <c r="C315" s="35"/>
      <c r="F315" s="29"/>
      <c r="I315" s="24"/>
      <c r="K315" s="28"/>
      <c r="P315" s="29"/>
      <c r="S315" s="24"/>
    </row>
    <row r="316" ht="15.75" hidden="1" customHeight="1">
      <c r="A316" s="34"/>
      <c r="B316" s="35"/>
      <c r="C316" s="35"/>
      <c r="F316" s="29"/>
      <c r="I316" s="24"/>
      <c r="K316" s="28"/>
      <c r="P316" s="29"/>
      <c r="S316" s="24"/>
    </row>
    <row r="317" ht="15.75" hidden="1" customHeight="1">
      <c r="A317" s="34"/>
      <c r="B317" s="35"/>
      <c r="C317" s="35"/>
      <c r="F317" s="29"/>
      <c r="I317" s="24"/>
      <c r="K317" s="28"/>
      <c r="P317" s="29"/>
      <c r="S317" s="24"/>
    </row>
    <row r="318" ht="15.75" hidden="1" customHeight="1">
      <c r="A318" s="34"/>
      <c r="B318" s="35"/>
      <c r="C318" s="35"/>
      <c r="F318" s="29"/>
      <c r="I318" s="24"/>
      <c r="K318" s="28"/>
      <c r="P318" s="29"/>
      <c r="S318" s="24"/>
    </row>
    <row r="319" ht="15.75" hidden="1" customHeight="1">
      <c r="A319" s="34"/>
      <c r="B319" s="35"/>
      <c r="C319" s="35"/>
      <c r="F319" s="29"/>
      <c r="I319" s="24"/>
      <c r="K319" s="28"/>
      <c r="P319" s="29"/>
      <c r="S319" s="24"/>
    </row>
    <row r="320" ht="15.75" hidden="1" customHeight="1">
      <c r="A320" s="34"/>
      <c r="B320" s="35"/>
      <c r="C320" s="35"/>
      <c r="F320" s="29"/>
      <c r="I320" s="24"/>
      <c r="K320" s="28"/>
      <c r="P320" s="29"/>
      <c r="S320" s="24"/>
    </row>
    <row r="321" ht="15.75" hidden="1" customHeight="1">
      <c r="A321" s="34"/>
      <c r="B321" s="35"/>
      <c r="C321" s="35"/>
      <c r="F321" s="29"/>
      <c r="I321" s="24"/>
      <c r="K321" s="28"/>
      <c r="P321" s="29"/>
      <c r="S321" s="24"/>
    </row>
    <row r="322" ht="15.75" hidden="1" customHeight="1">
      <c r="A322" s="34"/>
      <c r="B322" s="35"/>
      <c r="C322" s="35"/>
      <c r="F322" s="29"/>
      <c r="I322" s="24"/>
      <c r="K322" s="28"/>
      <c r="P322" s="29"/>
      <c r="S322" s="24"/>
    </row>
    <row r="323" ht="15.75" hidden="1" customHeight="1">
      <c r="A323" s="34"/>
      <c r="B323" s="35"/>
      <c r="C323" s="35"/>
      <c r="F323" s="29"/>
      <c r="I323" s="24"/>
      <c r="K323" s="28"/>
      <c r="P323" s="29"/>
      <c r="S323" s="24"/>
    </row>
    <row r="324" ht="15.75" hidden="1" customHeight="1">
      <c r="A324" s="34"/>
      <c r="B324" s="35"/>
      <c r="C324" s="35"/>
      <c r="F324" s="29"/>
      <c r="I324" s="24"/>
      <c r="K324" s="28"/>
      <c r="P324" s="29"/>
      <c r="S324" s="24"/>
    </row>
    <row r="325" ht="15.75" hidden="1" customHeight="1">
      <c r="A325" s="34"/>
      <c r="B325" s="35"/>
      <c r="C325" s="35"/>
      <c r="F325" s="29"/>
      <c r="I325" s="24"/>
      <c r="K325" s="28"/>
      <c r="P325" s="29"/>
      <c r="S325" s="24"/>
    </row>
    <row r="326" ht="15.75" hidden="1" customHeight="1">
      <c r="A326" s="34"/>
      <c r="B326" s="35"/>
      <c r="C326" s="35"/>
      <c r="F326" s="29"/>
      <c r="I326" s="24"/>
      <c r="K326" s="28"/>
      <c r="P326" s="29"/>
      <c r="S326" s="24"/>
    </row>
    <row r="327" ht="15.75" hidden="1" customHeight="1">
      <c r="A327" s="34"/>
      <c r="B327" s="35"/>
      <c r="C327" s="35"/>
      <c r="F327" s="29"/>
      <c r="I327" s="24"/>
      <c r="K327" s="28"/>
      <c r="P327" s="29"/>
      <c r="S327" s="24"/>
    </row>
    <row r="328" ht="15.75" hidden="1" customHeight="1">
      <c r="A328" s="34"/>
      <c r="B328" s="35"/>
      <c r="C328" s="35"/>
      <c r="F328" s="29"/>
      <c r="I328" s="24"/>
      <c r="K328" s="28"/>
      <c r="P328" s="29"/>
      <c r="S328" s="24"/>
    </row>
    <row r="329" ht="15.75" hidden="1" customHeight="1">
      <c r="A329" s="34"/>
      <c r="B329" s="35"/>
      <c r="C329" s="35"/>
      <c r="F329" s="29"/>
      <c r="I329" s="24"/>
      <c r="K329" s="28"/>
      <c r="P329" s="29"/>
      <c r="S329" s="24"/>
    </row>
    <row r="330" ht="15.75" hidden="1" customHeight="1">
      <c r="A330" s="34"/>
      <c r="B330" s="35"/>
      <c r="C330" s="35"/>
      <c r="F330" s="29"/>
      <c r="I330" s="24"/>
      <c r="K330" s="28"/>
      <c r="P330" s="29"/>
      <c r="S330" s="24"/>
    </row>
    <row r="331" ht="15.75" hidden="1" customHeight="1">
      <c r="A331" s="34"/>
      <c r="B331" s="35"/>
      <c r="C331" s="35"/>
      <c r="F331" s="29"/>
      <c r="I331" s="24"/>
      <c r="K331" s="28"/>
      <c r="P331" s="29"/>
      <c r="S331" s="24"/>
    </row>
    <row r="332" ht="15.75" hidden="1" customHeight="1">
      <c r="A332" s="34"/>
      <c r="B332" s="35"/>
      <c r="C332" s="35"/>
      <c r="F332" s="29"/>
      <c r="I332" s="24"/>
      <c r="K332" s="28"/>
      <c r="P332" s="29"/>
      <c r="S332" s="24"/>
    </row>
    <row r="333" ht="15.75" hidden="1" customHeight="1">
      <c r="A333" s="34"/>
      <c r="B333" s="35"/>
      <c r="C333" s="35"/>
      <c r="F333" s="29"/>
      <c r="I333" s="24"/>
      <c r="K333" s="28"/>
      <c r="P333" s="29"/>
      <c r="S333" s="24"/>
    </row>
    <row r="334" ht="15.75" hidden="1" customHeight="1">
      <c r="A334" s="34"/>
      <c r="B334" s="35"/>
      <c r="C334" s="35"/>
      <c r="F334" s="29"/>
      <c r="I334" s="24"/>
      <c r="K334" s="28"/>
      <c r="P334" s="29"/>
      <c r="S334" s="24"/>
    </row>
    <row r="335" ht="15.75" hidden="1" customHeight="1">
      <c r="A335" s="34"/>
      <c r="B335" s="35"/>
      <c r="C335" s="35"/>
      <c r="F335" s="29"/>
      <c r="I335" s="24"/>
      <c r="K335" s="28"/>
      <c r="P335" s="29"/>
      <c r="S335" s="24"/>
    </row>
    <row r="336" ht="15.75" hidden="1" customHeight="1">
      <c r="A336" s="34"/>
      <c r="B336" s="35"/>
      <c r="C336" s="35"/>
      <c r="F336" s="29"/>
      <c r="I336" s="24"/>
      <c r="K336" s="28"/>
      <c r="P336" s="29"/>
      <c r="S336" s="24"/>
    </row>
    <row r="337" ht="15.75" hidden="1" customHeight="1">
      <c r="A337" s="34"/>
      <c r="B337" s="35"/>
      <c r="C337" s="35"/>
      <c r="F337" s="29"/>
      <c r="I337" s="24"/>
      <c r="K337" s="28"/>
      <c r="P337" s="29"/>
      <c r="S337" s="24"/>
    </row>
    <row r="338" ht="15.75" hidden="1" customHeight="1">
      <c r="A338" s="34"/>
      <c r="B338" s="35"/>
      <c r="C338" s="35"/>
      <c r="F338" s="29"/>
      <c r="I338" s="24"/>
      <c r="K338" s="28"/>
      <c r="P338" s="29"/>
      <c r="S338" s="24"/>
    </row>
    <row r="339" ht="15.75" hidden="1" customHeight="1">
      <c r="A339" s="34"/>
      <c r="B339" s="35"/>
      <c r="C339" s="35"/>
      <c r="F339" s="29"/>
      <c r="I339" s="24"/>
      <c r="K339" s="28"/>
      <c r="P339" s="29"/>
      <c r="S339" s="24"/>
    </row>
    <row r="340" ht="15.75" hidden="1" customHeight="1">
      <c r="A340" s="34"/>
      <c r="B340" s="35"/>
      <c r="C340" s="35"/>
      <c r="F340" s="29"/>
      <c r="I340" s="24"/>
      <c r="K340" s="28"/>
      <c r="P340" s="29"/>
      <c r="S340" s="24"/>
    </row>
    <row r="341" ht="15.75" hidden="1" customHeight="1">
      <c r="A341" s="34"/>
      <c r="B341" s="35"/>
      <c r="C341" s="35"/>
      <c r="F341" s="29"/>
      <c r="I341" s="24"/>
      <c r="K341" s="28"/>
      <c r="P341" s="29"/>
      <c r="S341" s="24"/>
    </row>
    <row r="342" ht="15.75" hidden="1" customHeight="1">
      <c r="A342" s="34"/>
      <c r="B342" s="35"/>
      <c r="C342" s="35"/>
      <c r="F342" s="29"/>
      <c r="I342" s="24"/>
      <c r="K342" s="28"/>
      <c r="P342" s="29"/>
      <c r="S342" s="24"/>
    </row>
    <row r="343" ht="15.75" hidden="1" customHeight="1">
      <c r="A343" s="34"/>
      <c r="B343" s="35"/>
      <c r="C343" s="35"/>
      <c r="F343" s="29"/>
      <c r="I343" s="24"/>
      <c r="K343" s="28"/>
      <c r="P343" s="29"/>
      <c r="S343" s="24"/>
    </row>
    <row r="344" ht="15.75" hidden="1" customHeight="1">
      <c r="A344" s="34"/>
      <c r="B344" s="35"/>
      <c r="C344" s="35"/>
      <c r="F344" s="29"/>
      <c r="I344" s="24"/>
      <c r="K344" s="28"/>
      <c r="P344" s="29"/>
      <c r="S344" s="24"/>
    </row>
    <row r="345" ht="15.75" hidden="1" customHeight="1">
      <c r="A345" s="34"/>
      <c r="B345" s="35"/>
      <c r="C345" s="35"/>
      <c r="F345" s="29"/>
      <c r="I345" s="24"/>
      <c r="K345" s="28"/>
      <c r="P345" s="29"/>
      <c r="S345" s="24"/>
    </row>
    <row r="346" ht="15.75" hidden="1" customHeight="1">
      <c r="A346" s="34"/>
      <c r="B346" s="35"/>
      <c r="C346" s="35"/>
      <c r="F346" s="29"/>
      <c r="I346" s="24"/>
      <c r="K346" s="28"/>
      <c r="P346" s="29"/>
      <c r="S346" s="24"/>
    </row>
    <row r="347" ht="15.75" hidden="1" customHeight="1">
      <c r="A347" s="34"/>
      <c r="B347" s="35"/>
      <c r="C347" s="35"/>
      <c r="F347" s="29"/>
      <c r="I347" s="24"/>
      <c r="K347" s="28"/>
      <c r="P347" s="29"/>
      <c r="S347" s="24"/>
    </row>
    <row r="348" ht="15.75" hidden="1" customHeight="1">
      <c r="A348" s="34"/>
      <c r="B348" s="35"/>
      <c r="C348" s="35"/>
      <c r="F348" s="29"/>
      <c r="I348" s="24"/>
      <c r="K348" s="28"/>
      <c r="P348" s="29"/>
      <c r="S348" s="24"/>
    </row>
    <row r="349" ht="15.75" hidden="1" customHeight="1">
      <c r="A349" s="34"/>
      <c r="B349" s="35"/>
      <c r="C349" s="35"/>
      <c r="F349" s="29"/>
      <c r="I349" s="24"/>
      <c r="K349" s="28"/>
      <c r="P349" s="29"/>
      <c r="S349" s="24"/>
    </row>
    <row r="350" ht="15.75" hidden="1" customHeight="1">
      <c r="A350" s="34"/>
      <c r="B350" s="35"/>
      <c r="C350" s="35"/>
      <c r="F350" s="29"/>
      <c r="I350" s="24"/>
      <c r="K350" s="28"/>
      <c r="P350" s="29"/>
      <c r="S350" s="24"/>
    </row>
    <row r="351" ht="15.75" hidden="1" customHeight="1">
      <c r="A351" s="34"/>
      <c r="B351" s="35"/>
      <c r="C351" s="35"/>
      <c r="F351" s="29"/>
      <c r="I351" s="24"/>
      <c r="K351" s="28"/>
      <c r="P351" s="29"/>
      <c r="S351" s="24"/>
    </row>
    <row r="352" ht="15.75" hidden="1" customHeight="1">
      <c r="A352" s="34"/>
      <c r="B352" s="35"/>
      <c r="C352" s="35"/>
      <c r="F352" s="29"/>
      <c r="I352" s="24"/>
      <c r="K352" s="28"/>
      <c r="P352" s="29"/>
      <c r="S352" s="24"/>
    </row>
    <row r="353" ht="15.75" hidden="1" customHeight="1">
      <c r="A353" s="34"/>
      <c r="B353" s="35"/>
      <c r="C353" s="35"/>
      <c r="F353" s="29"/>
      <c r="I353" s="24"/>
      <c r="K353" s="28"/>
      <c r="P353" s="29"/>
      <c r="S353" s="24"/>
    </row>
    <row r="354" ht="15.75" hidden="1" customHeight="1">
      <c r="A354" s="34"/>
      <c r="B354" s="35"/>
      <c r="C354" s="35"/>
      <c r="F354" s="29"/>
      <c r="I354" s="24"/>
      <c r="K354" s="28"/>
      <c r="P354" s="29"/>
      <c r="S354" s="24"/>
    </row>
    <row r="355" ht="15.75" hidden="1" customHeight="1">
      <c r="A355" s="34"/>
      <c r="B355" s="35"/>
      <c r="C355" s="35"/>
      <c r="F355" s="29"/>
      <c r="I355" s="24"/>
      <c r="K355" s="28"/>
      <c r="P355" s="29"/>
      <c r="S355" s="24"/>
    </row>
    <row r="356" ht="15.75" hidden="1" customHeight="1">
      <c r="A356" s="34"/>
      <c r="B356" s="35"/>
      <c r="C356" s="35"/>
      <c r="F356" s="29"/>
      <c r="I356" s="24"/>
      <c r="K356" s="28"/>
      <c r="P356" s="29"/>
      <c r="S356" s="24"/>
    </row>
    <row r="357" ht="15.75" hidden="1" customHeight="1">
      <c r="A357" s="34"/>
      <c r="B357" s="35"/>
      <c r="C357" s="35"/>
      <c r="F357" s="29"/>
      <c r="I357" s="24"/>
      <c r="K357" s="28"/>
      <c r="P357" s="29"/>
      <c r="S357" s="24"/>
    </row>
    <row r="358" ht="15.75" hidden="1" customHeight="1">
      <c r="A358" s="34"/>
      <c r="B358" s="35"/>
      <c r="C358" s="35"/>
      <c r="F358" s="29"/>
      <c r="I358" s="24"/>
      <c r="K358" s="28"/>
      <c r="P358" s="29"/>
      <c r="S358" s="24"/>
    </row>
    <row r="359" ht="15.75" hidden="1" customHeight="1">
      <c r="A359" s="34"/>
      <c r="B359" s="35"/>
      <c r="C359" s="35"/>
      <c r="F359" s="29"/>
      <c r="I359" s="24"/>
      <c r="K359" s="28"/>
      <c r="P359" s="29"/>
      <c r="S359" s="24"/>
    </row>
    <row r="360" ht="15.75" hidden="1" customHeight="1">
      <c r="A360" s="34"/>
      <c r="B360" s="35"/>
      <c r="C360" s="35"/>
      <c r="F360" s="29"/>
      <c r="I360" s="24"/>
      <c r="K360" s="28"/>
      <c r="P360" s="29"/>
      <c r="S360" s="24"/>
    </row>
    <row r="361" ht="15.75" hidden="1" customHeight="1">
      <c r="A361" s="34"/>
      <c r="B361" s="35"/>
      <c r="C361" s="35"/>
      <c r="F361" s="29"/>
      <c r="I361" s="24"/>
      <c r="K361" s="28"/>
      <c r="P361" s="29"/>
      <c r="S361" s="24"/>
    </row>
    <row r="362" ht="15.75" hidden="1" customHeight="1">
      <c r="A362" s="34"/>
      <c r="B362" s="35"/>
      <c r="C362" s="35"/>
      <c r="F362" s="29"/>
      <c r="I362" s="24"/>
      <c r="K362" s="28"/>
      <c r="P362" s="29"/>
      <c r="S362" s="24"/>
    </row>
    <row r="363" ht="15.75" hidden="1" customHeight="1">
      <c r="A363" s="34"/>
      <c r="B363" s="35"/>
      <c r="C363" s="35"/>
      <c r="F363" s="29"/>
      <c r="I363" s="24"/>
      <c r="K363" s="28"/>
      <c r="P363" s="29"/>
      <c r="S363" s="24"/>
    </row>
    <row r="364" ht="15.75" hidden="1" customHeight="1">
      <c r="A364" s="34"/>
      <c r="B364" s="35"/>
      <c r="C364" s="35"/>
      <c r="F364" s="29"/>
      <c r="I364" s="24"/>
      <c r="K364" s="28"/>
      <c r="P364" s="29"/>
      <c r="S364" s="24"/>
    </row>
    <row r="365" ht="15.75" hidden="1" customHeight="1">
      <c r="A365" s="34"/>
      <c r="B365" s="35"/>
      <c r="C365" s="35"/>
      <c r="F365" s="29"/>
      <c r="I365" s="24"/>
      <c r="K365" s="28"/>
      <c r="P365" s="29"/>
      <c r="S365" s="24"/>
    </row>
    <row r="366" ht="15.75" hidden="1" customHeight="1">
      <c r="A366" s="34"/>
      <c r="B366" s="35"/>
      <c r="C366" s="35"/>
      <c r="F366" s="29"/>
      <c r="I366" s="24"/>
      <c r="K366" s="28"/>
      <c r="P366" s="29"/>
      <c r="S366" s="24"/>
    </row>
    <row r="367" ht="15.75" hidden="1" customHeight="1">
      <c r="A367" s="34"/>
      <c r="B367" s="35"/>
      <c r="C367" s="35"/>
      <c r="F367" s="29"/>
      <c r="I367" s="24"/>
      <c r="K367" s="28"/>
      <c r="P367" s="29"/>
      <c r="S367" s="24"/>
    </row>
    <row r="368" ht="15.75" hidden="1" customHeight="1">
      <c r="A368" s="34"/>
      <c r="B368" s="35"/>
      <c r="C368" s="35"/>
      <c r="F368" s="29"/>
      <c r="I368" s="24"/>
      <c r="K368" s="28"/>
      <c r="P368" s="29"/>
      <c r="S368" s="24"/>
    </row>
    <row r="369" ht="15.75" hidden="1" customHeight="1">
      <c r="A369" s="34"/>
      <c r="B369" s="35"/>
      <c r="C369" s="35"/>
      <c r="F369" s="29"/>
      <c r="I369" s="24"/>
      <c r="K369" s="28"/>
      <c r="P369" s="29"/>
      <c r="S369" s="24"/>
    </row>
    <row r="370" ht="15.75" hidden="1" customHeight="1">
      <c r="A370" s="34"/>
      <c r="B370" s="35"/>
      <c r="C370" s="35"/>
      <c r="F370" s="29"/>
      <c r="I370" s="24"/>
      <c r="K370" s="28"/>
      <c r="P370" s="29"/>
      <c r="S370" s="24"/>
    </row>
    <row r="371" ht="15.75" hidden="1" customHeight="1">
      <c r="A371" s="34"/>
      <c r="B371" s="35"/>
      <c r="C371" s="35"/>
      <c r="F371" s="29"/>
      <c r="I371" s="24"/>
      <c r="K371" s="28"/>
      <c r="P371" s="29"/>
      <c r="S371" s="24"/>
    </row>
    <row r="372" ht="15.75" hidden="1" customHeight="1">
      <c r="A372" s="34"/>
      <c r="B372" s="35"/>
      <c r="C372" s="35"/>
      <c r="F372" s="29"/>
      <c r="I372" s="24"/>
      <c r="K372" s="28"/>
      <c r="P372" s="29"/>
      <c r="S372" s="24"/>
    </row>
    <row r="373" ht="15.75" hidden="1" customHeight="1">
      <c r="A373" s="34"/>
      <c r="B373" s="35"/>
      <c r="C373" s="35"/>
      <c r="F373" s="29"/>
      <c r="I373" s="24"/>
      <c r="K373" s="28"/>
      <c r="P373" s="29"/>
      <c r="S373" s="24"/>
    </row>
    <row r="374" ht="15.75" hidden="1" customHeight="1">
      <c r="A374" s="34"/>
      <c r="B374" s="35"/>
      <c r="C374" s="35"/>
      <c r="F374" s="29"/>
      <c r="I374" s="24"/>
      <c r="K374" s="28"/>
      <c r="P374" s="29"/>
      <c r="S374" s="24"/>
    </row>
    <row r="375" ht="15.75" hidden="1" customHeight="1">
      <c r="A375" s="34"/>
      <c r="B375" s="35"/>
      <c r="C375" s="35"/>
      <c r="F375" s="29"/>
      <c r="I375" s="24"/>
      <c r="K375" s="28"/>
      <c r="P375" s="29"/>
      <c r="S375" s="24"/>
    </row>
    <row r="376" ht="15.75" hidden="1" customHeight="1">
      <c r="A376" s="34"/>
      <c r="B376" s="35"/>
      <c r="C376" s="35"/>
      <c r="F376" s="29"/>
      <c r="I376" s="24"/>
      <c r="K376" s="28"/>
      <c r="P376" s="29"/>
      <c r="S376" s="24"/>
    </row>
    <row r="377" ht="15.75" hidden="1" customHeight="1">
      <c r="A377" s="34"/>
      <c r="B377" s="35"/>
      <c r="C377" s="35"/>
      <c r="F377" s="29"/>
      <c r="I377" s="24"/>
      <c r="K377" s="28"/>
      <c r="P377" s="29"/>
      <c r="S377" s="24"/>
    </row>
    <row r="378" ht="15.75" hidden="1" customHeight="1">
      <c r="A378" s="34"/>
      <c r="B378" s="35"/>
      <c r="C378" s="35"/>
      <c r="F378" s="29"/>
      <c r="I378" s="24"/>
      <c r="K378" s="28"/>
      <c r="P378" s="29"/>
      <c r="S378" s="24"/>
    </row>
    <row r="379" ht="15.75" hidden="1" customHeight="1">
      <c r="A379" s="34"/>
      <c r="B379" s="35"/>
      <c r="C379" s="35"/>
      <c r="F379" s="29"/>
      <c r="I379" s="24"/>
      <c r="K379" s="28"/>
      <c r="P379" s="29"/>
      <c r="S379" s="24"/>
    </row>
    <row r="380" ht="15.75" hidden="1" customHeight="1">
      <c r="A380" s="34"/>
      <c r="B380" s="35"/>
      <c r="C380" s="35"/>
      <c r="F380" s="29"/>
      <c r="I380" s="24"/>
      <c r="K380" s="28"/>
      <c r="P380" s="29"/>
      <c r="S380" s="24"/>
    </row>
    <row r="381" ht="15.75" hidden="1" customHeight="1">
      <c r="A381" s="34"/>
      <c r="B381" s="35"/>
      <c r="C381" s="35"/>
      <c r="F381" s="29"/>
      <c r="I381" s="24"/>
      <c r="K381" s="28"/>
      <c r="P381" s="29"/>
      <c r="S381" s="24"/>
    </row>
    <row r="382" ht="15.75" hidden="1" customHeight="1">
      <c r="A382" s="34"/>
      <c r="B382" s="35"/>
      <c r="C382" s="35"/>
      <c r="F382" s="29"/>
      <c r="I382" s="24"/>
      <c r="K382" s="28"/>
      <c r="P382" s="29"/>
      <c r="S382" s="24"/>
    </row>
    <row r="383" ht="15.75" hidden="1" customHeight="1">
      <c r="A383" s="34"/>
      <c r="B383" s="35"/>
      <c r="C383" s="35"/>
      <c r="F383" s="29"/>
      <c r="I383" s="24"/>
      <c r="K383" s="28"/>
      <c r="P383" s="29"/>
      <c r="S383" s="24"/>
    </row>
    <row r="384" ht="15.75" hidden="1" customHeight="1">
      <c r="A384" s="34"/>
      <c r="B384" s="35"/>
      <c r="C384" s="35"/>
      <c r="F384" s="29"/>
      <c r="I384" s="24"/>
      <c r="K384" s="28"/>
      <c r="P384" s="29"/>
      <c r="S384" s="24"/>
    </row>
    <row r="385" ht="15.75" hidden="1" customHeight="1">
      <c r="A385" s="34"/>
      <c r="B385" s="35"/>
      <c r="C385" s="35"/>
      <c r="F385" s="29"/>
      <c r="I385" s="24"/>
      <c r="K385" s="28"/>
      <c r="P385" s="29"/>
      <c r="S385" s="24"/>
    </row>
    <row r="386" ht="15.75" hidden="1" customHeight="1">
      <c r="A386" s="34"/>
      <c r="B386" s="35"/>
      <c r="C386" s="35"/>
      <c r="F386" s="29"/>
      <c r="I386" s="24"/>
      <c r="K386" s="28"/>
      <c r="P386" s="29"/>
      <c r="S386" s="24"/>
    </row>
    <row r="387" ht="15.75" hidden="1" customHeight="1">
      <c r="A387" s="34"/>
      <c r="B387" s="35"/>
      <c r="C387" s="35"/>
      <c r="F387" s="29"/>
      <c r="I387" s="24"/>
      <c r="K387" s="28"/>
      <c r="P387" s="29"/>
      <c r="S387" s="24"/>
    </row>
    <row r="388" ht="15.75" hidden="1" customHeight="1">
      <c r="A388" s="34"/>
      <c r="B388" s="35"/>
      <c r="F388" s="29"/>
      <c r="I388" s="24"/>
      <c r="K388" s="28"/>
      <c r="P388" s="29"/>
      <c r="S388" s="24"/>
    </row>
    <row r="389" ht="15.75" hidden="1" customHeight="1">
      <c r="A389" s="34"/>
      <c r="C389" s="35"/>
      <c r="F389" s="29"/>
      <c r="I389" s="24"/>
      <c r="K389" s="28"/>
      <c r="P389" s="29"/>
      <c r="S389" s="24"/>
    </row>
    <row r="390" ht="15.75" hidden="1" customHeight="1">
      <c r="A390" s="34"/>
      <c r="B390" s="35"/>
      <c r="C390" s="35"/>
      <c r="F390" s="29"/>
      <c r="I390" s="24"/>
      <c r="K390" s="28"/>
      <c r="P390" s="29"/>
      <c r="S390" s="24"/>
    </row>
    <row r="391" ht="15.75" hidden="1" customHeight="1">
      <c r="A391" s="34"/>
      <c r="B391" s="35"/>
      <c r="C391" s="35"/>
      <c r="F391" s="29"/>
      <c r="I391" s="24"/>
      <c r="K391" s="28"/>
      <c r="P391" s="29"/>
      <c r="S391" s="24"/>
    </row>
    <row r="392" ht="15.75" hidden="1" customHeight="1">
      <c r="A392" s="34"/>
      <c r="B392" s="35"/>
      <c r="C392" s="35"/>
      <c r="F392" s="29"/>
      <c r="I392" s="24"/>
      <c r="K392" s="28"/>
      <c r="P392" s="29"/>
      <c r="S392" s="24"/>
    </row>
    <row r="393" ht="15.75" hidden="1" customHeight="1">
      <c r="A393" s="34"/>
      <c r="B393" s="35"/>
      <c r="C393" s="35"/>
      <c r="F393" s="29"/>
      <c r="I393" s="24"/>
      <c r="K393" s="28"/>
      <c r="P393" s="29"/>
      <c r="S393" s="24"/>
    </row>
    <row r="394" ht="15.75" hidden="1" customHeight="1">
      <c r="A394" s="34"/>
      <c r="B394" s="35"/>
      <c r="C394" s="35"/>
      <c r="F394" s="29"/>
      <c r="I394" s="24"/>
      <c r="K394" s="28"/>
      <c r="P394" s="29"/>
      <c r="S394" s="24"/>
    </row>
    <row r="395" ht="15.75" hidden="1" customHeight="1">
      <c r="A395" s="34"/>
      <c r="B395" s="35"/>
      <c r="C395" s="35"/>
      <c r="F395" s="29"/>
      <c r="I395" s="24"/>
      <c r="K395" s="28"/>
      <c r="P395" s="29"/>
      <c r="S395" s="24"/>
    </row>
    <row r="396" ht="15.75" hidden="1" customHeight="1">
      <c r="A396" s="34"/>
      <c r="B396" s="35"/>
      <c r="C396" s="35"/>
      <c r="F396" s="29"/>
      <c r="I396" s="24"/>
      <c r="K396" s="28"/>
      <c r="P396" s="29"/>
      <c r="S396" s="24"/>
    </row>
    <row r="397" ht="15.75" hidden="1" customHeight="1">
      <c r="A397" s="34"/>
      <c r="B397" s="35"/>
      <c r="C397" s="35"/>
      <c r="F397" s="29"/>
      <c r="I397" s="24"/>
      <c r="K397" s="28"/>
      <c r="P397" s="29"/>
      <c r="S397" s="24"/>
    </row>
    <row r="398" ht="15.75" hidden="1" customHeight="1">
      <c r="A398" s="34"/>
      <c r="B398" s="35"/>
      <c r="C398" s="35"/>
      <c r="F398" s="29"/>
      <c r="I398" s="24"/>
      <c r="K398" s="28"/>
      <c r="P398" s="29"/>
      <c r="S398" s="24"/>
    </row>
    <row r="399" ht="15.75" hidden="1" customHeight="1">
      <c r="A399" s="34"/>
      <c r="B399" s="35"/>
      <c r="C399" s="35"/>
      <c r="F399" s="29"/>
      <c r="I399" s="24"/>
      <c r="K399" s="28"/>
      <c r="P399" s="29"/>
      <c r="S399" s="24"/>
    </row>
    <row r="400" ht="15.75" hidden="1" customHeight="1">
      <c r="A400" s="34"/>
      <c r="B400" s="35"/>
      <c r="C400" s="35"/>
      <c r="F400" s="29"/>
      <c r="I400" s="24"/>
      <c r="K400" s="28"/>
      <c r="P400" s="29"/>
      <c r="S400" s="24"/>
    </row>
    <row r="401" ht="15.75" hidden="1" customHeight="1">
      <c r="A401" s="34"/>
      <c r="B401" s="35"/>
      <c r="C401" s="35"/>
      <c r="F401" s="29"/>
      <c r="I401" s="24"/>
      <c r="K401" s="28"/>
      <c r="P401" s="29"/>
      <c r="S401" s="24"/>
    </row>
    <row r="402" ht="15.75" hidden="1" customHeight="1">
      <c r="A402" s="34"/>
      <c r="B402" s="35"/>
      <c r="C402" s="35"/>
      <c r="F402" s="29"/>
      <c r="I402" s="24"/>
      <c r="K402" s="28"/>
      <c r="P402" s="29"/>
      <c r="S402" s="24"/>
    </row>
    <row r="403" ht="15.75" hidden="1" customHeight="1">
      <c r="A403" s="34"/>
      <c r="B403" s="35"/>
      <c r="C403" s="35"/>
      <c r="F403" s="29"/>
      <c r="I403" s="24"/>
      <c r="K403" s="28"/>
      <c r="P403" s="29"/>
      <c r="S403" s="24"/>
    </row>
    <row r="404" ht="15.75" hidden="1" customHeight="1">
      <c r="A404" s="34"/>
      <c r="B404" s="35"/>
      <c r="C404" s="35"/>
      <c r="F404" s="29"/>
      <c r="I404" s="24"/>
      <c r="K404" s="28"/>
      <c r="P404" s="29"/>
      <c r="S404" s="24"/>
    </row>
    <row r="405" ht="15.75" hidden="1" customHeight="1">
      <c r="A405" s="34"/>
      <c r="B405" s="35"/>
      <c r="C405" s="35"/>
      <c r="F405" s="29"/>
      <c r="I405" s="24"/>
      <c r="K405" s="28"/>
      <c r="P405" s="29"/>
      <c r="S405" s="24"/>
    </row>
    <row r="406" ht="15.75" hidden="1" customHeight="1">
      <c r="A406" s="34"/>
      <c r="B406" s="35"/>
      <c r="C406" s="35"/>
      <c r="F406" s="29"/>
      <c r="I406" s="24"/>
      <c r="K406" s="28"/>
      <c r="P406" s="29"/>
      <c r="S406" s="24"/>
    </row>
    <row r="407" ht="15.75" hidden="1" customHeight="1">
      <c r="A407" s="34"/>
      <c r="B407" s="35"/>
      <c r="C407" s="35"/>
      <c r="F407" s="29"/>
      <c r="I407" s="24"/>
      <c r="K407" s="28"/>
      <c r="P407" s="29"/>
      <c r="S407" s="24"/>
    </row>
    <row r="408" ht="15.75" hidden="1" customHeight="1">
      <c r="A408" s="34"/>
      <c r="B408" s="35"/>
      <c r="C408" s="35"/>
      <c r="F408" s="29"/>
      <c r="I408" s="24"/>
      <c r="K408" s="28"/>
      <c r="P408" s="29"/>
      <c r="S408" s="24"/>
    </row>
    <row r="409" ht="15.75" hidden="1" customHeight="1">
      <c r="A409" s="34"/>
      <c r="B409" s="35"/>
      <c r="C409" s="35"/>
      <c r="F409" s="29"/>
      <c r="I409" s="24"/>
      <c r="K409" s="28"/>
      <c r="P409" s="29"/>
      <c r="S409" s="24"/>
    </row>
    <row r="410" ht="15.75" hidden="1" customHeight="1">
      <c r="A410" s="34"/>
      <c r="B410" s="35"/>
      <c r="C410" s="35"/>
      <c r="F410" s="29"/>
      <c r="I410" s="24"/>
      <c r="K410" s="28"/>
      <c r="P410" s="29"/>
      <c r="S410" s="24"/>
    </row>
    <row r="411" ht="15.75" hidden="1" customHeight="1">
      <c r="A411" s="34"/>
      <c r="B411" s="35"/>
      <c r="C411" s="35"/>
      <c r="F411" s="29"/>
      <c r="I411" s="24"/>
      <c r="K411" s="28"/>
      <c r="P411" s="29"/>
      <c r="S411" s="24"/>
    </row>
    <row r="412" ht="15.75" hidden="1" customHeight="1">
      <c r="A412" s="34"/>
      <c r="B412" s="35"/>
      <c r="C412" s="35"/>
      <c r="F412" s="29"/>
      <c r="I412" s="24"/>
      <c r="K412" s="28"/>
      <c r="P412" s="29"/>
      <c r="S412" s="24"/>
    </row>
    <row r="413" ht="15.75" hidden="1" customHeight="1">
      <c r="A413" s="34"/>
      <c r="B413" s="35"/>
      <c r="C413" s="35"/>
      <c r="F413" s="29"/>
      <c r="I413" s="24"/>
      <c r="K413" s="28"/>
      <c r="P413" s="29"/>
      <c r="S413" s="24"/>
    </row>
    <row r="414" ht="15.75" hidden="1" customHeight="1">
      <c r="A414" s="34"/>
      <c r="B414" s="35"/>
      <c r="C414" s="35"/>
      <c r="F414" s="29"/>
      <c r="I414" s="24"/>
      <c r="K414" s="28"/>
      <c r="P414" s="29"/>
      <c r="S414" s="24"/>
    </row>
    <row r="415" ht="15.75" hidden="1" customHeight="1">
      <c r="A415" s="34"/>
      <c r="B415" s="35"/>
      <c r="C415" s="35"/>
      <c r="F415" s="29"/>
      <c r="I415" s="24"/>
      <c r="K415" s="28"/>
      <c r="P415" s="29"/>
      <c r="S415" s="24"/>
    </row>
    <row r="416" ht="15.75" hidden="1" customHeight="1">
      <c r="A416" s="34"/>
      <c r="B416" s="35"/>
      <c r="C416" s="35"/>
      <c r="F416" s="29"/>
      <c r="I416" s="24"/>
      <c r="K416" s="28"/>
      <c r="P416" s="29"/>
      <c r="S416" s="24"/>
    </row>
    <row r="417" ht="15.75" hidden="1" customHeight="1">
      <c r="A417" s="34"/>
      <c r="B417" s="35"/>
      <c r="C417" s="35"/>
      <c r="F417" s="29"/>
      <c r="I417" s="24"/>
      <c r="K417" s="28"/>
      <c r="P417" s="29"/>
      <c r="S417" s="24"/>
    </row>
    <row r="418" ht="15.75" hidden="1" customHeight="1">
      <c r="A418" s="34"/>
      <c r="B418" s="35"/>
      <c r="C418" s="35"/>
      <c r="F418" s="29"/>
      <c r="I418" s="24"/>
      <c r="K418" s="28"/>
      <c r="P418" s="29"/>
      <c r="S418" s="24"/>
    </row>
    <row r="419" ht="15.75" hidden="1" customHeight="1">
      <c r="A419" s="34"/>
      <c r="B419" s="35"/>
      <c r="C419" s="35"/>
      <c r="F419" s="29"/>
      <c r="I419" s="24"/>
      <c r="K419" s="28"/>
      <c r="P419" s="29"/>
      <c r="S419" s="24"/>
    </row>
    <row r="420" ht="15.75" hidden="1" customHeight="1">
      <c r="A420" s="34"/>
      <c r="B420" s="35"/>
      <c r="C420" s="35"/>
      <c r="F420" s="29"/>
      <c r="I420" s="24"/>
      <c r="K420" s="28"/>
      <c r="P420" s="29"/>
      <c r="S420" s="24"/>
    </row>
    <row r="421" ht="15.75" hidden="1" customHeight="1">
      <c r="A421" s="34"/>
      <c r="B421" s="35"/>
      <c r="C421" s="35"/>
      <c r="F421" s="29"/>
      <c r="I421" s="24"/>
      <c r="K421" s="28"/>
      <c r="P421" s="29"/>
      <c r="S421" s="24"/>
    </row>
    <row r="422" ht="15.75" hidden="1" customHeight="1">
      <c r="A422" s="34"/>
      <c r="B422" s="35"/>
      <c r="C422" s="35"/>
      <c r="F422" s="29"/>
      <c r="I422" s="24"/>
      <c r="K422" s="28"/>
      <c r="P422" s="29"/>
      <c r="S422" s="24"/>
    </row>
    <row r="423" ht="15.75" hidden="1" customHeight="1">
      <c r="A423" s="34"/>
      <c r="B423" s="35"/>
      <c r="C423" s="35"/>
      <c r="F423" s="29"/>
      <c r="I423" s="24"/>
      <c r="K423" s="28"/>
      <c r="P423" s="29"/>
      <c r="S423" s="24"/>
    </row>
    <row r="424" ht="15.75" hidden="1" customHeight="1">
      <c r="A424" s="34"/>
      <c r="B424" s="35"/>
      <c r="C424" s="35"/>
      <c r="F424" s="29"/>
      <c r="I424" s="24"/>
      <c r="K424" s="28"/>
      <c r="P424" s="29"/>
      <c r="S424" s="24"/>
    </row>
    <row r="425" ht="15.75" hidden="1" customHeight="1">
      <c r="A425" s="34"/>
      <c r="B425" s="35"/>
      <c r="C425" s="35"/>
      <c r="F425" s="29"/>
      <c r="I425" s="24"/>
      <c r="K425" s="28"/>
      <c r="P425" s="29"/>
      <c r="S425" s="24"/>
    </row>
    <row r="426" ht="15.75" hidden="1" customHeight="1">
      <c r="A426" s="34"/>
      <c r="B426" s="35"/>
      <c r="C426" s="35"/>
      <c r="F426" s="29"/>
      <c r="I426" s="24"/>
      <c r="K426" s="28"/>
      <c r="P426" s="29"/>
      <c r="S426" s="24"/>
    </row>
    <row r="427" ht="15.75" hidden="1" customHeight="1">
      <c r="A427" s="34"/>
      <c r="B427" s="35"/>
      <c r="C427" s="35"/>
      <c r="F427" s="29"/>
      <c r="I427" s="24"/>
      <c r="K427" s="28"/>
      <c r="P427" s="29"/>
      <c r="S427" s="24"/>
    </row>
    <row r="428" ht="15.75" hidden="1" customHeight="1">
      <c r="A428" s="34"/>
      <c r="B428" s="35"/>
      <c r="C428" s="35"/>
      <c r="F428" s="29"/>
      <c r="I428" s="24"/>
      <c r="K428" s="28"/>
      <c r="P428" s="29"/>
      <c r="S428" s="24"/>
    </row>
    <row r="429" ht="15.75" hidden="1" customHeight="1">
      <c r="A429" s="34"/>
      <c r="B429" s="35"/>
      <c r="C429" s="35"/>
      <c r="F429" s="29"/>
      <c r="I429" s="24"/>
      <c r="K429" s="28"/>
      <c r="P429" s="29"/>
      <c r="S429" s="24"/>
    </row>
    <row r="430" ht="15.75" hidden="1" customHeight="1">
      <c r="A430" s="34"/>
      <c r="B430" s="35"/>
      <c r="C430" s="35"/>
      <c r="F430" s="29"/>
      <c r="I430" s="24"/>
      <c r="K430" s="28"/>
      <c r="P430" s="29"/>
      <c r="S430" s="24"/>
    </row>
    <row r="431" ht="15.75" hidden="1" customHeight="1">
      <c r="A431" s="34"/>
      <c r="B431" s="35"/>
      <c r="C431" s="35"/>
      <c r="F431" s="29"/>
      <c r="I431" s="24"/>
      <c r="K431" s="28"/>
      <c r="P431" s="29"/>
      <c r="S431" s="24"/>
    </row>
    <row r="432" ht="15.75" hidden="1" customHeight="1">
      <c r="A432" s="34"/>
      <c r="B432" s="35"/>
      <c r="C432" s="35"/>
      <c r="F432" s="29"/>
      <c r="I432" s="24"/>
      <c r="K432" s="28"/>
      <c r="P432" s="29"/>
      <c r="S432" s="24"/>
    </row>
    <row r="433" ht="15.75" hidden="1" customHeight="1">
      <c r="A433" s="34"/>
      <c r="B433" s="35"/>
      <c r="C433" s="35"/>
      <c r="F433" s="29"/>
      <c r="I433" s="24"/>
      <c r="K433" s="28"/>
      <c r="P433" s="29"/>
      <c r="S433" s="24"/>
    </row>
    <row r="434" ht="15.75" hidden="1" customHeight="1">
      <c r="A434" s="34"/>
      <c r="B434" s="35"/>
      <c r="C434" s="35"/>
      <c r="F434" s="29"/>
      <c r="I434" s="24"/>
      <c r="K434" s="28"/>
      <c r="P434" s="29"/>
      <c r="S434" s="24"/>
    </row>
    <row r="435" ht="15.75" hidden="1" customHeight="1">
      <c r="A435" s="34"/>
      <c r="B435" s="35"/>
      <c r="C435" s="35"/>
      <c r="F435" s="29"/>
      <c r="I435" s="24"/>
      <c r="K435" s="28"/>
      <c r="P435" s="29"/>
      <c r="S435" s="24"/>
    </row>
    <row r="436" ht="15.75" hidden="1" customHeight="1">
      <c r="A436" s="34"/>
      <c r="B436" s="35"/>
      <c r="C436" s="35"/>
      <c r="F436" s="29"/>
      <c r="I436" s="24"/>
      <c r="K436" s="28"/>
      <c r="P436" s="29"/>
      <c r="S436" s="24"/>
    </row>
    <row r="437" ht="15.75" hidden="1" customHeight="1">
      <c r="A437" s="34"/>
      <c r="B437" s="35"/>
      <c r="C437" s="35"/>
      <c r="F437" s="29"/>
      <c r="I437" s="24"/>
      <c r="K437" s="28"/>
      <c r="P437" s="29"/>
      <c r="S437" s="24"/>
    </row>
    <row r="438" ht="15.75" hidden="1" customHeight="1">
      <c r="A438" s="34"/>
      <c r="B438" s="35"/>
      <c r="C438" s="35"/>
      <c r="F438" s="29"/>
      <c r="I438" s="24"/>
      <c r="K438" s="28"/>
      <c r="P438" s="29"/>
      <c r="S438" s="24"/>
    </row>
    <row r="439" ht="15.75" hidden="1" customHeight="1">
      <c r="A439" s="34"/>
      <c r="B439" s="35"/>
      <c r="C439" s="35"/>
      <c r="F439" s="29"/>
      <c r="I439" s="24"/>
      <c r="K439" s="28"/>
      <c r="P439" s="29"/>
      <c r="S439" s="24"/>
    </row>
    <row r="440" ht="15.75" hidden="1" customHeight="1">
      <c r="A440" s="34"/>
      <c r="B440" s="35"/>
      <c r="C440" s="35"/>
      <c r="F440" s="29"/>
      <c r="I440" s="24"/>
      <c r="K440" s="28"/>
      <c r="P440" s="29"/>
      <c r="S440" s="24"/>
    </row>
    <row r="441" ht="15.75" hidden="1" customHeight="1">
      <c r="A441" s="34"/>
      <c r="B441" s="35"/>
      <c r="C441" s="35"/>
      <c r="F441" s="29"/>
      <c r="I441" s="24"/>
      <c r="K441" s="28"/>
      <c r="P441" s="29"/>
      <c r="S441" s="24"/>
    </row>
    <row r="442" ht="15.75" hidden="1" customHeight="1">
      <c r="A442" s="34"/>
      <c r="B442" s="35"/>
      <c r="C442" s="35"/>
      <c r="F442" s="29"/>
      <c r="I442" s="24"/>
      <c r="K442" s="28"/>
      <c r="P442" s="29"/>
      <c r="S442" s="24"/>
    </row>
    <row r="443" ht="15.75" hidden="1" customHeight="1">
      <c r="A443" s="34"/>
      <c r="B443" s="35"/>
      <c r="C443" s="35"/>
      <c r="F443" s="29"/>
      <c r="I443" s="24"/>
      <c r="K443" s="28"/>
      <c r="P443" s="29"/>
      <c r="S443" s="24"/>
    </row>
    <row r="444" ht="15.75" hidden="1" customHeight="1">
      <c r="A444" s="34"/>
      <c r="B444" s="35"/>
      <c r="C444" s="35"/>
      <c r="F444" s="29"/>
      <c r="I444" s="24"/>
      <c r="K444" s="28"/>
      <c r="P444" s="29"/>
      <c r="S444" s="24"/>
    </row>
    <row r="445" ht="15.75" hidden="1" customHeight="1">
      <c r="A445" s="34"/>
      <c r="B445" s="35"/>
      <c r="C445" s="35"/>
      <c r="F445" s="29"/>
      <c r="I445" s="24"/>
      <c r="K445" s="28"/>
      <c r="P445" s="29"/>
      <c r="S445" s="24"/>
    </row>
    <row r="446" ht="15.75" hidden="1" customHeight="1">
      <c r="A446" s="34"/>
      <c r="B446" s="35"/>
      <c r="C446" s="35"/>
      <c r="F446" s="29"/>
      <c r="I446" s="24"/>
      <c r="K446" s="28"/>
      <c r="P446" s="29"/>
      <c r="S446" s="24"/>
    </row>
    <row r="447" ht="15.75" hidden="1" customHeight="1">
      <c r="A447" s="34"/>
      <c r="B447" s="35"/>
      <c r="C447" s="35"/>
      <c r="F447" s="29"/>
      <c r="I447" s="24"/>
      <c r="K447" s="28"/>
      <c r="P447" s="29"/>
      <c r="S447" s="24"/>
    </row>
    <row r="448" ht="15.75" hidden="1" customHeight="1">
      <c r="A448" s="34"/>
      <c r="B448" s="35"/>
      <c r="C448" s="35"/>
      <c r="F448" s="29"/>
      <c r="I448" s="24"/>
      <c r="K448" s="28"/>
      <c r="P448" s="29"/>
      <c r="S448" s="24"/>
    </row>
    <row r="449" ht="15.75" hidden="1" customHeight="1">
      <c r="A449" s="34"/>
      <c r="B449" s="35"/>
      <c r="C449" s="35"/>
      <c r="F449" s="29"/>
      <c r="I449" s="24"/>
      <c r="K449" s="28"/>
      <c r="P449" s="29"/>
      <c r="S449" s="24"/>
    </row>
    <row r="450" ht="15.75" hidden="1" customHeight="1">
      <c r="A450" s="34"/>
      <c r="B450" s="35"/>
      <c r="C450" s="35"/>
      <c r="F450" s="29"/>
      <c r="I450" s="24"/>
      <c r="K450" s="28"/>
      <c r="P450" s="29"/>
      <c r="S450" s="24"/>
    </row>
    <row r="451" ht="15.75" hidden="1" customHeight="1">
      <c r="A451" s="34"/>
      <c r="B451" s="35"/>
      <c r="C451" s="35"/>
      <c r="F451" s="29"/>
      <c r="I451" s="24"/>
      <c r="K451" s="28"/>
      <c r="P451" s="29"/>
      <c r="S451" s="24"/>
    </row>
    <row r="452" ht="15.75" hidden="1" customHeight="1">
      <c r="A452" s="34"/>
      <c r="B452" s="35"/>
      <c r="C452" s="35"/>
      <c r="F452" s="29"/>
      <c r="I452" s="24"/>
      <c r="K452" s="28"/>
      <c r="P452" s="29"/>
      <c r="S452" s="24"/>
    </row>
    <row r="453" ht="15.75" hidden="1" customHeight="1">
      <c r="A453" s="34"/>
      <c r="B453" s="35"/>
      <c r="C453" s="35"/>
      <c r="F453" s="29"/>
      <c r="I453" s="24"/>
      <c r="K453" s="28"/>
      <c r="P453" s="29"/>
      <c r="S453" s="24"/>
    </row>
    <row r="454" ht="15.75" hidden="1" customHeight="1">
      <c r="A454" s="34"/>
      <c r="B454" s="35"/>
      <c r="C454" s="35"/>
      <c r="F454" s="29"/>
      <c r="I454" s="24"/>
      <c r="K454" s="28"/>
      <c r="P454" s="29"/>
      <c r="S454" s="24"/>
    </row>
    <row r="455" ht="15.75" hidden="1" customHeight="1">
      <c r="A455" s="34"/>
      <c r="B455" s="35"/>
      <c r="C455" s="35"/>
      <c r="F455" s="29"/>
      <c r="I455" s="24"/>
      <c r="K455" s="28"/>
      <c r="P455" s="29"/>
      <c r="S455" s="24"/>
    </row>
    <row r="456" ht="15.75" hidden="1" customHeight="1">
      <c r="A456" s="34"/>
      <c r="B456" s="35"/>
      <c r="C456" s="35"/>
      <c r="F456" s="29"/>
      <c r="I456" s="24"/>
      <c r="K456" s="28"/>
      <c r="P456" s="29"/>
      <c r="S456" s="24"/>
    </row>
    <row r="457" ht="15.75" hidden="1" customHeight="1">
      <c r="A457" s="34"/>
      <c r="B457" s="35"/>
      <c r="C457" s="35"/>
      <c r="F457" s="29"/>
      <c r="I457" s="24"/>
      <c r="K457" s="28"/>
      <c r="P457" s="29"/>
      <c r="S457" s="24"/>
    </row>
    <row r="458" ht="15.75" hidden="1" customHeight="1">
      <c r="A458" s="34"/>
      <c r="B458" s="35"/>
      <c r="C458" s="35"/>
      <c r="F458" s="29"/>
      <c r="I458" s="24"/>
      <c r="K458" s="28"/>
      <c r="P458" s="29"/>
      <c r="S458" s="24"/>
    </row>
    <row r="459" ht="15.75" hidden="1" customHeight="1">
      <c r="A459" s="34"/>
      <c r="B459" s="35"/>
      <c r="C459" s="35"/>
      <c r="F459" s="29"/>
      <c r="I459" s="24"/>
      <c r="K459" s="28"/>
      <c r="P459" s="29"/>
      <c r="S459" s="24"/>
    </row>
    <row r="460" ht="15.75" hidden="1" customHeight="1">
      <c r="A460" s="34"/>
      <c r="B460" s="35"/>
      <c r="C460" s="35"/>
      <c r="F460" s="29"/>
      <c r="I460" s="24"/>
      <c r="K460" s="28"/>
      <c r="P460" s="29"/>
      <c r="S460" s="24"/>
    </row>
    <row r="461" ht="15.75" hidden="1" customHeight="1">
      <c r="A461" s="34"/>
      <c r="B461" s="35"/>
      <c r="C461" s="35"/>
      <c r="F461" s="29"/>
      <c r="I461" s="24"/>
      <c r="K461" s="28"/>
      <c r="P461" s="29"/>
      <c r="S461" s="24"/>
    </row>
    <row r="462" ht="15.75" hidden="1" customHeight="1">
      <c r="A462" s="34"/>
      <c r="B462" s="35"/>
      <c r="C462" s="35"/>
      <c r="F462" s="29"/>
      <c r="I462" s="24"/>
      <c r="K462" s="28"/>
      <c r="P462" s="29"/>
      <c r="S462" s="24"/>
    </row>
    <row r="463" ht="15.75" hidden="1" customHeight="1">
      <c r="A463" s="34"/>
      <c r="B463" s="35"/>
      <c r="C463" s="35"/>
      <c r="F463" s="29"/>
      <c r="I463" s="24"/>
      <c r="K463" s="28"/>
      <c r="P463" s="29"/>
      <c r="S463" s="24"/>
    </row>
    <row r="464" ht="15.75" hidden="1" customHeight="1">
      <c r="A464" s="34"/>
      <c r="B464" s="35"/>
      <c r="C464" s="35"/>
      <c r="F464" s="29"/>
      <c r="I464" s="24"/>
      <c r="K464" s="28"/>
      <c r="P464" s="29"/>
      <c r="S464" s="24"/>
    </row>
    <row r="465" ht="15.75" hidden="1" customHeight="1">
      <c r="A465" s="34"/>
      <c r="B465" s="35"/>
      <c r="C465" s="35"/>
      <c r="F465" s="29"/>
      <c r="I465" s="24"/>
      <c r="K465" s="28"/>
      <c r="P465" s="29"/>
      <c r="S465" s="24"/>
    </row>
    <row r="466" ht="15.75" hidden="1" customHeight="1">
      <c r="A466" s="34"/>
      <c r="B466" s="35"/>
      <c r="C466" s="35"/>
      <c r="F466" s="29"/>
      <c r="I466" s="24"/>
      <c r="K466" s="28"/>
      <c r="P466" s="29"/>
      <c r="S466" s="24"/>
    </row>
    <row r="467" ht="15.75" hidden="1" customHeight="1">
      <c r="A467" s="34"/>
      <c r="B467" s="35"/>
      <c r="C467" s="35"/>
      <c r="F467" s="29"/>
      <c r="I467" s="24"/>
      <c r="K467" s="28"/>
      <c r="P467" s="29"/>
      <c r="S467" s="24"/>
    </row>
    <row r="468" ht="15.75" hidden="1" customHeight="1">
      <c r="A468" s="34"/>
      <c r="B468" s="35"/>
      <c r="C468" s="35"/>
      <c r="F468" s="29"/>
      <c r="I468" s="24"/>
      <c r="K468" s="28"/>
      <c r="P468" s="29"/>
      <c r="S468" s="24"/>
    </row>
    <row r="469" ht="15.75" hidden="1" customHeight="1">
      <c r="A469" s="34"/>
      <c r="B469" s="35"/>
      <c r="C469" s="35"/>
      <c r="F469" s="29"/>
      <c r="I469" s="24"/>
      <c r="K469" s="28"/>
      <c r="P469" s="29"/>
      <c r="S469" s="24"/>
    </row>
    <row r="470" ht="15.75" hidden="1" customHeight="1">
      <c r="A470" s="34"/>
      <c r="B470" s="35"/>
      <c r="C470" s="35"/>
      <c r="F470" s="29"/>
      <c r="I470" s="24"/>
      <c r="K470" s="28"/>
      <c r="P470" s="29"/>
      <c r="S470" s="24"/>
    </row>
    <row r="471" ht="15.75" hidden="1" customHeight="1">
      <c r="A471" s="34"/>
      <c r="B471" s="35"/>
      <c r="C471" s="35"/>
      <c r="F471" s="29"/>
      <c r="I471" s="24"/>
      <c r="K471" s="28"/>
      <c r="P471" s="29"/>
      <c r="S471" s="24"/>
    </row>
    <row r="472" ht="15.75" hidden="1" customHeight="1">
      <c r="A472" s="34"/>
      <c r="B472" s="35"/>
      <c r="C472" s="35"/>
      <c r="F472" s="29"/>
      <c r="I472" s="24"/>
      <c r="K472" s="28"/>
      <c r="P472" s="29"/>
      <c r="S472" s="24"/>
    </row>
    <row r="473" ht="15.75" hidden="1" customHeight="1">
      <c r="A473" s="34"/>
      <c r="B473" s="35"/>
      <c r="C473" s="35"/>
      <c r="F473" s="29"/>
      <c r="I473" s="24"/>
      <c r="K473" s="28"/>
      <c r="P473" s="29"/>
      <c r="S473" s="24"/>
    </row>
    <row r="474" ht="15.75" hidden="1" customHeight="1">
      <c r="A474" s="34"/>
      <c r="B474" s="35"/>
      <c r="C474" s="35"/>
      <c r="F474" s="29"/>
      <c r="I474" s="24"/>
      <c r="K474" s="28"/>
      <c r="P474" s="29"/>
      <c r="S474" s="24"/>
    </row>
    <row r="475" ht="15.75" hidden="1" customHeight="1">
      <c r="A475" s="34"/>
      <c r="B475" s="35"/>
      <c r="C475" s="35"/>
      <c r="F475" s="29"/>
      <c r="I475" s="24"/>
      <c r="K475" s="28"/>
      <c r="P475" s="29"/>
      <c r="S475" s="24"/>
    </row>
    <row r="476" ht="15.75" hidden="1" customHeight="1">
      <c r="A476" s="34"/>
      <c r="B476" s="35"/>
      <c r="C476" s="35"/>
      <c r="F476" s="29"/>
      <c r="I476" s="24"/>
      <c r="K476" s="28"/>
      <c r="P476" s="29"/>
      <c r="S476" s="24"/>
    </row>
    <row r="477" ht="15.75" hidden="1" customHeight="1">
      <c r="A477" s="34"/>
      <c r="B477" s="35"/>
      <c r="C477" s="35"/>
      <c r="F477" s="29"/>
      <c r="I477" s="24"/>
      <c r="K477" s="28"/>
      <c r="P477" s="29"/>
      <c r="S477" s="24"/>
    </row>
    <row r="478" ht="15.75" hidden="1" customHeight="1">
      <c r="A478" s="34"/>
      <c r="B478" s="35"/>
      <c r="C478" s="35"/>
      <c r="F478" s="29"/>
      <c r="I478" s="24"/>
      <c r="K478" s="28"/>
      <c r="P478" s="29"/>
      <c r="S478" s="24"/>
    </row>
    <row r="479" ht="15.75" hidden="1" customHeight="1">
      <c r="A479" s="34"/>
      <c r="B479" s="35"/>
      <c r="C479" s="35"/>
      <c r="F479" s="29"/>
      <c r="I479" s="24"/>
      <c r="K479" s="28"/>
      <c r="P479" s="29"/>
      <c r="S479" s="24"/>
    </row>
    <row r="480" ht="15.75" hidden="1" customHeight="1">
      <c r="A480" s="34"/>
      <c r="B480" s="35"/>
      <c r="C480" s="35"/>
      <c r="F480" s="29"/>
      <c r="I480" s="24"/>
      <c r="K480" s="28"/>
      <c r="P480" s="29"/>
      <c r="S480" s="24"/>
    </row>
    <row r="481" ht="15.75" hidden="1" customHeight="1">
      <c r="A481" s="34"/>
      <c r="B481" s="35"/>
      <c r="C481" s="35"/>
      <c r="F481" s="29"/>
      <c r="I481" s="24"/>
      <c r="K481" s="28"/>
      <c r="P481" s="29"/>
      <c r="S481" s="24"/>
    </row>
    <row r="482" ht="15.75" hidden="1" customHeight="1">
      <c r="A482" s="34"/>
      <c r="B482" s="35"/>
      <c r="C482" s="35"/>
      <c r="F482" s="29"/>
      <c r="I482" s="24"/>
      <c r="K482" s="28"/>
      <c r="P482" s="29"/>
      <c r="S482" s="24"/>
    </row>
    <row r="483" ht="15.75" hidden="1" customHeight="1">
      <c r="A483" s="34"/>
      <c r="B483" s="35"/>
      <c r="C483" s="35"/>
      <c r="F483" s="29"/>
      <c r="I483" s="24"/>
      <c r="K483" s="28"/>
      <c r="P483" s="29"/>
      <c r="S483" s="24"/>
    </row>
    <row r="484" ht="15.75" hidden="1" customHeight="1">
      <c r="A484" s="34"/>
      <c r="B484" s="35"/>
      <c r="C484" s="35"/>
      <c r="F484" s="29"/>
      <c r="I484" s="24"/>
      <c r="K484" s="28"/>
      <c r="P484" s="29"/>
      <c r="S484" s="24"/>
    </row>
    <row r="485" ht="15.75" hidden="1" customHeight="1">
      <c r="A485" s="34"/>
      <c r="B485" s="35"/>
      <c r="C485" s="35"/>
      <c r="F485" s="29"/>
      <c r="I485" s="24"/>
      <c r="K485" s="28"/>
      <c r="P485" s="29"/>
      <c r="S485" s="24"/>
    </row>
    <row r="486" ht="15.75" hidden="1" customHeight="1">
      <c r="A486" s="34"/>
      <c r="B486" s="35"/>
      <c r="C486" s="35"/>
      <c r="F486" s="29"/>
      <c r="I486" s="24"/>
      <c r="K486" s="28"/>
      <c r="P486" s="29"/>
      <c r="S486" s="24"/>
    </row>
    <row r="487" ht="15.75" hidden="1" customHeight="1">
      <c r="A487" s="34"/>
      <c r="B487" s="35"/>
      <c r="C487" s="35"/>
      <c r="F487" s="29"/>
      <c r="I487" s="24"/>
      <c r="K487" s="28"/>
      <c r="P487" s="29"/>
      <c r="S487" s="24"/>
    </row>
    <row r="488" ht="15.75" hidden="1" customHeight="1">
      <c r="A488" s="34"/>
      <c r="B488" s="35"/>
      <c r="C488" s="35"/>
      <c r="F488" s="29"/>
      <c r="I488" s="24"/>
      <c r="K488" s="28"/>
      <c r="P488" s="29"/>
      <c r="S488" s="24"/>
    </row>
    <row r="489" ht="15.75" hidden="1" customHeight="1">
      <c r="A489" s="34"/>
      <c r="B489" s="35"/>
      <c r="C489" s="35"/>
      <c r="F489" s="29"/>
      <c r="I489" s="24"/>
      <c r="K489" s="28"/>
      <c r="P489" s="29"/>
      <c r="S489" s="24"/>
    </row>
    <row r="490" ht="15.75" hidden="1" customHeight="1">
      <c r="A490" s="34"/>
      <c r="B490" s="35"/>
      <c r="C490" s="35"/>
      <c r="F490" s="29"/>
      <c r="I490" s="24"/>
      <c r="K490" s="28"/>
      <c r="P490" s="29"/>
      <c r="S490" s="24"/>
    </row>
    <row r="491" ht="15.75" hidden="1" customHeight="1">
      <c r="A491" s="34"/>
      <c r="B491" s="35"/>
      <c r="C491" s="35"/>
      <c r="F491" s="29"/>
      <c r="I491" s="24"/>
      <c r="K491" s="28"/>
      <c r="P491" s="29"/>
      <c r="S491" s="24"/>
    </row>
    <row r="492" ht="15.75" hidden="1" customHeight="1">
      <c r="A492" s="34"/>
      <c r="B492" s="35"/>
      <c r="C492" s="35"/>
      <c r="F492" s="29"/>
      <c r="I492" s="24"/>
      <c r="K492" s="28"/>
      <c r="P492" s="29"/>
      <c r="S492" s="24"/>
    </row>
    <row r="493" ht="15.75" hidden="1" customHeight="1">
      <c r="A493" s="34"/>
      <c r="B493" s="35"/>
      <c r="C493" s="35"/>
      <c r="F493" s="29"/>
      <c r="I493" s="24"/>
      <c r="K493" s="28"/>
      <c r="P493" s="29"/>
      <c r="S493" s="24"/>
    </row>
    <row r="494" ht="15.75" hidden="1" customHeight="1">
      <c r="A494" s="34"/>
      <c r="B494" s="35"/>
      <c r="C494" s="35"/>
      <c r="F494" s="29"/>
      <c r="I494" s="24"/>
      <c r="K494" s="28"/>
      <c r="P494" s="29"/>
      <c r="S494" s="24"/>
    </row>
    <row r="495" ht="15.75" hidden="1" customHeight="1">
      <c r="A495" s="34"/>
      <c r="B495" s="35"/>
      <c r="C495" s="35"/>
      <c r="F495" s="29"/>
      <c r="I495" s="24"/>
      <c r="K495" s="28"/>
      <c r="P495" s="29"/>
      <c r="S495" s="24"/>
    </row>
    <row r="496" ht="15.75" hidden="1" customHeight="1">
      <c r="A496" s="34"/>
      <c r="B496" s="35"/>
      <c r="C496" s="35"/>
      <c r="F496" s="29"/>
      <c r="I496" s="24"/>
      <c r="K496" s="28"/>
      <c r="P496" s="29"/>
      <c r="S496" s="24"/>
    </row>
    <row r="497" ht="15.75" hidden="1" customHeight="1">
      <c r="A497" s="34"/>
      <c r="B497" s="35"/>
      <c r="C497" s="35"/>
      <c r="F497" s="29"/>
      <c r="I497" s="24"/>
      <c r="K497" s="28"/>
      <c r="P497" s="29"/>
      <c r="S497" s="24"/>
    </row>
    <row r="498" ht="15.75" hidden="1" customHeight="1">
      <c r="A498" s="34"/>
      <c r="B498" s="35"/>
      <c r="C498" s="35"/>
      <c r="F498" s="29"/>
      <c r="I498" s="24"/>
      <c r="K498" s="28"/>
      <c r="P498" s="29"/>
      <c r="S498" s="24"/>
    </row>
    <row r="499" ht="15.75" hidden="1" customHeight="1">
      <c r="A499" s="34"/>
      <c r="B499" s="35"/>
      <c r="C499" s="35"/>
      <c r="F499" s="29"/>
      <c r="I499" s="24"/>
      <c r="K499" s="28"/>
      <c r="P499" s="29"/>
      <c r="S499" s="24"/>
    </row>
    <row r="500" ht="15.75" hidden="1" customHeight="1">
      <c r="A500" s="34"/>
      <c r="B500" s="35"/>
      <c r="C500" s="35"/>
      <c r="F500" s="29"/>
      <c r="I500" s="24"/>
      <c r="K500" s="28"/>
      <c r="P500" s="29"/>
      <c r="S500" s="24"/>
    </row>
    <row r="501" ht="15.75" hidden="1" customHeight="1">
      <c r="A501" s="34"/>
      <c r="B501" s="35"/>
      <c r="C501" s="35"/>
      <c r="F501" s="29"/>
      <c r="I501" s="24"/>
      <c r="K501" s="28"/>
      <c r="P501" s="29"/>
      <c r="S501" s="24"/>
    </row>
    <row r="502" ht="15.75" hidden="1" customHeight="1">
      <c r="A502" s="34"/>
      <c r="B502" s="35"/>
      <c r="C502" s="35"/>
      <c r="F502" s="29"/>
      <c r="I502" s="24"/>
      <c r="K502" s="28"/>
      <c r="P502" s="29"/>
      <c r="S502" s="24"/>
    </row>
    <row r="503" ht="15.75" hidden="1" customHeight="1">
      <c r="A503" s="34"/>
      <c r="B503" s="35"/>
      <c r="C503" s="35"/>
      <c r="F503" s="29"/>
      <c r="I503" s="24"/>
      <c r="K503" s="28"/>
      <c r="P503" s="29"/>
      <c r="S503" s="24"/>
    </row>
    <row r="504" ht="15.75" hidden="1" customHeight="1">
      <c r="A504" s="34"/>
      <c r="B504" s="35"/>
      <c r="C504" s="35"/>
      <c r="F504" s="29"/>
      <c r="I504" s="24"/>
      <c r="K504" s="28"/>
      <c r="P504" s="29"/>
      <c r="S504" s="24"/>
    </row>
    <row r="505" ht="15.75" hidden="1" customHeight="1">
      <c r="A505" s="34"/>
      <c r="B505" s="35"/>
      <c r="C505" s="35"/>
      <c r="F505" s="29"/>
      <c r="I505" s="24"/>
      <c r="K505" s="28"/>
      <c r="P505" s="29"/>
      <c r="S505" s="24"/>
    </row>
    <row r="506" ht="15.75" hidden="1" customHeight="1">
      <c r="A506" s="34"/>
      <c r="B506" s="35"/>
      <c r="C506" s="35"/>
      <c r="F506" s="29"/>
      <c r="I506" s="24"/>
      <c r="K506" s="28"/>
      <c r="P506" s="29"/>
      <c r="S506" s="24"/>
    </row>
    <row r="507" ht="15.75" hidden="1" customHeight="1">
      <c r="A507" s="34"/>
      <c r="B507" s="35"/>
      <c r="C507" s="35"/>
      <c r="F507" s="29"/>
      <c r="I507" s="24"/>
      <c r="K507" s="28"/>
      <c r="P507" s="29"/>
      <c r="S507" s="24"/>
    </row>
    <row r="508" ht="15.75" hidden="1" customHeight="1">
      <c r="A508" s="34"/>
      <c r="B508" s="35"/>
      <c r="C508" s="35"/>
      <c r="F508" s="29"/>
      <c r="I508" s="24"/>
      <c r="K508" s="28"/>
      <c r="P508" s="29"/>
      <c r="S508" s="24"/>
    </row>
    <row r="509" ht="15.75" hidden="1" customHeight="1">
      <c r="A509" s="34"/>
      <c r="B509" s="35"/>
      <c r="C509" s="35"/>
      <c r="F509" s="29"/>
      <c r="I509" s="24"/>
      <c r="K509" s="28"/>
      <c r="P509" s="29"/>
      <c r="S509" s="24"/>
    </row>
    <row r="510" ht="15.75" hidden="1" customHeight="1">
      <c r="A510" s="34"/>
      <c r="B510" s="35"/>
      <c r="C510" s="35"/>
      <c r="F510" s="29"/>
      <c r="I510" s="24"/>
      <c r="K510" s="28"/>
      <c r="P510" s="29"/>
      <c r="S510" s="24"/>
    </row>
    <row r="511" ht="15.75" hidden="1" customHeight="1">
      <c r="A511" s="34"/>
      <c r="B511" s="35"/>
      <c r="C511" s="35"/>
      <c r="F511" s="29"/>
      <c r="I511" s="24"/>
      <c r="K511" s="28"/>
      <c r="P511" s="29"/>
      <c r="S511" s="24"/>
    </row>
    <row r="512" ht="15.75" hidden="1" customHeight="1">
      <c r="A512" s="34"/>
      <c r="B512" s="35"/>
      <c r="C512" s="35"/>
      <c r="F512" s="29"/>
      <c r="I512" s="24"/>
      <c r="K512" s="28"/>
      <c r="P512" s="29"/>
      <c r="S512" s="24"/>
    </row>
    <row r="513" ht="15.75" hidden="1" customHeight="1">
      <c r="A513" s="34"/>
      <c r="B513" s="35"/>
      <c r="C513" s="35"/>
      <c r="F513" s="29"/>
      <c r="I513" s="24"/>
      <c r="K513" s="28"/>
      <c r="P513" s="29"/>
      <c r="S513" s="24"/>
    </row>
    <row r="514" ht="15.75" hidden="1" customHeight="1">
      <c r="A514" s="34"/>
      <c r="B514" s="35"/>
      <c r="C514" s="35"/>
      <c r="F514" s="29"/>
      <c r="I514" s="24"/>
      <c r="K514" s="28"/>
      <c r="P514" s="29"/>
      <c r="S514" s="24"/>
    </row>
    <row r="515" ht="15.75" hidden="1" customHeight="1">
      <c r="A515" s="34"/>
      <c r="B515" s="35"/>
      <c r="C515" s="35"/>
      <c r="F515" s="29"/>
      <c r="I515" s="24"/>
      <c r="K515" s="28"/>
      <c r="P515" s="29"/>
      <c r="S515" s="24"/>
    </row>
    <row r="516" ht="15.75" hidden="1" customHeight="1">
      <c r="A516" s="34"/>
      <c r="B516" s="35"/>
      <c r="C516" s="35"/>
      <c r="F516" s="29"/>
      <c r="I516" s="24"/>
      <c r="K516" s="28"/>
      <c r="P516" s="29"/>
      <c r="S516" s="24"/>
    </row>
    <row r="517" ht="15.75" hidden="1" customHeight="1">
      <c r="A517" s="34"/>
      <c r="B517" s="35"/>
      <c r="C517" s="35"/>
      <c r="F517" s="29"/>
      <c r="I517" s="24"/>
      <c r="K517" s="28"/>
      <c r="P517" s="29"/>
      <c r="S517" s="24"/>
    </row>
    <row r="518" ht="15.75" hidden="1" customHeight="1">
      <c r="A518" s="34"/>
      <c r="B518" s="35"/>
      <c r="C518" s="35"/>
      <c r="F518" s="29"/>
      <c r="I518" s="24"/>
      <c r="K518" s="28"/>
      <c r="P518" s="29"/>
      <c r="S518" s="24"/>
    </row>
    <row r="519" ht="15.75" hidden="1" customHeight="1">
      <c r="A519" s="34"/>
      <c r="B519" s="35"/>
      <c r="C519" s="35"/>
      <c r="F519" s="29"/>
      <c r="I519" s="24"/>
      <c r="K519" s="28"/>
      <c r="P519" s="29"/>
      <c r="S519" s="24"/>
    </row>
    <row r="520" ht="15.75" hidden="1" customHeight="1">
      <c r="A520" s="34"/>
      <c r="B520" s="35"/>
      <c r="C520" s="35"/>
      <c r="F520" s="29"/>
      <c r="I520" s="24"/>
      <c r="K520" s="28"/>
      <c r="P520" s="29"/>
      <c r="S520" s="24"/>
    </row>
    <row r="521" ht="15.75" hidden="1" customHeight="1">
      <c r="A521" s="34"/>
      <c r="B521" s="35"/>
      <c r="C521" s="35"/>
      <c r="F521" s="29"/>
      <c r="I521" s="24"/>
      <c r="K521" s="28"/>
      <c r="P521" s="29"/>
      <c r="S521" s="24"/>
    </row>
    <row r="522" ht="15.75" hidden="1" customHeight="1">
      <c r="A522" s="34"/>
      <c r="B522" s="35"/>
      <c r="C522" s="35"/>
      <c r="F522" s="29"/>
      <c r="I522" s="24"/>
      <c r="K522" s="28"/>
      <c r="P522" s="29"/>
      <c r="S522" s="24"/>
    </row>
    <row r="523" ht="15.75" hidden="1" customHeight="1">
      <c r="A523" s="34"/>
      <c r="B523" s="35"/>
      <c r="C523" s="35"/>
      <c r="F523" s="29"/>
      <c r="I523" s="24"/>
      <c r="K523" s="28"/>
      <c r="P523" s="29"/>
      <c r="S523" s="24"/>
    </row>
    <row r="524" ht="15.75" hidden="1" customHeight="1">
      <c r="A524" s="34"/>
      <c r="B524" s="35"/>
      <c r="C524" s="35"/>
      <c r="F524" s="29"/>
      <c r="I524" s="24"/>
      <c r="K524" s="28"/>
      <c r="P524" s="29"/>
      <c r="S524" s="24"/>
    </row>
    <row r="525" ht="15.75" hidden="1" customHeight="1">
      <c r="A525" s="34"/>
      <c r="B525" s="35"/>
      <c r="C525" s="35"/>
      <c r="F525" s="29"/>
      <c r="I525" s="24"/>
      <c r="K525" s="28"/>
      <c r="P525" s="29"/>
      <c r="S525" s="24"/>
    </row>
    <row r="526" ht="15.75" hidden="1" customHeight="1">
      <c r="A526" s="34"/>
      <c r="B526" s="35"/>
      <c r="C526" s="35"/>
      <c r="F526" s="29"/>
      <c r="I526" s="24"/>
      <c r="K526" s="28"/>
      <c r="P526" s="29"/>
      <c r="S526" s="24"/>
    </row>
    <row r="527" ht="15.75" hidden="1" customHeight="1">
      <c r="A527" s="34"/>
      <c r="B527" s="35"/>
      <c r="C527" s="35"/>
      <c r="F527" s="29"/>
      <c r="I527" s="24"/>
      <c r="K527" s="28"/>
      <c r="P527" s="29"/>
      <c r="S527" s="24"/>
    </row>
    <row r="528" ht="15.75" hidden="1" customHeight="1">
      <c r="A528" s="34"/>
      <c r="B528" s="35"/>
      <c r="C528" s="35"/>
      <c r="F528" s="29"/>
      <c r="I528" s="24"/>
      <c r="K528" s="28"/>
      <c r="P528" s="29"/>
      <c r="S528" s="24"/>
    </row>
    <row r="529" ht="15.75" hidden="1" customHeight="1">
      <c r="A529" s="34"/>
      <c r="B529" s="35"/>
      <c r="C529" s="35"/>
      <c r="F529" s="29"/>
      <c r="I529" s="24"/>
      <c r="K529" s="28"/>
      <c r="P529" s="29"/>
      <c r="S529" s="24"/>
    </row>
    <row r="530" ht="15.75" hidden="1" customHeight="1">
      <c r="A530" s="34"/>
      <c r="B530" s="35"/>
      <c r="C530" s="35"/>
      <c r="F530" s="29"/>
      <c r="I530" s="24"/>
      <c r="K530" s="28"/>
      <c r="P530" s="29"/>
      <c r="S530" s="24"/>
    </row>
    <row r="531" ht="15.75" hidden="1" customHeight="1">
      <c r="A531" s="34"/>
      <c r="B531" s="35"/>
      <c r="C531" s="35"/>
      <c r="F531" s="29"/>
      <c r="I531" s="24"/>
      <c r="K531" s="28"/>
      <c r="P531" s="29"/>
      <c r="S531" s="24"/>
    </row>
    <row r="532" ht="15.75" hidden="1" customHeight="1">
      <c r="A532" s="34"/>
      <c r="B532" s="35"/>
      <c r="C532" s="35"/>
      <c r="F532" s="29"/>
      <c r="I532" s="24"/>
      <c r="K532" s="28"/>
      <c r="P532" s="29"/>
      <c r="S532" s="24"/>
    </row>
    <row r="533" ht="15.75" hidden="1" customHeight="1">
      <c r="A533" s="34"/>
      <c r="B533" s="35"/>
      <c r="C533" s="35"/>
      <c r="F533" s="29"/>
      <c r="I533" s="24"/>
      <c r="K533" s="28"/>
      <c r="P533" s="29"/>
      <c r="S533" s="24"/>
    </row>
    <row r="534" ht="15.75" hidden="1" customHeight="1">
      <c r="A534" s="34"/>
      <c r="B534" s="35"/>
      <c r="C534" s="35"/>
      <c r="F534" s="29"/>
      <c r="I534" s="24"/>
      <c r="K534" s="28"/>
      <c r="P534" s="29"/>
      <c r="S534" s="24"/>
    </row>
    <row r="535" ht="15.75" hidden="1" customHeight="1">
      <c r="A535" s="34"/>
      <c r="B535" s="35"/>
      <c r="C535" s="35"/>
      <c r="F535" s="29"/>
      <c r="I535" s="24"/>
      <c r="K535" s="28"/>
      <c r="P535" s="29"/>
      <c r="S535" s="24"/>
    </row>
    <row r="536" ht="15.75" hidden="1" customHeight="1">
      <c r="A536" s="34"/>
      <c r="B536" s="35"/>
      <c r="C536" s="35"/>
      <c r="F536" s="29"/>
      <c r="I536" s="24"/>
      <c r="K536" s="28"/>
      <c r="P536" s="29"/>
      <c r="S536" s="24"/>
    </row>
    <row r="537" ht="15.75" hidden="1" customHeight="1">
      <c r="A537" s="34"/>
      <c r="B537" s="35"/>
      <c r="C537" s="35"/>
      <c r="F537" s="29"/>
      <c r="I537" s="24"/>
      <c r="K537" s="28"/>
      <c r="P537" s="29"/>
      <c r="S537" s="24"/>
    </row>
    <row r="538" ht="15.75" hidden="1" customHeight="1">
      <c r="A538" s="34"/>
      <c r="B538" s="35"/>
      <c r="C538" s="35"/>
      <c r="F538" s="29"/>
      <c r="I538" s="24"/>
      <c r="K538" s="28"/>
      <c r="P538" s="29"/>
      <c r="S538" s="24"/>
    </row>
    <row r="539" ht="15.75" hidden="1" customHeight="1">
      <c r="A539" s="34"/>
      <c r="B539" s="35"/>
      <c r="C539" s="35"/>
      <c r="F539" s="29"/>
      <c r="I539" s="24"/>
      <c r="K539" s="28"/>
      <c r="P539" s="29"/>
      <c r="S539" s="24"/>
    </row>
    <row r="540" ht="15.75" hidden="1" customHeight="1">
      <c r="A540" s="34"/>
      <c r="B540" s="35"/>
      <c r="C540" s="35"/>
      <c r="F540" s="29"/>
      <c r="I540" s="24"/>
      <c r="K540" s="28"/>
      <c r="P540" s="29"/>
      <c r="S540" s="24"/>
    </row>
    <row r="541" ht="15.75" hidden="1" customHeight="1">
      <c r="A541" s="34"/>
      <c r="B541" s="35"/>
      <c r="C541" s="35"/>
      <c r="F541" s="29"/>
      <c r="I541" s="24"/>
      <c r="K541" s="28"/>
      <c r="P541" s="29"/>
      <c r="S541" s="24"/>
    </row>
    <row r="542" ht="15.75" hidden="1" customHeight="1">
      <c r="A542" s="34"/>
      <c r="B542" s="35"/>
      <c r="C542" s="35"/>
      <c r="F542" s="29"/>
      <c r="I542" s="24"/>
      <c r="K542" s="28"/>
      <c r="P542" s="29"/>
      <c r="S542" s="24"/>
    </row>
    <row r="543" ht="15.75" hidden="1" customHeight="1">
      <c r="A543" s="34"/>
      <c r="B543" s="35"/>
      <c r="C543" s="35"/>
      <c r="F543" s="29"/>
      <c r="I543" s="24"/>
      <c r="K543" s="28"/>
      <c r="P543" s="29"/>
      <c r="S543" s="24"/>
    </row>
    <row r="544" ht="15.75" hidden="1" customHeight="1">
      <c r="A544" s="34"/>
      <c r="B544" s="35"/>
      <c r="C544" s="35"/>
      <c r="F544" s="29"/>
      <c r="I544" s="24"/>
      <c r="K544" s="28"/>
      <c r="P544" s="29"/>
      <c r="S544" s="24"/>
    </row>
    <row r="545" ht="15.75" hidden="1" customHeight="1">
      <c r="A545" s="34"/>
      <c r="B545" s="35"/>
      <c r="C545" s="35"/>
      <c r="F545" s="29"/>
      <c r="I545" s="24"/>
      <c r="K545" s="28"/>
      <c r="P545" s="29"/>
      <c r="S545" s="24"/>
    </row>
    <row r="546" ht="15.75" hidden="1" customHeight="1">
      <c r="A546" s="34"/>
      <c r="B546" s="35"/>
      <c r="C546" s="35"/>
      <c r="F546" s="29"/>
      <c r="I546" s="24"/>
      <c r="K546" s="28"/>
      <c r="P546" s="29"/>
      <c r="S546" s="24"/>
    </row>
    <row r="547" ht="15.75" hidden="1" customHeight="1">
      <c r="A547" s="34"/>
      <c r="B547" s="35"/>
      <c r="C547" s="35"/>
      <c r="F547" s="29"/>
      <c r="I547" s="24"/>
      <c r="K547" s="28"/>
      <c r="P547" s="29"/>
      <c r="S547" s="24"/>
    </row>
    <row r="548" ht="15.75" hidden="1" customHeight="1">
      <c r="A548" s="34"/>
      <c r="B548" s="35"/>
      <c r="C548" s="35"/>
      <c r="F548" s="29"/>
      <c r="I548" s="24"/>
      <c r="K548" s="28"/>
      <c r="P548" s="29"/>
      <c r="S548" s="24"/>
    </row>
    <row r="549" ht="15.75" hidden="1" customHeight="1">
      <c r="A549" s="34"/>
      <c r="B549" s="35"/>
      <c r="C549" s="35"/>
      <c r="F549" s="29"/>
      <c r="I549" s="24"/>
      <c r="K549" s="28"/>
      <c r="P549" s="29"/>
      <c r="S549" s="24"/>
    </row>
    <row r="550" ht="15.75" hidden="1" customHeight="1">
      <c r="A550" s="34"/>
      <c r="B550" s="35"/>
      <c r="C550" s="35"/>
      <c r="F550" s="29"/>
      <c r="I550" s="24"/>
      <c r="K550" s="28"/>
      <c r="P550" s="29"/>
      <c r="S550" s="24"/>
    </row>
    <row r="551" ht="15.75" hidden="1" customHeight="1">
      <c r="A551" s="34"/>
      <c r="B551" s="35"/>
      <c r="C551" s="35"/>
      <c r="F551" s="29"/>
      <c r="I551" s="24"/>
      <c r="K551" s="28"/>
      <c r="P551" s="29"/>
      <c r="S551" s="24"/>
    </row>
    <row r="552" ht="15.75" hidden="1" customHeight="1">
      <c r="A552" s="34"/>
      <c r="B552" s="35"/>
      <c r="C552" s="35"/>
      <c r="F552" s="29"/>
      <c r="I552" s="24"/>
      <c r="K552" s="28"/>
      <c r="P552" s="29"/>
      <c r="S552" s="24"/>
    </row>
    <row r="553" ht="15.75" hidden="1" customHeight="1">
      <c r="A553" s="34"/>
      <c r="B553" s="35"/>
      <c r="C553" s="35"/>
      <c r="F553" s="29"/>
      <c r="I553" s="24"/>
      <c r="K553" s="28"/>
      <c r="P553" s="29"/>
      <c r="S553" s="24"/>
    </row>
    <row r="554" ht="15.75" hidden="1" customHeight="1">
      <c r="A554" s="34"/>
      <c r="B554" s="35"/>
      <c r="C554" s="35"/>
      <c r="F554" s="29"/>
      <c r="I554" s="24"/>
      <c r="K554" s="28"/>
      <c r="P554" s="29"/>
      <c r="S554" s="24"/>
    </row>
    <row r="555" ht="15.75" hidden="1" customHeight="1">
      <c r="A555" s="34"/>
      <c r="B555" s="35"/>
      <c r="C555" s="35"/>
      <c r="F555" s="29"/>
      <c r="I555" s="24"/>
      <c r="K555" s="28"/>
      <c r="P555" s="29"/>
      <c r="S555" s="24"/>
    </row>
    <row r="556" ht="15.75" hidden="1" customHeight="1">
      <c r="A556" s="34"/>
      <c r="B556" s="35"/>
      <c r="C556" s="35"/>
      <c r="F556" s="29"/>
      <c r="I556" s="24"/>
      <c r="K556" s="28"/>
      <c r="P556" s="29"/>
      <c r="S556" s="24"/>
    </row>
    <row r="557" ht="15.75" hidden="1" customHeight="1">
      <c r="A557" s="34"/>
      <c r="B557" s="35"/>
      <c r="C557" s="35"/>
      <c r="F557" s="29"/>
      <c r="I557" s="24"/>
      <c r="K557" s="28"/>
      <c r="P557" s="29"/>
      <c r="S557" s="24"/>
    </row>
    <row r="558" ht="15.75" hidden="1" customHeight="1">
      <c r="A558" s="34"/>
      <c r="B558" s="35"/>
      <c r="C558" s="35"/>
      <c r="F558" s="29"/>
      <c r="I558" s="24"/>
      <c r="K558" s="28"/>
      <c r="P558" s="29"/>
      <c r="S558" s="24"/>
    </row>
    <row r="559" ht="15.75" hidden="1" customHeight="1">
      <c r="A559" s="34"/>
      <c r="B559" s="35"/>
      <c r="C559" s="35"/>
      <c r="F559" s="29"/>
      <c r="I559" s="24"/>
      <c r="K559" s="28"/>
      <c r="P559" s="29"/>
      <c r="S559" s="24"/>
    </row>
    <row r="560" ht="15.75" hidden="1" customHeight="1">
      <c r="A560" s="34"/>
      <c r="B560" s="35"/>
      <c r="C560" s="35"/>
      <c r="F560" s="29"/>
      <c r="I560" s="24"/>
      <c r="K560" s="28"/>
      <c r="P560" s="29"/>
      <c r="S560" s="24"/>
    </row>
    <row r="561" ht="15.75" hidden="1" customHeight="1">
      <c r="A561" s="34"/>
      <c r="B561" s="35"/>
      <c r="C561" s="35"/>
      <c r="F561" s="29"/>
      <c r="I561" s="24"/>
      <c r="K561" s="28"/>
      <c r="P561" s="29"/>
      <c r="S561" s="24"/>
    </row>
    <row r="562" ht="15.75" hidden="1" customHeight="1">
      <c r="A562" s="34"/>
      <c r="B562" s="35"/>
      <c r="C562" s="35"/>
      <c r="F562" s="29"/>
      <c r="I562" s="24"/>
      <c r="K562" s="28"/>
      <c r="P562" s="29"/>
      <c r="S562" s="24"/>
    </row>
    <row r="563" ht="15.75" hidden="1" customHeight="1">
      <c r="A563" s="34"/>
      <c r="B563" s="35"/>
      <c r="C563" s="35"/>
      <c r="F563" s="29"/>
      <c r="I563" s="24"/>
      <c r="K563" s="28"/>
      <c r="P563" s="29"/>
      <c r="S563" s="24"/>
    </row>
    <row r="564" ht="15.75" hidden="1" customHeight="1">
      <c r="A564" s="34"/>
      <c r="B564" s="35"/>
      <c r="C564" s="35"/>
      <c r="F564" s="29"/>
      <c r="I564" s="24"/>
      <c r="K564" s="28"/>
      <c r="P564" s="29"/>
      <c r="S564" s="24"/>
    </row>
    <row r="565" ht="15.75" hidden="1" customHeight="1">
      <c r="A565" s="34"/>
      <c r="B565" s="35"/>
      <c r="C565" s="35"/>
      <c r="F565" s="29"/>
      <c r="I565" s="24"/>
      <c r="K565" s="28"/>
      <c r="P565" s="29"/>
      <c r="S565" s="24"/>
    </row>
    <row r="566" ht="15.75" hidden="1" customHeight="1">
      <c r="A566" s="34"/>
      <c r="B566" s="35"/>
      <c r="C566" s="35"/>
      <c r="F566" s="29"/>
      <c r="I566" s="24"/>
      <c r="K566" s="28"/>
      <c r="P566" s="29"/>
      <c r="S566" s="24"/>
    </row>
    <row r="567" ht="15.75" hidden="1" customHeight="1">
      <c r="A567" s="34"/>
      <c r="B567" s="35"/>
      <c r="C567" s="35"/>
      <c r="F567" s="29"/>
      <c r="I567" s="24"/>
      <c r="K567" s="28"/>
      <c r="P567" s="29"/>
      <c r="S567" s="24"/>
    </row>
    <row r="568" ht="15.75" hidden="1" customHeight="1">
      <c r="A568" s="34"/>
      <c r="B568" s="35"/>
      <c r="C568" s="35"/>
      <c r="F568" s="29"/>
      <c r="I568" s="24"/>
      <c r="K568" s="28"/>
      <c r="P568" s="29"/>
      <c r="S568" s="24"/>
    </row>
    <row r="569" ht="15.75" hidden="1" customHeight="1">
      <c r="A569" s="34"/>
      <c r="B569" s="35"/>
      <c r="C569" s="35"/>
      <c r="F569" s="29"/>
      <c r="I569" s="24"/>
      <c r="K569" s="28"/>
      <c r="P569" s="29"/>
      <c r="S569" s="24"/>
    </row>
    <row r="570" ht="15.75" hidden="1" customHeight="1">
      <c r="A570" s="34"/>
      <c r="B570" s="35"/>
      <c r="C570" s="35"/>
      <c r="F570" s="29"/>
      <c r="I570" s="24"/>
      <c r="K570" s="28"/>
      <c r="P570" s="29"/>
      <c r="S570" s="24"/>
    </row>
    <row r="571" ht="15.75" hidden="1" customHeight="1">
      <c r="A571" s="34"/>
      <c r="B571" s="35"/>
      <c r="C571" s="35"/>
      <c r="F571" s="29"/>
      <c r="I571" s="24"/>
      <c r="K571" s="28"/>
      <c r="P571" s="29"/>
      <c r="S571" s="24"/>
    </row>
    <row r="572" ht="15.75" hidden="1" customHeight="1">
      <c r="A572" s="34"/>
      <c r="B572" s="35"/>
      <c r="C572" s="35"/>
      <c r="F572" s="29"/>
      <c r="I572" s="24"/>
      <c r="K572" s="28"/>
      <c r="P572" s="29"/>
      <c r="S572" s="24"/>
    </row>
    <row r="573" ht="15.75" hidden="1" customHeight="1">
      <c r="A573" s="34"/>
      <c r="B573" s="35"/>
      <c r="C573" s="35"/>
      <c r="F573" s="29"/>
      <c r="I573" s="24"/>
      <c r="K573" s="28"/>
      <c r="P573" s="29"/>
      <c r="S573" s="24"/>
    </row>
    <row r="574" ht="15.75" hidden="1" customHeight="1">
      <c r="A574" s="34"/>
      <c r="B574" s="35"/>
      <c r="C574" s="35"/>
      <c r="F574" s="29"/>
      <c r="I574" s="24"/>
      <c r="K574" s="28"/>
      <c r="P574" s="29"/>
      <c r="S574" s="24"/>
    </row>
    <row r="575" ht="15.75" hidden="1" customHeight="1">
      <c r="A575" s="34"/>
      <c r="B575" s="35"/>
      <c r="C575" s="35"/>
      <c r="F575" s="29"/>
      <c r="I575" s="24"/>
      <c r="K575" s="28"/>
      <c r="P575" s="29"/>
      <c r="S575" s="24"/>
    </row>
    <row r="576" ht="15.75" hidden="1" customHeight="1">
      <c r="A576" s="34"/>
      <c r="B576" s="35"/>
      <c r="C576" s="35"/>
      <c r="F576" s="29"/>
      <c r="I576" s="24"/>
      <c r="K576" s="28"/>
      <c r="P576" s="29"/>
      <c r="S576" s="24"/>
    </row>
    <row r="577" ht="15.75" hidden="1" customHeight="1">
      <c r="A577" s="34"/>
      <c r="B577" s="35"/>
      <c r="C577" s="35"/>
      <c r="F577" s="29"/>
      <c r="I577" s="24"/>
      <c r="K577" s="28"/>
      <c r="P577" s="29"/>
      <c r="S577" s="24"/>
    </row>
    <row r="578" ht="15.75" hidden="1" customHeight="1">
      <c r="A578" s="34"/>
      <c r="B578" s="35"/>
      <c r="C578" s="35"/>
      <c r="F578" s="29"/>
      <c r="I578" s="24"/>
      <c r="K578" s="28"/>
      <c r="P578" s="29"/>
      <c r="S578" s="24"/>
    </row>
    <row r="579" ht="15.75" hidden="1" customHeight="1">
      <c r="A579" s="34"/>
      <c r="B579" s="35"/>
      <c r="C579" s="35"/>
      <c r="F579" s="29"/>
      <c r="I579" s="24"/>
      <c r="K579" s="28"/>
      <c r="P579" s="29"/>
      <c r="S579" s="24"/>
    </row>
    <row r="580" ht="15.75" hidden="1" customHeight="1">
      <c r="A580" s="34"/>
      <c r="B580" s="35"/>
      <c r="C580" s="35"/>
      <c r="F580" s="29"/>
      <c r="I580" s="24"/>
      <c r="K580" s="28"/>
      <c r="P580" s="29"/>
      <c r="S580" s="24"/>
    </row>
    <row r="581" ht="15.75" hidden="1" customHeight="1">
      <c r="A581" s="34"/>
      <c r="B581" s="35"/>
      <c r="C581" s="35"/>
      <c r="F581" s="29"/>
      <c r="I581" s="24"/>
      <c r="K581" s="28"/>
      <c r="P581" s="29"/>
      <c r="S581" s="24"/>
    </row>
    <row r="582" ht="15.75" hidden="1" customHeight="1">
      <c r="A582" s="34"/>
      <c r="B582" s="35"/>
      <c r="C582" s="35"/>
      <c r="F582" s="29"/>
      <c r="I582" s="24"/>
      <c r="K582" s="28"/>
      <c r="P582" s="29"/>
      <c r="S582" s="24"/>
    </row>
    <row r="583" ht="15.75" hidden="1" customHeight="1">
      <c r="A583" s="34"/>
      <c r="B583" s="35"/>
      <c r="C583" s="35"/>
      <c r="F583" s="29"/>
      <c r="I583" s="24"/>
      <c r="K583" s="28"/>
      <c r="P583" s="29"/>
      <c r="S583" s="24"/>
    </row>
    <row r="584" ht="15.75" hidden="1" customHeight="1">
      <c r="A584" s="34"/>
      <c r="B584" s="35"/>
      <c r="C584" s="35"/>
      <c r="F584" s="29"/>
      <c r="I584" s="24"/>
      <c r="K584" s="28"/>
      <c r="P584" s="29"/>
      <c r="S584" s="24"/>
    </row>
    <row r="585" ht="15.75" hidden="1" customHeight="1">
      <c r="A585" s="34"/>
      <c r="B585" s="35"/>
      <c r="C585" s="35"/>
      <c r="F585" s="29"/>
      <c r="I585" s="24"/>
      <c r="K585" s="28"/>
      <c r="P585" s="29"/>
      <c r="S585" s="24"/>
    </row>
    <row r="586" ht="15.75" hidden="1" customHeight="1">
      <c r="A586" s="34"/>
      <c r="B586" s="35"/>
      <c r="C586" s="35"/>
      <c r="F586" s="29"/>
      <c r="I586" s="24"/>
      <c r="K586" s="28"/>
      <c r="P586" s="29"/>
      <c r="S586" s="24"/>
    </row>
    <row r="587" ht="15.75" hidden="1" customHeight="1">
      <c r="A587" s="34"/>
      <c r="B587" s="35"/>
      <c r="C587" s="35"/>
      <c r="F587" s="29"/>
      <c r="I587" s="24"/>
      <c r="K587" s="28"/>
      <c r="P587" s="29"/>
      <c r="S587" s="24"/>
    </row>
    <row r="588" ht="15.75" hidden="1" customHeight="1">
      <c r="A588" s="34"/>
      <c r="B588" s="35"/>
      <c r="C588" s="35"/>
      <c r="F588" s="29"/>
      <c r="I588" s="24"/>
      <c r="K588" s="28"/>
      <c r="P588" s="29"/>
      <c r="S588" s="24"/>
    </row>
    <row r="589" ht="15.75" hidden="1" customHeight="1">
      <c r="A589" s="34"/>
      <c r="B589" s="35"/>
      <c r="C589" s="35"/>
      <c r="F589" s="29"/>
      <c r="I589" s="24"/>
      <c r="K589" s="28"/>
      <c r="P589" s="29"/>
      <c r="S589" s="24"/>
    </row>
    <row r="590" ht="15.75" hidden="1" customHeight="1">
      <c r="A590" s="34"/>
      <c r="B590" s="35"/>
      <c r="C590" s="35"/>
      <c r="F590" s="29"/>
      <c r="I590" s="24"/>
      <c r="K590" s="28"/>
      <c r="P590" s="29"/>
      <c r="S590" s="24"/>
    </row>
    <row r="591" ht="15.75" hidden="1" customHeight="1">
      <c r="A591" s="34"/>
      <c r="B591" s="35"/>
      <c r="C591" s="35"/>
      <c r="F591" s="29"/>
      <c r="I591" s="24"/>
      <c r="K591" s="28"/>
      <c r="P591" s="29"/>
      <c r="S591" s="24"/>
    </row>
    <row r="592" ht="15.75" hidden="1" customHeight="1">
      <c r="A592" s="34"/>
      <c r="B592" s="35"/>
      <c r="C592" s="35"/>
      <c r="F592" s="29"/>
      <c r="I592" s="24"/>
      <c r="K592" s="28"/>
      <c r="P592" s="29"/>
      <c r="S592" s="24"/>
    </row>
    <row r="593" ht="15.75" hidden="1" customHeight="1">
      <c r="A593" s="34"/>
      <c r="B593" s="35"/>
      <c r="C593" s="35"/>
      <c r="F593" s="29"/>
      <c r="I593" s="24"/>
      <c r="K593" s="28"/>
      <c r="P593" s="29"/>
      <c r="S593" s="24"/>
    </row>
    <row r="594" ht="15.75" hidden="1" customHeight="1">
      <c r="A594" s="34"/>
      <c r="B594" s="35"/>
      <c r="C594" s="35"/>
      <c r="F594" s="29"/>
      <c r="I594" s="24"/>
      <c r="K594" s="28"/>
      <c r="P594" s="29"/>
      <c r="S594" s="24"/>
    </row>
    <row r="595" ht="15.75" hidden="1" customHeight="1">
      <c r="A595" s="34"/>
      <c r="B595" s="35"/>
      <c r="C595" s="35"/>
      <c r="F595" s="29"/>
      <c r="I595" s="24"/>
      <c r="K595" s="28"/>
      <c r="P595" s="29"/>
      <c r="S595" s="24"/>
    </row>
    <row r="596" ht="15.75" hidden="1" customHeight="1">
      <c r="A596" s="34"/>
      <c r="B596" s="35"/>
      <c r="C596" s="35"/>
      <c r="F596" s="29"/>
      <c r="I596" s="24"/>
      <c r="K596" s="28"/>
      <c r="P596" s="29"/>
      <c r="S596" s="24"/>
    </row>
    <row r="597" ht="15.75" hidden="1" customHeight="1">
      <c r="A597" s="34"/>
      <c r="B597" s="35"/>
      <c r="C597" s="35"/>
      <c r="F597" s="29"/>
      <c r="I597" s="24"/>
      <c r="K597" s="28"/>
      <c r="P597" s="29"/>
      <c r="S597" s="24"/>
    </row>
    <row r="598" ht="15.75" hidden="1" customHeight="1">
      <c r="A598" s="34"/>
      <c r="B598" s="35"/>
      <c r="C598" s="35"/>
      <c r="F598" s="29"/>
      <c r="I598" s="24"/>
      <c r="K598" s="28"/>
      <c r="P598" s="29"/>
      <c r="S598" s="24"/>
    </row>
    <row r="599" ht="15.75" hidden="1" customHeight="1">
      <c r="A599" s="34"/>
      <c r="B599" s="35"/>
      <c r="C599" s="35"/>
      <c r="F599" s="29"/>
      <c r="I599" s="24"/>
      <c r="K599" s="28"/>
      <c r="P599" s="29"/>
      <c r="S599" s="24"/>
    </row>
    <row r="600" ht="15.75" hidden="1" customHeight="1">
      <c r="A600" s="34"/>
      <c r="B600" s="35"/>
      <c r="C600" s="35"/>
      <c r="F600" s="29"/>
      <c r="I600" s="24"/>
      <c r="K600" s="28"/>
      <c r="P600" s="29"/>
      <c r="S600" s="24"/>
    </row>
    <row r="601" ht="15.75" hidden="1" customHeight="1">
      <c r="A601" s="34"/>
      <c r="B601" s="35"/>
      <c r="C601" s="35"/>
      <c r="F601" s="29"/>
      <c r="I601" s="24"/>
      <c r="K601" s="28"/>
      <c r="P601" s="29"/>
      <c r="S601" s="24"/>
    </row>
    <row r="602" ht="15.75" hidden="1" customHeight="1">
      <c r="A602" s="34"/>
      <c r="B602" s="35"/>
      <c r="C602" s="35"/>
      <c r="F602" s="29"/>
      <c r="I602" s="24"/>
      <c r="K602" s="28"/>
      <c r="P602" s="29"/>
      <c r="S602" s="24"/>
    </row>
    <row r="603" ht="15.75" hidden="1" customHeight="1">
      <c r="A603" s="34"/>
      <c r="B603" s="35"/>
      <c r="C603" s="35"/>
      <c r="F603" s="29"/>
      <c r="I603" s="24"/>
      <c r="K603" s="28"/>
      <c r="P603" s="29"/>
      <c r="S603" s="24"/>
    </row>
    <row r="604" ht="15.75" hidden="1" customHeight="1">
      <c r="A604" s="34"/>
      <c r="B604" s="35"/>
      <c r="C604" s="35"/>
      <c r="F604" s="29"/>
      <c r="I604" s="24"/>
      <c r="K604" s="28"/>
      <c r="P604" s="29"/>
      <c r="S604" s="24"/>
    </row>
    <row r="605" ht="15.75" hidden="1" customHeight="1">
      <c r="A605" s="34"/>
      <c r="B605" s="35"/>
      <c r="C605" s="35"/>
      <c r="F605" s="29"/>
      <c r="I605" s="24"/>
      <c r="K605" s="28"/>
      <c r="P605" s="29"/>
      <c r="S605" s="24"/>
    </row>
    <row r="606" ht="15.75" hidden="1" customHeight="1">
      <c r="A606" s="34"/>
      <c r="B606" s="35"/>
      <c r="C606" s="35"/>
      <c r="F606" s="29"/>
      <c r="I606" s="24"/>
      <c r="K606" s="28"/>
      <c r="P606" s="29"/>
      <c r="S606" s="24"/>
    </row>
    <row r="607" ht="15.75" hidden="1" customHeight="1">
      <c r="A607" s="34"/>
      <c r="B607" s="35"/>
      <c r="C607" s="35"/>
      <c r="F607" s="29"/>
      <c r="I607" s="24"/>
      <c r="K607" s="28"/>
      <c r="P607" s="29"/>
      <c r="S607" s="24"/>
    </row>
    <row r="608" ht="15.75" hidden="1" customHeight="1">
      <c r="A608" s="34"/>
      <c r="B608" s="35"/>
      <c r="C608" s="35"/>
      <c r="F608" s="29"/>
      <c r="I608" s="24"/>
      <c r="K608" s="28"/>
      <c r="P608" s="29"/>
      <c r="S608" s="24"/>
    </row>
    <row r="609" ht="15.75" hidden="1" customHeight="1">
      <c r="A609" s="34"/>
      <c r="B609" s="35"/>
      <c r="C609" s="35"/>
      <c r="F609" s="29"/>
      <c r="I609" s="24"/>
      <c r="K609" s="28"/>
      <c r="P609" s="29"/>
      <c r="S609" s="24"/>
    </row>
    <row r="610" ht="15.75" hidden="1" customHeight="1">
      <c r="A610" s="34"/>
      <c r="B610" s="35"/>
      <c r="C610" s="35"/>
      <c r="F610" s="29"/>
      <c r="I610" s="24"/>
      <c r="K610" s="28"/>
      <c r="P610" s="29"/>
      <c r="S610" s="24"/>
    </row>
    <row r="611" ht="15.75" hidden="1" customHeight="1">
      <c r="A611" s="34"/>
      <c r="B611" s="35"/>
      <c r="C611" s="35"/>
      <c r="F611" s="29"/>
      <c r="I611" s="24"/>
      <c r="K611" s="28"/>
      <c r="P611" s="29"/>
      <c r="S611" s="24"/>
    </row>
    <row r="612" ht="15.75" hidden="1" customHeight="1">
      <c r="A612" s="34"/>
      <c r="B612" s="35"/>
      <c r="C612" s="35"/>
      <c r="F612" s="29"/>
      <c r="I612" s="24"/>
      <c r="K612" s="28"/>
      <c r="P612" s="29"/>
      <c r="S612" s="24"/>
    </row>
    <row r="613" ht="15.75" hidden="1" customHeight="1">
      <c r="A613" s="34"/>
      <c r="B613" s="35"/>
      <c r="C613" s="35"/>
      <c r="F613" s="29"/>
      <c r="I613" s="24"/>
      <c r="K613" s="28"/>
      <c r="P613" s="29"/>
      <c r="S613" s="24"/>
    </row>
    <row r="614" ht="15.75" hidden="1" customHeight="1">
      <c r="A614" s="34"/>
      <c r="B614" s="35"/>
      <c r="C614" s="35"/>
      <c r="F614" s="29"/>
      <c r="I614" s="24"/>
      <c r="K614" s="28"/>
      <c r="P614" s="29"/>
      <c r="S614" s="24"/>
    </row>
    <row r="615" ht="15.75" hidden="1" customHeight="1">
      <c r="A615" s="34"/>
      <c r="B615" s="35"/>
      <c r="C615" s="35"/>
      <c r="F615" s="29"/>
      <c r="I615" s="24"/>
      <c r="K615" s="28"/>
      <c r="P615" s="29"/>
      <c r="S615" s="24"/>
    </row>
    <row r="616" ht="15.75" hidden="1" customHeight="1">
      <c r="A616" s="34"/>
      <c r="B616" s="35"/>
      <c r="C616" s="35"/>
      <c r="F616" s="29"/>
      <c r="I616" s="24"/>
      <c r="K616" s="28"/>
      <c r="P616" s="29"/>
      <c r="S616" s="24"/>
    </row>
    <row r="617" ht="15.75" hidden="1" customHeight="1">
      <c r="A617" s="34"/>
      <c r="B617" s="35"/>
      <c r="C617" s="35"/>
      <c r="F617" s="29"/>
      <c r="I617" s="24"/>
      <c r="K617" s="28"/>
      <c r="P617" s="29"/>
      <c r="S617" s="24"/>
    </row>
    <row r="618" ht="15.75" hidden="1" customHeight="1">
      <c r="A618" s="34"/>
      <c r="B618" s="35"/>
      <c r="C618" s="35"/>
      <c r="F618" s="29"/>
      <c r="I618" s="24"/>
      <c r="K618" s="28"/>
      <c r="P618" s="29"/>
      <c r="S618" s="24"/>
    </row>
    <row r="619" ht="15.75" hidden="1" customHeight="1">
      <c r="A619" s="34"/>
      <c r="B619" s="35"/>
      <c r="C619" s="35"/>
      <c r="F619" s="29"/>
      <c r="I619" s="24"/>
      <c r="K619" s="28"/>
      <c r="P619" s="29"/>
      <c r="S619" s="24"/>
    </row>
    <row r="620" ht="15.75" hidden="1" customHeight="1">
      <c r="A620" s="34"/>
      <c r="B620" s="35"/>
      <c r="C620" s="35"/>
      <c r="F620" s="29"/>
      <c r="I620" s="24"/>
      <c r="K620" s="28"/>
      <c r="P620" s="29"/>
      <c r="S620" s="24"/>
    </row>
    <row r="621" ht="15.75" hidden="1" customHeight="1">
      <c r="A621" s="34"/>
      <c r="B621" s="35"/>
      <c r="C621" s="35"/>
      <c r="F621" s="29"/>
      <c r="I621" s="24"/>
      <c r="K621" s="28"/>
      <c r="P621" s="29"/>
      <c r="S621" s="24"/>
    </row>
    <row r="622" ht="15.75" hidden="1" customHeight="1">
      <c r="A622" s="34"/>
      <c r="B622" s="35"/>
      <c r="C622" s="35"/>
      <c r="F622" s="29"/>
      <c r="I622" s="24"/>
      <c r="K622" s="28"/>
      <c r="P622" s="29"/>
      <c r="S622" s="24"/>
    </row>
    <row r="623" ht="15.75" hidden="1" customHeight="1">
      <c r="A623" s="34"/>
      <c r="B623" s="35"/>
      <c r="C623" s="35"/>
      <c r="F623" s="29"/>
      <c r="I623" s="24"/>
      <c r="K623" s="28"/>
      <c r="P623" s="29"/>
      <c r="S623" s="24"/>
    </row>
    <row r="624" ht="15.75" hidden="1" customHeight="1">
      <c r="A624" s="34"/>
      <c r="B624" s="35"/>
      <c r="C624" s="35"/>
      <c r="F624" s="29"/>
      <c r="I624" s="24"/>
      <c r="K624" s="28"/>
      <c r="P624" s="29"/>
      <c r="S624" s="24"/>
    </row>
    <row r="625" ht="15.75" hidden="1" customHeight="1">
      <c r="A625" s="34"/>
      <c r="B625" s="35"/>
      <c r="C625" s="35"/>
      <c r="F625" s="29"/>
      <c r="I625" s="24"/>
      <c r="K625" s="28"/>
      <c r="P625" s="29"/>
      <c r="S625" s="24"/>
    </row>
    <row r="626" ht="15.75" hidden="1" customHeight="1">
      <c r="A626" s="34"/>
      <c r="B626" s="35"/>
      <c r="C626" s="35"/>
      <c r="F626" s="29"/>
      <c r="I626" s="24"/>
      <c r="K626" s="28"/>
      <c r="P626" s="29"/>
      <c r="S626" s="24"/>
    </row>
    <row r="627" ht="15.75" hidden="1" customHeight="1">
      <c r="A627" s="34"/>
      <c r="B627" s="35"/>
      <c r="C627" s="35"/>
      <c r="F627" s="29"/>
      <c r="I627" s="24"/>
      <c r="K627" s="28"/>
      <c r="P627" s="29"/>
      <c r="S627" s="24"/>
    </row>
    <row r="628" ht="15.75" hidden="1" customHeight="1">
      <c r="A628" s="34"/>
      <c r="B628" s="35"/>
      <c r="C628" s="35"/>
      <c r="F628" s="29"/>
      <c r="I628" s="24"/>
      <c r="K628" s="28"/>
      <c r="P628" s="29"/>
      <c r="S628" s="24"/>
    </row>
    <row r="629" ht="15.75" hidden="1" customHeight="1">
      <c r="A629" s="34"/>
      <c r="B629" s="35"/>
      <c r="C629" s="35"/>
      <c r="F629" s="29"/>
      <c r="I629" s="24"/>
      <c r="K629" s="28"/>
      <c r="P629" s="29"/>
      <c r="S629" s="24"/>
    </row>
    <row r="630" ht="15.75" hidden="1" customHeight="1">
      <c r="A630" s="34"/>
      <c r="B630" s="35"/>
      <c r="C630" s="35"/>
      <c r="F630" s="29"/>
      <c r="I630" s="24"/>
      <c r="K630" s="28"/>
      <c r="P630" s="29"/>
      <c r="S630" s="24"/>
    </row>
    <row r="631" ht="15.75" hidden="1" customHeight="1">
      <c r="A631" s="34"/>
      <c r="B631" s="35"/>
      <c r="C631" s="35"/>
      <c r="F631" s="29"/>
      <c r="I631" s="24"/>
      <c r="K631" s="28"/>
      <c r="P631" s="29"/>
      <c r="S631" s="24"/>
    </row>
    <row r="632" ht="15.75" hidden="1" customHeight="1">
      <c r="A632" s="34"/>
      <c r="B632" s="35"/>
      <c r="C632" s="35"/>
      <c r="F632" s="29"/>
      <c r="I632" s="24"/>
      <c r="K632" s="28"/>
      <c r="P632" s="29"/>
      <c r="S632" s="24"/>
    </row>
    <row r="633" ht="15.75" hidden="1" customHeight="1">
      <c r="A633" s="34"/>
      <c r="B633" s="35"/>
      <c r="C633" s="35"/>
      <c r="F633" s="29"/>
      <c r="I633" s="24"/>
      <c r="K633" s="28"/>
      <c r="P633" s="29"/>
      <c r="S633" s="24"/>
    </row>
    <row r="634" ht="15.75" hidden="1" customHeight="1">
      <c r="A634" s="34"/>
      <c r="B634" s="35"/>
      <c r="C634" s="35"/>
      <c r="F634" s="29"/>
      <c r="I634" s="24"/>
      <c r="K634" s="28"/>
      <c r="P634" s="29"/>
      <c r="S634" s="24"/>
    </row>
    <row r="635" ht="15.75" hidden="1" customHeight="1">
      <c r="A635" s="34"/>
      <c r="B635" s="35"/>
      <c r="C635" s="35"/>
      <c r="F635" s="29"/>
      <c r="I635" s="24"/>
      <c r="K635" s="28"/>
      <c r="P635" s="29"/>
      <c r="S635" s="24"/>
    </row>
    <row r="636" ht="15.75" hidden="1" customHeight="1">
      <c r="A636" s="34"/>
      <c r="B636" s="35"/>
      <c r="C636" s="35"/>
      <c r="F636" s="29"/>
      <c r="I636" s="24"/>
      <c r="K636" s="28"/>
      <c r="P636" s="29"/>
      <c r="S636" s="24"/>
    </row>
    <row r="637" ht="15.75" hidden="1" customHeight="1">
      <c r="A637" s="34"/>
      <c r="B637" s="35"/>
      <c r="F637" s="29"/>
      <c r="I637" s="24"/>
      <c r="K637" s="28"/>
      <c r="P637" s="29"/>
      <c r="S637" s="24"/>
    </row>
    <row r="638" ht="15.75" hidden="1" customHeight="1">
      <c r="A638" s="34"/>
      <c r="B638" s="35"/>
      <c r="C638" s="35"/>
      <c r="F638" s="29"/>
      <c r="I638" s="24"/>
      <c r="K638" s="28"/>
      <c r="P638" s="29"/>
      <c r="S638" s="24"/>
    </row>
    <row r="639" ht="15.75" hidden="1" customHeight="1">
      <c r="A639" s="34"/>
      <c r="F639" s="29"/>
      <c r="I639" s="24"/>
      <c r="K639" s="28"/>
      <c r="P639" s="29"/>
      <c r="S639" s="24"/>
    </row>
    <row r="640" ht="15.75" hidden="1" customHeight="1">
      <c r="A640" s="34"/>
      <c r="C640" s="35"/>
      <c r="F640" s="29"/>
      <c r="I640" s="24"/>
      <c r="K640" s="28"/>
      <c r="P640" s="29"/>
      <c r="S640" s="24"/>
    </row>
    <row r="641" ht="15.75" hidden="1" customHeight="1">
      <c r="A641" s="34"/>
      <c r="B641" s="35"/>
      <c r="C641" s="35"/>
      <c r="F641" s="29"/>
      <c r="I641" s="24"/>
      <c r="K641" s="28"/>
      <c r="P641" s="29"/>
      <c r="S641" s="24"/>
    </row>
    <row r="642" ht="15.75" hidden="1" customHeight="1">
      <c r="A642" s="34"/>
      <c r="B642" s="35"/>
      <c r="C642" s="35"/>
      <c r="F642" s="29"/>
      <c r="I642" s="24"/>
      <c r="K642" s="28"/>
      <c r="P642" s="29"/>
      <c r="S642" s="24"/>
    </row>
    <row r="643" ht="15.75" hidden="1" customHeight="1">
      <c r="A643" s="34"/>
      <c r="B643" s="35"/>
      <c r="C643" s="35"/>
      <c r="F643" s="29"/>
      <c r="I643" s="24"/>
      <c r="K643" s="28"/>
      <c r="P643" s="29"/>
      <c r="S643" s="24"/>
    </row>
    <row r="644" ht="15.75" hidden="1" customHeight="1">
      <c r="A644" s="34"/>
      <c r="B644" s="35"/>
      <c r="C644" s="35"/>
      <c r="F644" s="29"/>
      <c r="I644" s="24"/>
      <c r="K644" s="28"/>
      <c r="P644" s="29"/>
      <c r="S644" s="24"/>
    </row>
    <row r="645" ht="15.75" hidden="1" customHeight="1">
      <c r="A645" s="34"/>
      <c r="B645" s="35"/>
      <c r="C645" s="35"/>
      <c r="F645" s="29"/>
      <c r="I645" s="24"/>
      <c r="K645" s="28"/>
      <c r="P645" s="29"/>
      <c r="S645" s="24"/>
    </row>
    <row r="646" ht="15.75" hidden="1" customHeight="1">
      <c r="A646" s="34"/>
      <c r="B646" s="35"/>
      <c r="C646" s="35"/>
      <c r="F646" s="29"/>
      <c r="I646" s="24"/>
      <c r="K646" s="28"/>
      <c r="P646" s="29"/>
      <c r="S646" s="24"/>
    </row>
    <row r="647" ht="15.75" hidden="1" customHeight="1">
      <c r="A647" s="34"/>
      <c r="B647" s="35"/>
      <c r="C647" s="35"/>
      <c r="F647" s="29"/>
      <c r="I647" s="24"/>
      <c r="K647" s="28"/>
      <c r="P647" s="29"/>
      <c r="S647" s="24"/>
    </row>
    <row r="648" ht="15.75" hidden="1" customHeight="1">
      <c r="A648" s="34"/>
      <c r="B648" s="35"/>
      <c r="C648" s="35"/>
      <c r="F648" s="29"/>
      <c r="I648" s="24"/>
      <c r="K648" s="28"/>
      <c r="P648" s="29"/>
      <c r="S648" s="24"/>
    </row>
    <row r="649" ht="15.75" hidden="1" customHeight="1">
      <c r="A649" s="34"/>
      <c r="B649" s="35"/>
      <c r="C649" s="35"/>
      <c r="F649" s="29"/>
      <c r="I649" s="24"/>
      <c r="K649" s="28"/>
      <c r="P649" s="29"/>
      <c r="S649" s="24"/>
    </row>
    <row r="650" ht="15.75" hidden="1" customHeight="1">
      <c r="A650" s="34"/>
      <c r="B650" s="35"/>
      <c r="C650" s="35"/>
      <c r="F650" s="29"/>
      <c r="I650" s="24"/>
      <c r="K650" s="28"/>
      <c r="P650" s="29"/>
      <c r="S650" s="24"/>
    </row>
    <row r="651" ht="15.75" hidden="1" customHeight="1">
      <c r="A651" s="34"/>
      <c r="B651" s="35"/>
      <c r="C651" s="35"/>
      <c r="F651" s="29"/>
      <c r="I651" s="24"/>
      <c r="K651" s="28"/>
      <c r="P651" s="29"/>
      <c r="S651" s="24"/>
    </row>
    <row r="652" ht="15.75" hidden="1" customHeight="1">
      <c r="A652" s="34"/>
      <c r="B652" s="35"/>
      <c r="C652" s="35"/>
      <c r="F652" s="29"/>
      <c r="I652" s="24"/>
      <c r="K652" s="28"/>
      <c r="P652" s="29"/>
      <c r="S652" s="24"/>
    </row>
    <row r="653" ht="15.75" hidden="1" customHeight="1">
      <c r="A653" s="34"/>
      <c r="B653" s="35"/>
      <c r="C653" s="35"/>
      <c r="F653" s="29"/>
      <c r="I653" s="24"/>
      <c r="K653" s="28"/>
      <c r="P653" s="29"/>
      <c r="S653" s="24"/>
    </row>
    <row r="654" ht="15.75" hidden="1" customHeight="1">
      <c r="A654" s="34"/>
      <c r="B654" s="35"/>
      <c r="C654" s="35"/>
      <c r="F654" s="29"/>
      <c r="I654" s="24"/>
      <c r="K654" s="28"/>
      <c r="P654" s="29"/>
      <c r="S654" s="24"/>
    </row>
    <row r="655" ht="15.75" hidden="1" customHeight="1">
      <c r="A655" s="34"/>
      <c r="B655" s="35"/>
      <c r="C655" s="35"/>
      <c r="F655" s="29"/>
      <c r="I655" s="24"/>
      <c r="K655" s="28"/>
      <c r="P655" s="29"/>
      <c r="S655" s="24"/>
    </row>
    <row r="656" ht="15.75" hidden="1" customHeight="1">
      <c r="A656" s="34"/>
      <c r="B656" s="35"/>
      <c r="C656" s="35"/>
      <c r="F656" s="29"/>
      <c r="I656" s="24"/>
      <c r="K656" s="28"/>
      <c r="P656" s="29"/>
      <c r="S656" s="24"/>
    </row>
    <row r="657" ht="15.75" hidden="1" customHeight="1">
      <c r="A657" s="34"/>
      <c r="B657" s="35"/>
      <c r="C657" s="35"/>
      <c r="F657" s="29"/>
      <c r="I657" s="24"/>
      <c r="K657" s="28"/>
      <c r="P657" s="29"/>
      <c r="S657" s="24"/>
    </row>
    <row r="658" ht="15.75" hidden="1" customHeight="1">
      <c r="A658" s="34"/>
      <c r="B658" s="35"/>
      <c r="C658" s="35"/>
      <c r="F658" s="29"/>
      <c r="I658" s="24"/>
      <c r="K658" s="28"/>
      <c r="P658" s="29"/>
      <c r="S658" s="24"/>
    </row>
    <row r="659" ht="15.75" hidden="1" customHeight="1">
      <c r="A659" s="34"/>
      <c r="B659" s="35"/>
      <c r="C659" s="35"/>
      <c r="F659" s="29"/>
      <c r="I659" s="24"/>
      <c r="K659" s="28"/>
      <c r="P659" s="29"/>
      <c r="S659" s="24"/>
    </row>
    <row r="660" ht="15.75" hidden="1" customHeight="1">
      <c r="A660" s="34"/>
      <c r="B660" s="35"/>
      <c r="C660" s="35"/>
      <c r="F660" s="29"/>
      <c r="I660" s="24"/>
      <c r="K660" s="28"/>
      <c r="P660" s="29"/>
      <c r="S660" s="24"/>
    </row>
    <row r="661" ht="15.75" hidden="1" customHeight="1">
      <c r="A661" s="34"/>
      <c r="B661" s="35"/>
      <c r="C661" s="35"/>
      <c r="F661" s="29"/>
      <c r="I661" s="24"/>
      <c r="K661" s="28"/>
      <c r="P661" s="29"/>
      <c r="S661" s="24"/>
    </row>
    <row r="662" ht="15.75" hidden="1" customHeight="1">
      <c r="A662" s="34"/>
      <c r="B662" s="35"/>
      <c r="C662" s="35"/>
      <c r="F662" s="29"/>
      <c r="I662" s="24"/>
      <c r="K662" s="28"/>
      <c r="P662" s="29"/>
      <c r="S662" s="24"/>
    </row>
    <row r="663" ht="15.75" hidden="1" customHeight="1">
      <c r="A663" s="34"/>
      <c r="B663" s="35"/>
      <c r="C663" s="35"/>
      <c r="F663" s="29"/>
      <c r="I663" s="24"/>
      <c r="K663" s="28"/>
      <c r="P663" s="29"/>
      <c r="S663" s="24"/>
    </row>
    <row r="664" ht="15.75" hidden="1" customHeight="1">
      <c r="A664" s="34"/>
      <c r="B664" s="35"/>
      <c r="C664" s="35"/>
      <c r="F664" s="29"/>
      <c r="I664" s="24"/>
      <c r="K664" s="28"/>
      <c r="P664" s="29"/>
      <c r="S664" s="24"/>
    </row>
    <row r="665" ht="15.75" hidden="1" customHeight="1">
      <c r="A665" s="34"/>
      <c r="B665" s="35"/>
      <c r="C665" s="35"/>
      <c r="F665" s="29"/>
      <c r="I665" s="24"/>
      <c r="K665" s="28"/>
      <c r="P665" s="29"/>
      <c r="S665" s="24"/>
    </row>
    <row r="666" ht="15.75" hidden="1" customHeight="1">
      <c r="A666" s="34"/>
      <c r="B666" s="35"/>
      <c r="C666" s="35"/>
      <c r="F666" s="29"/>
      <c r="I666" s="24"/>
      <c r="K666" s="28"/>
      <c r="P666" s="29"/>
      <c r="S666" s="24"/>
    </row>
    <row r="667" ht="15.75" hidden="1" customHeight="1">
      <c r="A667" s="34"/>
      <c r="B667" s="35"/>
      <c r="C667" s="35"/>
      <c r="F667" s="29"/>
      <c r="I667" s="24"/>
      <c r="K667" s="28"/>
      <c r="P667" s="29"/>
      <c r="S667" s="24"/>
    </row>
    <row r="668" ht="15.75" hidden="1" customHeight="1">
      <c r="A668" s="34"/>
      <c r="B668" s="35"/>
      <c r="C668" s="35"/>
      <c r="F668" s="29"/>
      <c r="I668" s="24"/>
      <c r="K668" s="28"/>
      <c r="P668" s="29"/>
      <c r="S668" s="24"/>
    </row>
    <row r="669" ht="15.75" hidden="1" customHeight="1">
      <c r="A669" s="34"/>
      <c r="B669" s="35"/>
      <c r="C669" s="35"/>
      <c r="F669" s="29"/>
      <c r="I669" s="24"/>
      <c r="K669" s="28"/>
      <c r="P669" s="29"/>
      <c r="S669" s="24"/>
    </row>
    <row r="670" ht="15.75" hidden="1" customHeight="1">
      <c r="A670" s="34"/>
      <c r="B670" s="35"/>
      <c r="C670" s="35"/>
      <c r="F670" s="29"/>
      <c r="I670" s="24"/>
      <c r="K670" s="28"/>
      <c r="P670" s="29"/>
      <c r="S670" s="24"/>
    </row>
    <row r="671" ht="15.75" hidden="1" customHeight="1">
      <c r="A671" s="34"/>
      <c r="B671" s="35"/>
      <c r="C671" s="35"/>
      <c r="F671" s="29"/>
      <c r="I671" s="24"/>
      <c r="K671" s="28"/>
      <c r="P671" s="29"/>
      <c r="S671" s="24"/>
    </row>
    <row r="672" ht="15.75" hidden="1" customHeight="1">
      <c r="A672" s="34"/>
      <c r="B672" s="35"/>
      <c r="C672" s="35"/>
      <c r="F672" s="29"/>
      <c r="I672" s="24"/>
      <c r="K672" s="28"/>
      <c r="P672" s="29"/>
      <c r="S672" s="24"/>
    </row>
    <row r="673" ht="15.75" hidden="1" customHeight="1">
      <c r="A673" s="34"/>
      <c r="B673" s="35"/>
      <c r="C673" s="35"/>
      <c r="F673" s="29"/>
      <c r="I673" s="24"/>
      <c r="K673" s="28"/>
      <c r="P673" s="29"/>
      <c r="S673" s="24"/>
    </row>
    <row r="674" ht="15.75" hidden="1" customHeight="1">
      <c r="A674" s="34"/>
      <c r="B674" s="35"/>
      <c r="C674" s="35"/>
      <c r="F674" s="29"/>
      <c r="I674" s="24"/>
      <c r="K674" s="28"/>
      <c r="P674" s="29"/>
      <c r="S674" s="24"/>
    </row>
    <row r="675" ht="15.75" hidden="1" customHeight="1">
      <c r="A675" s="34"/>
      <c r="B675" s="35"/>
      <c r="C675" s="35"/>
      <c r="F675" s="29"/>
      <c r="I675" s="24"/>
      <c r="K675" s="28"/>
      <c r="P675" s="29"/>
      <c r="S675" s="24"/>
    </row>
    <row r="676" ht="15.75" hidden="1" customHeight="1">
      <c r="A676" s="34"/>
      <c r="B676" s="35"/>
      <c r="C676" s="35"/>
      <c r="F676" s="29"/>
      <c r="I676" s="24"/>
      <c r="K676" s="28"/>
      <c r="P676" s="29"/>
      <c r="S676" s="24"/>
    </row>
    <row r="677" ht="15.75" hidden="1" customHeight="1">
      <c r="A677" s="34"/>
      <c r="B677" s="35"/>
      <c r="C677" s="35"/>
      <c r="F677" s="29"/>
      <c r="I677" s="24"/>
      <c r="K677" s="28"/>
      <c r="P677" s="29"/>
      <c r="S677" s="24"/>
    </row>
    <row r="678" ht="15.75" hidden="1" customHeight="1">
      <c r="A678" s="34"/>
      <c r="B678" s="35"/>
      <c r="C678" s="35"/>
      <c r="F678" s="29"/>
      <c r="I678" s="24"/>
      <c r="K678" s="28"/>
      <c r="P678" s="29"/>
      <c r="S678" s="24"/>
    </row>
    <row r="679" ht="15.75" hidden="1" customHeight="1">
      <c r="A679" s="34"/>
      <c r="B679" s="35"/>
      <c r="C679" s="35"/>
      <c r="F679" s="29"/>
      <c r="I679" s="24"/>
      <c r="K679" s="28"/>
      <c r="P679" s="29"/>
      <c r="S679" s="24"/>
    </row>
    <row r="680" ht="15.75" hidden="1" customHeight="1">
      <c r="A680" s="34"/>
      <c r="B680" s="35"/>
      <c r="C680" s="35"/>
      <c r="F680" s="29"/>
      <c r="I680" s="24"/>
      <c r="K680" s="28"/>
      <c r="P680" s="29"/>
      <c r="S680" s="24"/>
    </row>
    <row r="681" ht="15.75" hidden="1" customHeight="1">
      <c r="A681" s="34"/>
      <c r="B681" s="35"/>
      <c r="C681" s="35"/>
      <c r="F681" s="29"/>
      <c r="I681" s="24"/>
      <c r="K681" s="28"/>
      <c r="P681" s="29"/>
      <c r="S681" s="24"/>
    </row>
    <row r="682" ht="15.75" hidden="1" customHeight="1">
      <c r="A682" s="34"/>
      <c r="B682" s="35"/>
      <c r="C682" s="35"/>
      <c r="F682" s="29"/>
      <c r="I682" s="24"/>
      <c r="K682" s="28"/>
      <c r="P682" s="29"/>
      <c r="S682" s="24"/>
    </row>
    <row r="683" ht="15.75" hidden="1" customHeight="1">
      <c r="A683" s="34"/>
      <c r="B683" s="35"/>
      <c r="C683" s="35"/>
      <c r="F683" s="29"/>
      <c r="I683" s="24"/>
      <c r="K683" s="28"/>
      <c r="P683" s="29"/>
      <c r="S683" s="24"/>
    </row>
    <row r="684" ht="15.75" hidden="1" customHeight="1">
      <c r="A684" s="34"/>
      <c r="B684" s="35"/>
      <c r="C684" s="35"/>
      <c r="F684" s="29"/>
      <c r="I684" s="24"/>
      <c r="K684" s="28"/>
      <c r="P684" s="29"/>
      <c r="S684" s="24"/>
    </row>
    <row r="685" ht="15.75" hidden="1" customHeight="1">
      <c r="A685" s="34"/>
      <c r="B685" s="35"/>
      <c r="C685" s="35"/>
      <c r="F685" s="29"/>
      <c r="I685" s="24"/>
      <c r="K685" s="28"/>
      <c r="P685" s="29"/>
      <c r="S685" s="24"/>
    </row>
    <row r="686" ht="15.75" hidden="1" customHeight="1">
      <c r="A686" s="34"/>
      <c r="B686" s="35"/>
      <c r="C686" s="35"/>
      <c r="F686" s="29"/>
      <c r="I686" s="24"/>
      <c r="K686" s="28"/>
      <c r="P686" s="29"/>
      <c r="S686" s="24"/>
    </row>
    <row r="687" ht="15.75" hidden="1" customHeight="1">
      <c r="A687" s="34"/>
      <c r="B687" s="35"/>
      <c r="C687" s="35"/>
      <c r="F687" s="29"/>
      <c r="I687" s="24"/>
      <c r="K687" s="28"/>
      <c r="P687" s="29"/>
      <c r="S687" s="24"/>
    </row>
    <row r="688" ht="15.75" hidden="1" customHeight="1">
      <c r="A688" s="34"/>
      <c r="B688" s="35"/>
      <c r="C688" s="35"/>
      <c r="F688" s="29"/>
      <c r="I688" s="24"/>
      <c r="K688" s="28"/>
      <c r="P688" s="29"/>
      <c r="S688" s="24"/>
    </row>
    <row r="689" ht="15.75" hidden="1" customHeight="1">
      <c r="A689" s="34"/>
      <c r="B689" s="35"/>
      <c r="C689" s="35"/>
      <c r="F689" s="29"/>
      <c r="I689" s="24"/>
      <c r="K689" s="28"/>
      <c r="P689" s="29"/>
      <c r="S689" s="24"/>
    </row>
    <row r="690" ht="15.75" hidden="1" customHeight="1">
      <c r="A690" s="34"/>
      <c r="B690" s="35"/>
      <c r="C690" s="35"/>
      <c r="F690" s="29"/>
      <c r="I690" s="24"/>
      <c r="K690" s="28"/>
      <c r="P690" s="29"/>
      <c r="S690" s="24"/>
    </row>
    <row r="691" ht="15.75" hidden="1" customHeight="1">
      <c r="A691" s="34"/>
      <c r="B691" s="35"/>
      <c r="C691" s="35"/>
      <c r="F691" s="29"/>
      <c r="I691" s="24"/>
      <c r="K691" s="28"/>
      <c r="P691" s="29"/>
      <c r="S691" s="24"/>
    </row>
    <row r="692" ht="15.75" hidden="1" customHeight="1">
      <c r="A692" s="34"/>
      <c r="B692" s="35"/>
      <c r="C692" s="35"/>
      <c r="F692" s="29"/>
      <c r="I692" s="24"/>
      <c r="K692" s="28"/>
      <c r="P692" s="29"/>
      <c r="S692" s="24"/>
    </row>
    <row r="693" ht="15.75" hidden="1" customHeight="1">
      <c r="A693" s="34"/>
      <c r="B693" s="35"/>
      <c r="C693" s="35"/>
      <c r="F693" s="29"/>
      <c r="I693" s="24"/>
      <c r="K693" s="28"/>
      <c r="P693" s="29"/>
      <c r="S693" s="24"/>
    </row>
    <row r="694" ht="15.75" hidden="1" customHeight="1">
      <c r="A694" s="34"/>
      <c r="B694" s="35"/>
      <c r="C694" s="35"/>
      <c r="F694" s="29"/>
      <c r="I694" s="24"/>
      <c r="K694" s="28"/>
      <c r="P694" s="29"/>
      <c r="S694" s="24"/>
    </row>
    <row r="695" ht="15.75" hidden="1" customHeight="1">
      <c r="A695" s="34"/>
      <c r="B695" s="35"/>
      <c r="C695" s="35"/>
      <c r="F695" s="29"/>
      <c r="I695" s="24"/>
      <c r="K695" s="28"/>
      <c r="P695" s="29"/>
      <c r="S695" s="24"/>
    </row>
    <row r="696" ht="15.75" hidden="1" customHeight="1">
      <c r="A696" s="34"/>
      <c r="B696" s="35"/>
      <c r="C696" s="35"/>
      <c r="F696" s="29"/>
      <c r="I696" s="24"/>
      <c r="K696" s="28"/>
      <c r="P696" s="29"/>
      <c r="S696" s="24"/>
    </row>
    <row r="697" ht="15.75" hidden="1" customHeight="1">
      <c r="A697" s="34"/>
      <c r="B697" s="35"/>
      <c r="C697" s="35"/>
      <c r="F697" s="29"/>
      <c r="I697" s="24"/>
      <c r="K697" s="28"/>
      <c r="P697" s="29"/>
      <c r="S697" s="24"/>
    </row>
    <row r="698" ht="15.75" hidden="1" customHeight="1">
      <c r="A698" s="34"/>
      <c r="B698" s="35"/>
      <c r="C698" s="35"/>
      <c r="F698" s="29"/>
      <c r="I698" s="24"/>
      <c r="K698" s="28"/>
      <c r="P698" s="29"/>
      <c r="S698" s="24"/>
    </row>
    <row r="699" ht="15.75" hidden="1" customHeight="1">
      <c r="A699" s="34"/>
      <c r="B699" s="35"/>
      <c r="C699" s="35"/>
      <c r="F699" s="29"/>
      <c r="I699" s="24"/>
      <c r="K699" s="28"/>
      <c r="P699" s="29"/>
      <c r="S699" s="24"/>
    </row>
    <row r="700" ht="15.75" hidden="1" customHeight="1">
      <c r="A700" s="34"/>
      <c r="B700" s="35"/>
      <c r="C700" s="35"/>
      <c r="F700" s="29"/>
      <c r="I700" s="24"/>
      <c r="K700" s="28"/>
      <c r="P700" s="29"/>
      <c r="S700" s="24"/>
    </row>
    <row r="701" ht="15.75" hidden="1" customHeight="1">
      <c r="A701" s="34"/>
      <c r="B701" s="35"/>
      <c r="C701" s="35"/>
      <c r="F701" s="29"/>
      <c r="I701" s="24"/>
      <c r="K701" s="28"/>
      <c r="P701" s="29"/>
      <c r="S701" s="24"/>
    </row>
    <row r="702" ht="15.75" hidden="1" customHeight="1">
      <c r="A702" s="34"/>
      <c r="B702" s="35"/>
      <c r="C702" s="35"/>
      <c r="F702" s="29"/>
      <c r="I702" s="24"/>
      <c r="K702" s="28"/>
      <c r="P702" s="29"/>
      <c r="S702" s="24"/>
    </row>
    <row r="703" ht="15.75" hidden="1" customHeight="1">
      <c r="A703" s="34"/>
      <c r="B703" s="35"/>
      <c r="C703" s="35"/>
      <c r="F703" s="29"/>
      <c r="I703" s="24"/>
      <c r="K703" s="28"/>
      <c r="P703" s="29"/>
      <c r="S703" s="24"/>
    </row>
    <row r="704" ht="15.75" hidden="1" customHeight="1">
      <c r="A704" s="34"/>
      <c r="B704" s="35"/>
      <c r="C704" s="35"/>
      <c r="F704" s="29"/>
      <c r="I704" s="24"/>
      <c r="K704" s="28"/>
      <c r="P704" s="29"/>
      <c r="S704" s="24"/>
    </row>
    <row r="705" ht="15.75" hidden="1" customHeight="1">
      <c r="A705" s="34"/>
      <c r="B705" s="35"/>
      <c r="C705" s="35"/>
      <c r="F705" s="29"/>
      <c r="I705" s="24"/>
      <c r="K705" s="28"/>
      <c r="P705" s="29"/>
      <c r="S705" s="24"/>
    </row>
    <row r="706" ht="15.75" hidden="1" customHeight="1">
      <c r="A706" s="34"/>
      <c r="B706" s="35"/>
      <c r="C706" s="35"/>
      <c r="F706" s="29"/>
      <c r="I706" s="24"/>
      <c r="K706" s="28"/>
      <c r="P706" s="29"/>
      <c r="S706" s="24"/>
    </row>
    <row r="707" ht="15.75" hidden="1" customHeight="1">
      <c r="A707" s="34"/>
      <c r="B707" s="35"/>
      <c r="C707" s="35"/>
      <c r="F707" s="29"/>
      <c r="I707" s="24"/>
      <c r="K707" s="28"/>
      <c r="P707" s="29"/>
      <c r="S707" s="24"/>
    </row>
    <row r="708" ht="15.75" hidden="1" customHeight="1">
      <c r="A708" s="34"/>
      <c r="B708" s="35"/>
      <c r="C708" s="35"/>
      <c r="F708" s="29"/>
      <c r="I708" s="24"/>
      <c r="K708" s="28"/>
      <c r="P708" s="29"/>
      <c r="S708" s="24"/>
    </row>
    <row r="709" ht="15.75" hidden="1" customHeight="1">
      <c r="A709" s="34"/>
      <c r="B709" s="35"/>
      <c r="C709" s="35"/>
      <c r="F709" s="29"/>
      <c r="I709" s="24"/>
      <c r="K709" s="28"/>
      <c r="P709" s="29"/>
      <c r="S709" s="24"/>
    </row>
    <row r="710" ht="15.75" hidden="1" customHeight="1">
      <c r="A710" s="34"/>
      <c r="B710" s="35"/>
      <c r="C710" s="35"/>
      <c r="F710" s="29"/>
      <c r="I710" s="24"/>
      <c r="K710" s="28"/>
      <c r="P710" s="29"/>
      <c r="S710" s="24"/>
    </row>
    <row r="711" ht="15.75" hidden="1" customHeight="1">
      <c r="A711" s="34"/>
      <c r="B711" s="35"/>
      <c r="C711" s="35"/>
      <c r="F711" s="29"/>
      <c r="I711" s="24"/>
      <c r="K711" s="28"/>
      <c r="P711" s="29"/>
      <c r="S711" s="24"/>
    </row>
    <row r="712" ht="15.75" hidden="1" customHeight="1">
      <c r="A712" s="34"/>
      <c r="B712" s="35"/>
      <c r="C712" s="35"/>
      <c r="F712" s="29"/>
      <c r="I712" s="24"/>
      <c r="K712" s="28"/>
      <c r="P712" s="29"/>
      <c r="S712" s="24"/>
    </row>
    <row r="713" ht="15.75" hidden="1" customHeight="1">
      <c r="A713" s="34"/>
      <c r="B713" s="35"/>
      <c r="C713" s="35"/>
      <c r="F713" s="29"/>
      <c r="I713" s="24"/>
      <c r="K713" s="28"/>
      <c r="P713" s="29"/>
      <c r="S713" s="24"/>
    </row>
    <row r="714" ht="15.75" hidden="1" customHeight="1">
      <c r="A714" s="34"/>
      <c r="B714" s="35"/>
      <c r="C714" s="35"/>
      <c r="F714" s="29"/>
      <c r="I714" s="24"/>
      <c r="K714" s="28"/>
      <c r="P714" s="29"/>
      <c r="S714" s="24"/>
    </row>
    <row r="715" ht="15.75" hidden="1" customHeight="1">
      <c r="A715" s="34"/>
      <c r="B715" s="35"/>
      <c r="C715" s="35"/>
      <c r="F715" s="29"/>
      <c r="I715" s="24"/>
      <c r="K715" s="28"/>
      <c r="P715" s="29"/>
      <c r="S715" s="24"/>
    </row>
    <row r="716" ht="15.75" hidden="1" customHeight="1">
      <c r="A716" s="34"/>
      <c r="B716" s="35"/>
      <c r="C716" s="35"/>
      <c r="F716" s="29"/>
      <c r="I716" s="24"/>
      <c r="K716" s="28"/>
      <c r="P716" s="29"/>
      <c r="S716" s="24"/>
    </row>
    <row r="717" ht="15.75" hidden="1" customHeight="1">
      <c r="A717" s="34"/>
      <c r="B717" s="35"/>
      <c r="C717" s="35"/>
      <c r="F717" s="29"/>
      <c r="I717" s="24"/>
      <c r="K717" s="28"/>
      <c r="P717" s="29"/>
      <c r="S717" s="24"/>
    </row>
    <row r="718" ht="15.75" hidden="1" customHeight="1">
      <c r="A718" s="34"/>
      <c r="B718" s="35"/>
      <c r="C718" s="35"/>
      <c r="F718" s="29"/>
      <c r="I718" s="24"/>
      <c r="K718" s="28"/>
      <c r="P718" s="29"/>
      <c r="S718" s="24"/>
    </row>
    <row r="719" ht="15.75" hidden="1" customHeight="1">
      <c r="A719" s="34"/>
      <c r="B719" s="35"/>
      <c r="C719" s="35"/>
      <c r="F719" s="29"/>
      <c r="I719" s="24"/>
      <c r="K719" s="28"/>
      <c r="P719" s="29"/>
      <c r="S719" s="24"/>
    </row>
    <row r="720" ht="15.75" hidden="1" customHeight="1">
      <c r="A720" s="34"/>
      <c r="B720" s="35"/>
      <c r="C720" s="35"/>
      <c r="F720" s="29"/>
      <c r="I720" s="24"/>
      <c r="K720" s="28"/>
      <c r="P720" s="29"/>
      <c r="S720" s="24"/>
    </row>
    <row r="721" ht="15.75" hidden="1" customHeight="1">
      <c r="A721" s="34"/>
      <c r="B721" s="35"/>
      <c r="C721" s="35"/>
      <c r="F721" s="29"/>
      <c r="I721" s="24"/>
      <c r="K721" s="28"/>
      <c r="P721" s="29"/>
      <c r="S721" s="24"/>
    </row>
    <row r="722" ht="15.75" hidden="1" customHeight="1">
      <c r="A722" s="34"/>
      <c r="B722" s="35"/>
      <c r="C722" s="35"/>
      <c r="F722" s="29"/>
      <c r="I722" s="24"/>
      <c r="K722" s="28"/>
      <c r="P722" s="29"/>
      <c r="S722" s="24"/>
    </row>
    <row r="723" ht="15.75" hidden="1" customHeight="1">
      <c r="A723" s="34"/>
      <c r="B723" s="35"/>
      <c r="C723" s="35"/>
      <c r="F723" s="29"/>
      <c r="I723" s="24"/>
      <c r="K723" s="28"/>
      <c r="P723" s="29"/>
      <c r="S723" s="24"/>
    </row>
    <row r="724" ht="15.75" hidden="1" customHeight="1">
      <c r="A724" s="34"/>
      <c r="B724" s="35"/>
      <c r="C724" s="35"/>
      <c r="F724" s="29"/>
      <c r="I724" s="24"/>
      <c r="K724" s="28"/>
      <c r="P724" s="29"/>
      <c r="S724" s="24"/>
    </row>
    <row r="725" ht="15.75" hidden="1" customHeight="1">
      <c r="A725" s="34"/>
      <c r="B725" s="35"/>
      <c r="C725" s="35"/>
      <c r="F725" s="29"/>
      <c r="I725" s="24"/>
      <c r="K725" s="28"/>
      <c r="P725" s="29"/>
      <c r="S725" s="24"/>
    </row>
    <row r="726" ht="15.75" hidden="1" customHeight="1">
      <c r="A726" s="34"/>
      <c r="B726" s="35"/>
      <c r="C726" s="35"/>
      <c r="F726" s="29"/>
      <c r="I726" s="24"/>
      <c r="K726" s="28"/>
      <c r="P726" s="29"/>
      <c r="S726" s="24"/>
    </row>
    <row r="727" ht="15.75" hidden="1" customHeight="1">
      <c r="A727" s="34"/>
      <c r="B727" s="35"/>
      <c r="C727" s="35"/>
      <c r="F727" s="29"/>
      <c r="I727" s="24"/>
      <c r="K727" s="28"/>
      <c r="P727" s="29"/>
      <c r="S727" s="24"/>
    </row>
    <row r="728" ht="15.75" hidden="1" customHeight="1">
      <c r="A728" s="34"/>
      <c r="B728" s="35"/>
      <c r="C728" s="35"/>
      <c r="F728" s="29"/>
      <c r="I728" s="24"/>
      <c r="K728" s="28"/>
      <c r="P728" s="29"/>
      <c r="S728" s="24"/>
    </row>
    <row r="729" ht="15.75" hidden="1" customHeight="1">
      <c r="A729" s="34"/>
      <c r="B729" s="35"/>
      <c r="C729" s="35"/>
      <c r="F729" s="29"/>
      <c r="I729" s="24"/>
      <c r="K729" s="28"/>
      <c r="P729" s="29"/>
      <c r="S729" s="24"/>
    </row>
    <row r="730" ht="15.75" hidden="1" customHeight="1">
      <c r="A730" s="34"/>
      <c r="B730" s="35"/>
      <c r="C730" s="35"/>
      <c r="F730" s="29"/>
      <c r="I730" s="24"/>
      <c r="K730" s="28"/>
      <c r="P730" s="29"/>
      <c r="S730" s="24"/>
    </row>
    <row r="731" ht="15.75" hidden="1" customHeight="1">
      <c r="A731" s="34"/>
      <c r="B731" s="35"/>
      <c r="C731" s="35"/>
      <c r="F731" s="29"/>
      <c r="I731" s="24"/>
      <c r="K731" s="28"/>
      <c r="P731" s="29"/>
      <c r="S731" s="24"/>
    </row>
    <row r="732" ht="15.75" hidden="1" customHeight="1">
      <c r="A732" s="34"/>
      <c r="B732" s="35"/>
      <c r="C732" s="35"/>
      <c r="F732" s="29"/>
      <c r="I732" s="24"/>
      <c r="K732" s="28"/>
      <c r="P732" s="29"/>
      <c r="S732" s="24"/>
    </row>
    <row r="733" ht="15.75" hidden="1" customHeight="1">
      <c r="A733" s="34"/>
      <c r="B733" s="35"/>
      <c r="C733" s="35"/>
      <c r="F733" s="29"/>
      <c r="I733" s="24"/>
      <c r="K733" s="28"/>
      <c r="P733" s="29"/>
      <c r="S733" s="24"/>
    </row>
    <row r="734" ht="15.75" hidden="1" customHeight="1">
      <c r="A734" s="34"/>
      <c r="B734" s="35"/>
      <c r="C734" s="35"/>
      <c r="F734" s="29"/>
      <c r="I734" s="24"/>
      <c r="K734" s="28"/>
      <c r="P734" s="29"/>
      <c r="S734" s="24"/>
    </row>
    <row r="735" ht="15.75" hidden="1" customHeight="1">
      <c r="A735" s="34"/>
      <c r="B735" s="35"/>
      <c r="C735" s="35"/>
      <c r="F735" s="29"/>
      <c r="I735" s="24"/>
      <c r="K735" s="28"/>
      <c r="P735" s="29"/>
      <c r="S735" s="24"/>
    </row>
    <row r="736" ht="15.75" hidden="1" customHeight="1">
      <c r="A736" s="34"/>
      <c r="B736" s="35"/>
      <c r="C736" s="35"/>
      <c r="F736" s="29"/>
      <c r="I736" s="24"/>
      <c r="K736" s="28"/>
      <c r="P736" s="29"/>
      <c r="S736" s="24"/>
    </row>
    <row r="737" ht="15.75" hidden="1" customHeight="1">
      <c r="A737" s="34"/>
      <c r="B737" s="35"/>
      <c r="C737" s="35"/>
      <c r="F737" s="29"/>
      <c r="I737" s="24"/>
      <c r="K737" s="28"/>
      <c r="P737" s="29"/>
      <c r="S737" s="24"/>
    </row>
    <row r="738" ht="15.75" hidden="1" customHeight="1">
      <c r="A738" s="34"/>
      <c r="B738" s="35"/>
      <c r="C738" s="35"/>
      <c r="F738" s="29"/>
      <c r="I738" s="24"/>
      <c r="K738" s="28"/>
      <c r="P738" s="29"/>
      <c r="S738" s="24"/>
    </row>
    <row r="739" ht="15.75" hidden="1" customHeight="1">
      <c r="A739" s="34"/>
      <c r="B739" s="35"/>
      <c r="C739" s="35"/>
      <c r="F739" s="29"/>
      <c r="I739" s="24"/>
      <c r="K739" s="28"/>
      <c r="P739" s="29"/>
      <c r="S739" s="24"/>
    </row>
    <row r="740" ht="15.75" hidden="1" customHeight="1">
      <c r="A740" s="34"/>
      <c r="B740" s="35"/>
      <c r="C740" s="35"/>
      <c r="F740" s="29"/>
      <c r="I740" s="24"/>
      <c r="K740" s="28"/>
      <c r="P740" s="29"/>
      <c r="S740" s="24"/>
    </row>
    <row r="741" ht="15.75" hidden="1" customHeight="1">
      <c r="A741" s="34"/>
      <c r="B741" s="35"/>
      <c r="C741" s="35"/>
      <c r="F741" s="29"/>
      <c r="I741" s="24"/>
      <c r="K741" s="28"/>
      <c r="P741" s="29"/>
      <c r="S741" s="24"/>
    </row>
    <row r="742" ht="15.75" hidden="1" customHeight="1">
      <c r="A742" s="34"/>
      <c r="B742" s="36"/>
      <c r="C742" s="36"/>
      <c r="F742" s="29"/>
      <c r="I742" s="24"/>
      <c r="K742" s="28"/>
      <c r="P742" s="29"/>
      <c r="S742" s="24"/>
    </row>
    <row r="743" ht="15.75" hidden="1" customHeight="1">
      <c r="A743" s="34"/>
      <c r="B743" s="36"/>
      <c r="C743" s="36"/>
      <c r="F743" s="29"/>
      <c r="I743" s="24"/>
      <c r="K743" s="28"/>
      <c r="P743" s="29"/>
      <c r="S743" s="24"/>
    </row>
    <row r="744" ht="15.75" hidden="1" customHeight="1">
      <c r="A744" s="34"/>
      <c r="B744" s="35"/>
      <c r="C744" s="35"/>
      <c r="F744" s="29"/>
      <c r="I744" s="24"/>
      <c r="K744" s="28"/>
      <c r="P744" s="29"/>
      <c r="S744" s="24"/>
    </row>
    <row r="745" ht="15.75" hidden="1" customHeight="1">
      <c r="A745" s="34"/>
      <c r="B745" s="35"/>
      <c r="C745" s="35"/>
      <c r="F745" s="29"/>
      <c r="I745" s="24"/>
      <c r="K745" s="28"/>
      <c r="P745" s="29"/>
      <c r="S745" s="24"/>
    </row>
    <row r="746" ht="15.75" hidden="1" customHeight="1">
      <c r="A746" s="34"/>
      <c r="B746" s="35"/>
      <c r="C746" s="35"/>
      <c r="F746" s="29"/>
      <c r="I746" s="24"/>
      <c r="K746" s="28"/>
      <c r="P746" s="29"/>
      <c r="S746" s="24"/>
    </row>
    <row r="747" ht="15.75" hidden="1" customHeight="1">
      <c r="A747" s="34"/>
      <c r="B747" s="35"/>
      <c r="C747" s="35"/>
      <c r="F747" s="29"/>
      <c r="I747" s="24"/>
      <c r="K747" s="28"/>
      <c r="P747" s="29"/>
      <c r="S747" s="24"/>
    </row>
    <row r="748" ht="15.75" hidden="1" customHeight="1">
      <c r="A748" s="34"/>
      <c r="B748" s="35"/>
      <c r="C748" s="35"/>
      <c r="F748" s="29"/>
      <c r="I748" s="24"/>
      <c r="K748" s="28"/>
      <c r="P748" s="29"/>
      <c r="S748" s="24"/>
    </row>
    <row r="749" ht="15.75" hidden="1" customHeight="1">
      <c r="A749" s="34"/>
      <c r="B749" s="36"/>
      <c r="C749" s="36"/>
      <c r="F749" s="29"/>
      <c r="I749" s="24"/>
      <c r="K749" s="28"/>
      <c r="P749" s="29"/>
      <c r="S749" s="24"/>
    </row>
    <row r="750" ht="15.75" hidden="1" customHeight="1">
      <c r="A750" s="34"/>
      <c r="B750" s="36"/>
      <c r="C750" s="36"/>
      <c r="F750" s="29"/>
      <c r="I750" s="24"/>
      <c r="K750" s="28"/>
      <c r="P750" s="29"/>
      <c r="S750" s="24"/>
    </row>
    <row r="751" ht="15.75" hidden="1" customHeight="1">
      <c r="A751" s="34"/>
      <c r="B751" s="35"/>
      <c r="C751" s="35"/>
      <c r="F751" s="29"/>
      <c r="I751" s="24"/>
      <c r="K751" s="28"/>
      <c r="P751" s="29"/>
      <c r="S751" s="24"/>
    </row>
    <row r="752" ht="15.75" hidden="1" customHeight="1">
      <c r="A752" s="34"/>
      <c r="B752" s="35"/>
      <c r="C752" s="35"/>
      <c r="F752" s="29"/>
      <c r="I752" s="24"/>
      <c r="K752" s="28"/>
      <c r="P752" s="29"/>
      <c r="S752" s="24"/>
    </row>
    <row r="753" ht="15.75" hidden="1" customHeight="1">
      <c r="A753" s="34"/>
      <c r="B753" s="35"/>
      <c r="C753" s="35"/>
      <c r="F753" s="29"/>
      <c r="I753" s="24"/>
      <c r="K753" s="28"/>
      <c r="P753" s="29"/>
      <c r="S753" s="24"/>
    </row>
    <row r="754" ht="15.75" hidden="1" customHeight="1">
      <c r="A754" s="34"/>
      <c r="B754" s="35"/>
      <c r="C754" s="35"/>
      <c r="F754" s="29"/>
      <c r="I754" s="24"/>
      <c r="K754" s="28"/>
      <c r="P754" s="29"/>
      <c r="S754" s="24"/>
    </row>
    <row r="755" ht="15.75" hidden="1" customHeight="1">
      <c r="A755" s="34"/>
      <c r="B755" s="35"/>
      <c r="C755" s="35"/>
      <c r="F755" s="29"/>
      <c r="I755" s="24"/>
      <c r="K755" s="28"/>
      <c r="P755" s="29"/>
      <c r="S755" s="24"/>
    </row>
    <row r="756" ht="15.75" hidden="1" customHeight="1">
      <c r="A756" s="34"/>
      <c r="B756" s="36"/>
      <c r="C756" s="36"/>
      <c r="F756" s="29"/>
      <c r="I756" s="24"/>
      <c r="K756" s="28"/>
      <c r="P756" s="29"/>
      <c r="S756" s="24"/>
    </row>
    <row r="757" ht="15.75" hidden="1" customHeight="1">
      <c r="A757" s="34"/>
      <c r="B757" s="36"/>
      <c r="C757" s="36"/>
      <c r="F757" s="29"/>
      <c r="I757" s="24"/>
      <c r="K757" s="28"/>
      <c r="P757" s="29"/>
      <c r="S757" s="24"/>
    </row>
    <row r="758" ht="15.75" hidden="1" customHeight="1">
      <c r="A758" s="34"/>
      <c r="B758" s="35"/>
      <c r="C758" s="35"/>
      <c r="F758" s="29"/>
      <c r="I758" s="24"/>
      <c r="K758" s="28"/>
      <c r="P758" s="29"/>
      <c r="S758" s="24"/>
    </row>
    <row r="759" ht="15.75" hidden="1" customHeight="1">
      <c r="A759" s="34"/>
      <c r="B759" s="35"/>
      <c r="C759" s="35"/>
      <c r="F759" s="29"/>
      <c r="I759" s="24"/>
      <c r="K759" s="28"/>
      <c r="P759" s="29"/>
      <c r="S759" s="24"/>
    </row>
    <row r="760" ht="15.75" hidden="1" customHeight="1">
      <c r="A760" s="34"/>
      <c r="B760" s="35"/>
      <c r="C760" s="35"/>
      <c r="F760" s="29"/>
      <c r="I760" s="24"/>
      <c r="K760" s="28"/>
      <c r="P760" s="29"/>
      <c r="S760" s="24"/>
    </row>
    <row r="761" ht="15.75" hidden="1" customHeight="1">
      <c r="A761" s="34"/>
      <c r="B761" s="35"/>
      <c r="C761" s="35"/>
      <c r="F761" s="29"/>
      <c r="I761" s="24"/>
      <c r="K761" s="28"/>
      <c r="P761" s="29"/>
      <c r="S761" s="24"/>
    </row>
    <row r="762" ht="15.75" hidden="1" customHeight="1">
      <c r="A762" s="34"/>
      <c r="B762" s="35"/>
      <c r="C762" s="35"/>
      <c r="F762" s="29"/>
      <c r="I762" s="24"/>
      <c r="K762" s="28"/>
      <c r="P762" s="29"/>
      <c r="S762" s="24"/>
    </row>
    <row r="763" ht="15.75" hidden="1" customHeight="1">
      <c r="A763" s="34"/>
      <c r="B763" s="36"/>
      <c r="C763" s="36"/>
      <c r="F763" s="29"/>
      <c r="I763" s="24"/>
      <c r="K763" s="28"/>
      <c r="P763" s="29"/>
      <c r="S763" s="24"/>
    </row>
    <row r="764" ht="15.75" hidden="1" customHeight="1">
      <c r="A764" s="34"/>
      <c r="B764" s="36"/>
      <c r="C764" s="36"/>
      <c r="F764" s="29"/>
      <c r="I764" s="24"/>
      <c r="K764" s="28"/>
      <c r="P764" s="29"/>
      <c r="S764" s="24"/>
    </row>
    <row r="765" ht="15.75" hidden="1" customHeight="1">
      <c r="A765" s="34"/>
      <c r="B765" s="35"/>
      <c r="C765" s="35"/>
      <c r="F765" s="29"/>
      <c r="I765" s="24"/>
      <c r="K765" s="28"/>
      <c r="P765" s="29"/>
      <c r="S765" s="24"/>
    </row>
    <row r="766" ht="15.75" hidden="1" customHeight="1">
      <c r="A766" s="34"/>
      <c r="B766" s="35"/>
      <c r="C766" s="35"/>
      <c r="F766" s="29"/>
      <c r="I766" s="24"/>
      <c r="K766" s="28"/>
      <c r="P766" s="29"/>
      <c r="S766" s="24"/>
    </row>
    <row r="767" ht="15.75" hidden="1" customHeight="1">
      <c r="A767" s="34"/>
      <c r="B767" s="35"/>
      <c r="C767" s="35"/>
      <c r="F767" s="29"/>
      <c r="I767" s="24"/>
      <c r="K767" s="28"/>
      <c r="P767" s="29"/>
      <c r="S767" s="24"/>
    </row>
    <row r="768" ht="15.75" hidden="1" customHeight="1">
      <c r="A768" s="34"/>
      <c r="B768" s="35"/>
      <c r="C768" s="35"/>
      <c r="F768" s="29"/>
      <c r="I768" s="24"/>
      <c r="K768" s="28"/>
      <c r="P768" s="29"/>
      <c r="S768" s="24"/>
    </row>
    <row r="769" ht="15.75" hidden="1" customHeight="1">
      <c r="A769" s="34"/>
      <c r="B769" s="35"/>
      <c r="C769" s="35"/>
      <c r="F769" s="29"/>
      <c r="I769" s="24"/>
      <c r="K769" s="28"/>
      <c r="P769" s="29"/>
      <c r="S769" s="24"/>
    </row>
    <row r="770" ht="15.75" hidden="1" customHeight="1">
      <c r="A770" s="34"/>
      <c r="B770" s="36"/>
      <c r="C770" s="36"/>
      <c r="F770" s="29"/>
      <c r="I770" s="24"/>
      <c r="K770" s="28"/>
      <c r="P770" s="29"/>
      <c r="S770" s="24"/>
    </row>
    <row r="771" ht="15.75" hidden="1" customHeight="1">
      <c r="A771" s="34"/>
      <c r="B771" s="36"/>
      <c r="C771" s="36"/>
      <c r="F771" s="29"/>
      <c r="I771" s="24"/>
      <c r="K771" s="28"/>
      <c r="P771" s="29"/>
      <c r="S771" s="24"/>
    </row>
    <row r="772" ht="15.75" hidden="1" customHeight="1">
      <c r="A772" s="34"/>
      <c r="B772" s="35"/>
      <c r="C772" s="35"/>
      <c r="F772" s="29"/>
      <c r="I772" s="24"/>
      <c r="K772" s="28"/>
      <c r="P772" s="29"/>
      <c r="S772" s="24"/>
    </row>
    <row r="773" ht="15.75" hidden="1" customHeight="1">
      <c r="A773" s="34"/>
      <c r="B773" s="35"/>
      <c r="C773" s="35"/>
      <c r="F773" s="29"/>
      <c r="I773" s="24"/>
      <c r="K773" s="28"/>
      <c r="P773" s="29"/>
      <c r="S773" s="24"/>
    </row>
    <row r="774" ht="15.75" hidden="1" customHeight="1">
      <c r="A774" s="34"/>
      <c r="B774" s="35"/>
      <c r="C774" s="35"/>
      <c r="F774" s="29"/>
      <c r="I774" s="24"/>
      <c r="K774" s="28"/>
      <c r="P774" s="29"/>
      <c r="S774" s="24"/>
    </row>
    <row r="775" ht="15.75" hidden="1" customHeight="1">
      <c r="A775" s="34"/>
      <c r="B775" s="35"/>
      <c r="C775" s="35"/>
      <c r="F775" s="29"/>
      <c r="I775" s="24"/>
      <c r="K775" s="28"/>
      <c r="P775" s="29"/>
      <c r="S775" s="24"/>
    </row>
    <row r="776" ht="15.75" hidden="1" customHeight="1">
      <c r="A776" s="34"/>
      <c r="B776" s="35"/>
      <c r="C776" s="35"/>
      <c r="F776" s="29"/>
      <c r="I776" s="24"/>
      <c r="K776" s="28"/>
      <c r="P776" s="29"/>
      <c r="S776" s="24"/>
    </row>
    <row r="777" ht="15.75" hidden="1" customHeight="1">
      <c r="A777" s="34"/>
      <c r="B777" s="36"/>
      <c r="C777" s="36"/>
      <c r="F777" s="29"/>
      <c r="I777" s="24"/>
      <c r="K777" s="28"/>
      <c r="P777" s="29"/>
      <c r="S777" s="24"/>
    </row>
    <row r="778" ht="15.75" hidden="1" customHeight="1">
      <c r="A778" s="34"/>
      <c r="B778" s="36"/>
      <c r="C778" s="36"/>
      <c r="F778" s="29"/>
      <c r="I778" s="24"/>
      <c r="K778" s="28"/>
      <c r="P778" s="29"/>
      <c r="S778" s="24"/>
    </row>
    <row r="779" ht="15.75" hidden="1" customHeight="1">
      <c r="A779" s="34"/>
      <c r="B779" s="35"/>
      <c r="C779" s="35"/>
      <c r="F779" s="29"/>
      <c r="I779" s="24"/>
      <c r="K779" s="28"/>
      <c r="P779" s="29"/>
      <c r="S779" s="24"/>
    </row>
    <row r="780" ht="15.75" hidden="1" customHeight="1">
      <c r="A780" s="34"/>
      <c r="B780" s="35"/>
      <c r="C780" s="35"/>
      <c r="F780" s="29"/>
      <c r="I780" s="24"/>
      <c r="K780" s="28"/>
      <c r="P780" s="29"/>
      <c r="S780" s="24"/>
    </row>
    <row r="781" ht="15.75" hidden="1" customHeight="1">
      <c r="A781" s="34"/>
      <c r="B781" s="35"/>
      <c r="C781" s="35"/>
      <c r="F781" s="29"/>
      <c r="I781" s="24"/>
      <c r="K781" s="28"/>
      <c r="P781" s="29"/>
      <c r="S781" s="24"/>
    </row>
    <row r="782" ht="15.75" hidden="1" customHeight="1">
      <c r="A782" s="34"/>
      <c r="B782" s="35"/>
      <c r="C782" s="35"/>
      <c r="F782" s="29"/>
      <c r="I782" s="24"/>
      <c r="K782" s="28"/>
      <c r="P782" s="29"/>
      <c r="S782" s="24"/>
    </row>
    <row r="783" ht="15.75" hidden="1" customHeight="1">
      <c r="A783" s="34"/>
      <c r="B783" s="36"/>
      <c r="C783" s="36"/>
      <c r="F783" s="29"/>
      <c r="I783" s="24"/>
      <c r="K783" s="28"/>
      <c r="P783" s="29"/>
      <c r="S783" s="24"/>
    </row>
    <row r="784" ht="15.75" hidden="1" customHeight="1">
      <c r="A784" s="34"/>
      <c r="B784" s="36"/>
      <c r="C784" s="36"/>
      <c r="F784" s="29"/>
      <c r="I784" s="24"/>
      <c r="K784" s="28"/>
      <c r="P784" s="29"/>
      <c r="S784" s="24"/>
    </row>
    <row r="785" ht="15.75" hidden="1" customHeight="1">
      <c r="A785" s="34"/>
      <c r="B785" s="36"/>
      <c r="C785" s="36"/>
      <c r="F785" s="29"/>
      <c r="I785" s="24"/>
      <c r="K785" s="28"/>
      <c r="P785" s="29"/>
      <c r="S785" s="24"/>
    </row>
    <row r="786" ht="15.75" hidden="1" customHeight="1">
      <c r="A786" s="34"/>
      <c r="B786" s="35"/>
      <c r="C786" s="35"/>
      <c r="F786" s="29"/>
      <c r="I786" s="24"/>
      <c r="K786" s="28"/>
      <c r="P786" s="29"/>
      <c r="S786" s="24"/>
    </row>
    <row r="787" ht="15.75" hidden="1" customHeight="1">
      <c r="A787" s="34"/>
      <c r="B787" s="35"/>
      <c r="C787" s="35"/>
      <c r="F787" s="29"/>
      <c r="I787" s="24"/>
      <c r="K787" s="28"/>
      <c r="P787" s="29"/>
      <c r="S787" s="24"/>
    </row>
    <row r="788" ht="15.75" hidden="1" customHeight="1">
      <c r="A788" s="34"/>
      <c r="B788" s="35"/>
      <c r="C788" s="35"/>
      <c r="F788" s="29"/>
      <c r="I788" s="24"/>
      <c r="K788" s="28"/>
      <c r="P788" s="29"/>
      <c r="S788" s="24"/>
    </row>
    <row r="789" ht="15.75" hidden="1" customHeight="1">
      <c r="A789" s="34"/>
      <c r="B789" s="36"/>
      <c r="C789" s="36"/>
      <c r="F789" s="29"/>
      <c r="I789" s="24"/>
      <c r="K789" s="28"/>
      <c r="P789" s="29"/>
      <c r="S789" s="24"/>
    </row>
    <row r="790" ht="15.75" hidden="1" customHeight="1">
      <c r="A790" s="34"/>
      <c r="B790" s="36"/>
      <c r="C790" s="36"/>
      <c r="F790" s="29"/>
      <c r="I790" s="24"/>
      <c r="K790" s="28"/>
      <c r="P790" s="29"/>
      <c r="S790" s="24"/>
    </row>
    <row r="791" ht="15.75" hidden="1" customHeight="1">
      <c r="A791" s="34"/>
      <c r="B791" s="36"/>
      <c r="C791" s="36"/>
      <c r="F791" s="29"/>
      <c r="I791" s="24"/>
      <c r="K791" s="28"/>
      <c r="P791" s="29"/>
      <c r="S791" s="24"/>
    </row>
    <row r="792" ht="15.75" hidden="1" customHeight="1">
      <c r="A792" s="34"/>
      <c r="B792" s="36"/>
      <c r="C792" s="36"/>
      <c r="F792" s="29"/>
      <c r="I792" s="24"/>
      <c r="K792" s="28"/>
      <c r="P792" s="29"/>
      <c r="S792" s="24"/>
    </row>
    <row r="793" ht="15.75" hidden="1" customHeight="1">
      <c r="A793" s="34"/>
      <c r="B793" s="35"/>
      <c r="C793" s="35"/>
      <c r="F793" s="29"/>
      <c r="I793" s="24"/>
      <c r="K793" s="28"/>
      <c r="P793" s="29"/>
      <c r="S793" s="24"/>
    </row>
    <row r="794" ht="15.75" hidden="1" customHeight="1">
      <c r="A794" s="34"/>
      <c r="B794" s="35"/>
      <c r="C794" s="35"/>
      <c r="F794" s="29"/>
      <c r="I794" s="24"/>
      <c r="K794" s="28"/>
      <c r="P794" s="29"/>
      <c r="S794" s="24"/>
    </row>
    <row r="795" ht="15.75" hidden="1" customHeight="1">
      <c r="A795" s="34"/>
      <c r="B795" s="35"/>
      <c r="C795" s="35"/>
      <c r="F795" s="29"/>
      <c r="I795" s="24"/>
      <c r="K795" s="28"/>
      <c r="P795" s="29"/>
      <c r="S795" s="24"/>
    </row>
    <row r="796" ht="15.75" hidden="1" customHeight="1">
      <c r="A796" s="34"/>
      <c r="B796" s="35"/>
      <c r="C796" s="35"/>
      <c r="F796" s="29"/>
      <c r="I796" s="24"/>
      <c r="K796" s="28"/>
      <c r="P796" s="29"/>
      <c r="S796" s="24"/>
    </row>
    <row r="797" ht="15.75" hidden="1" customHeight="1">
      <c r="A797" s="34"/>
      <c r="B797" s="35"/>
      <c r="C797" s="35"/>
      <c r="F797" s="29"/>
      <c r="I797" s="24"/>
      <c r="K797" s="28"/>
      <c r="P797" s="29"/>
      <c r="S797" s="24"/>
    </row>
    <row r="798" ht="15.75" hidden="1" customHeight="1">
      <c r="A798" s="34"/>
      <c r="B798" s="36"/>
      <c r="C798" s="36"/>
      <c r="F798" s="29"/>
      <c r="I798" s="24"/>
      <c r="K798" s="28"/>
      <c r="P798" s="29"/>
      <c r="S798" s="24"/>
    </row>
    <row r="799" ht="15.75" hidden="1" customHeight="1">
      <c r="A799" s="34"/>
      <c r="B799" s="36"/>
      <c r="C799" s="36"/>
      <c r="F799" s="29"/>
      <c r="I799" s="24"/>
      <c r="K799" s="28"/>
      <c r="P799" s="29"/>
      <c r="S799" s="24"/>
    </row>
    <row r="800" ht="15.75" hidden="1" customHeight="1">
      <c r="A800" s="34"/>
      <c r="B800" s="35"/>
      <c r="C800" s="35"/>
      <c r="F800" s="29"/>
      <c r="I800" s="24"/>
      <c r="K800" s="28"/>
      <c r="P800" s="29"/>
      <c r="S800" s="24"/>
    </row>
    <row r="801" ht="15.75" hidden="1" customHeight="1">
      <c r="A801" s="34"/>
      <c r="B801" s="35"/>
      <c r="C801" s="35"/>
      <c r="F801" s="29"/>
      <c r="I801" s="24"/>
      <c r="K801" s="28"/>
      <c r="P801" s="29"/>
      <c r="S801" s="24"/>
    </row>
    <row r="802" ht="15.75" hidden="1" customHeight="1">
      <c r="A802" s="34"/>
      <c r="B802" s="35"/>
      <c r="C802" s="35"/>
      <c r="F802" s="29"/>
      <c r="I802" s="24"/>
      <c r="K802" s="28"/>
      <c r="P802" s="29"/>
      <c r="S802" s="24"/>
    </row>
    <row r="803" ht="15.75" hidden="1" customHeight="1">
      <c r="A803" s="34"/>
      <c r="B803" s="35"/>
      <c r="C803" s="35"/>
      <c r="F803" s="29"/>
      <c r="I803" s="24"/>
      <c r="K803" s="28"/>
      <c r="P803" s="29"/>
      <c r="S803" s="24"/>
    </row>
    <row r="804" ht="15.75" hidden="1" customHeight="1">
      <c r="A804" s="34"/>
      <c r="B804" s="35"/>
      <c r="C804" s="35"/>
      <c r="F804" s="29"/>
      <c r="I804" s="24"/>
      <c r="K804" s="28"/>
      <c r="P804" s="29"/>
      <c r="S804" s="24"/>
    </row>
    <row r="805" ht="15.75" hidden="1" customHeight="1">
      <c r="A805" s="34"/>
      <c r="B805" s="36"/>
      <c r="C805" s="36"/>
      <c r="F805" s="29"/>
      <c r="I805" s="24"/>
      <c r="K805" s="28"/>
      <c r="P805" s="29"/>
      <c r="S805" s="24"/>
    </row>
    <row r="806" ht="15.75" hidden="1" customHeight="1">
      <c r="A806" s="34"/>
      <c r="B806" s="36"/>
      <c r="C806" s="36"/>
      <c r="F806" s="29"/>
      <c r="I806" s="24"/>
      <c r="K806" s="28"/>
      <c r="P806" s="29"/>
      <c r="S806" s="24"/>
    </row>
    <row r="807" ht="15.75" hidden="1" customHeight="1">
      <c r="A807" s="34"/>
      <c r="B807" s="35"/>
      <c r="C807" s="35"/>
      <c r="F807" s="29"/>
      <c r="I807" s="24"/>
      <c r="K807" s="28"/>
      <c r="P807" s="29"/>
      <c r="S807" s="24"/>
    </row>
    <row r="808" ht="15.75" hidden="1" customHeight="1">
      <c r="A808" s="34"/>
      <c r="B808" s="35"/>
      <c r="C808" s="35"/>
      <c r="F808" s="29"/>
      <c r="I808" s="24"/>
      <c r="K808" s="28"/>
      <c r="P808" s="29"/>
      <c r="S808" s="24"/>
    </row>
    <row r="809" ht="15.75" hidden="1" customHeight="1">
      <c r="A809" s="34"/>
      <c r="B809" s="35"/>
      <c r="C809" s="35"/>
      <c r="F809" s="29"/>
      <c r="I809" s="24"/>
      <c r="K809" s="28"/>
      <c r="P809" s="29"/>
      <c r="S809" s="24"/>
    </row>
    <row r="810" ht="15.75" hidden="1" customHeight="1">
      <c r="A810" s="34"/>
      <c r="B810" s="35"/>
      <c r="C810" s="35"/>
      <c r="F810" s="29"/>
      <c r="I810" s="24"/>
      <c r="K810" s="28"/>
      <c r="P810" s="29"/>
      <c r="S810" s="24"/>
    </row>
    <row r="811" ht="15.75" hidden="1" customHeight="1">
      <c r="A811" s="34"/>
      <c r="B811" s="35"/>
      <c r="C811" s="35"/>
      <c r="F811" s="29"/>
      <c r="I811" s="24"/>
      <c r="K811" s="28"/>
      <c r="P811" s="29"/>
      <c r="S811" s="24"/>
    </row>
    <row r="812" ht="15.75" hidden="1" customHeight="1">
      <c r="A812" s="34"/>
      <c r="B812" s="36"/>
      <c r="C812" s="36"/>
      <c r="F812" s="29"/>
      <c r="I812" s="24"/>
      <c r="K812" s="28"/>
      <c r="P812" s="29"/>
      <c r="S812" s="24"/>
    </row>
    <row r="813" ht="15.75" hidden="1" customHeight="1">
      <c r="A813" s="34"/>
      <c r="B813" s="36"/>
      <c r="C813" s="36"/>
      <c r="F813" s="29"/>
      <c r="I813" s="24"/>
      <c r="K813" s="28"/>
      <c r="P813" s="29"/>
      <c r="S813" s="24"/>
    </row>
    <row r="814" ht="15.75" hidden="1" customHeight="1">
      <c r="A814" s="34"/>
      <c r="B814" s="35"/>
      <c r="C814" s="35"/>
      <c r="F814" s="29"/>
      <c r="I814" s="24"/>
      <c r="K814" s="28"/>
      <c r="P814" s="29"/>
      <c r="S814" s="24"/>
    </row>
    <row r="815" ht="15.75" hidden="1" customHeight="1">
      <c r="A815" s="34"/>
      <c r="B815" s="35"/>
      <c r="C815" s="35"/>
      <c r="F815" s="29"/>
      <c r="I815" s="24"/>
      <c r="K815" s="28"/>
      <c r="P815" s="29"/>
      <c r="S815" s="24"/>
    </row>
    <row r="816" ht="15.75" hidden="1" customHeight="1">
      <c r="A816" s="34"/>
      <c r="B816" s="35"/>
      <c r="C816" s="35"/>
      <c r="F816" s="29"/>
      <c r="I816" s="24"/>
      <c r="K816" s="28"/>
      <c r="P816" s="29"/>
      <c r="S816" s="24"/>
    </row>
    <row r="817" ht="15.75" hidden="1" customHeight="1">
      <c r="A817" s="34"/>
      <c r="B817" s="35"/>
      <c r="C817" s="35"/>
      <c r="F817" s="29"/>
      <c r="I817" s="24"/>
      <c r="K817" s="28"/>
      <c r="P817" s="29"/>
      <c r="S817" s="24"/>
    </row>
    <row r="818" ht="15.75" hidden="1" customHeight="1">
      <c r="A818" s="34"/>
      <c r="B818" s="35"/>
      <c r="C818" s="35"/>
      <c r="F818" s="29"/>
      <c r="I818" s="24"/>
      <c r="K818" s="28"/>
      <c r="P818" s="29"/>
      <c r="S818" s="24"/>
    </row>
    <row r="819" ht="15.75" hidden="1" customHeight="1">
      <c r="A819" s="34"/>
      <c r="B819" s="36"/>
      <c r="C819" s="36"/>
      <c r="F819" s="29"/>
      <c r="I819" s="24"/>
      <c r="K819" s="28"/>
      <c r="P819" s="29"/>
      <c r="S819" s="24"/>
    </row>
    <row r="820" ht="15.75" hidden="1" customHeight="1">
      <c r="A820" s="34"/>
      <c r="B820" s="36"/>
      <c r="C820" s="36"/>
      <c r="F820" s="29"/>
      <c r="I820" s="24"/>
      <c r="K820" s="28"/>
      <c r="P820" s="29"/>
      <c r="S820" s="24"/>
    </row>
    <row r="821" ht="15.75" hidden="1" customHeight="1">
      <c r="A821" s="34"/>
      <c r="B821" s="35"/>
      <c r="C821" s="35"/>
      <c r="F821" s="29"/>
      <c r="I821" s="24"/>
      <c r="K821" s="28"/>
      <c r="P821" s="29"/>
      <c r="S821" s="24"/>
    </row>
    <row r="822" ht="15.75" hidden="1" customHeight="1">
      <c r="A822" s="34"/>
      <c r="B822" s="35"/>
      <c r="C822" s="35"/>
      <c r="F822" s="29"/>
      <c r="I822" s="24"/>
      <c r="K822" s="28"/>
      <c r="P822" s="29"/>
      <c r="S822" s="24"/>
    </row>
    <row r="823" ht="15.75" hidden="1" customHeight="1">
      <c r="A823" s="34"/>
      <c r="B823" s="35"/>
      <c r="C823" s="35"/>
      <c r="F823" s="29"/>
      <c r="I823" s="24"/>
      <c r="K823" s="28"/>
      <c r="P823" s="29"/>
      <c r="S823" s="24"/>
    </row>
    <row r="824" ht="15.75" hidden="1" customHeight="1">
      <c r="A824" s="34"/>
      <c r="B824" s="35"/>
      <c r="C824" s="35"/>
      <c r="F824" s="29"/>
      <c r="I824" s="24"/>
      <c r="K824" s="28"/>
      <c r="P824" s="29"/>
      <c r="S824" s="24"/>
    </row>
    <row r="825" ht="15.75" hidden="1" customHeight="1">
      <c r="A825" s="34"/>
      <c r="B825" s="35"/>
      <c r="C825" s="35"/>
      <c r="F825" s="29"/>
      <c r="I825" s="24"/>
      <c r="K825" s="28"/>
      <c r="P825" s="29"/>
      <c r="S825" s="24"/>
    </row>
    <row r="826" ht="15.75" hidden="1" customHeight="1">
      <c r="A826" s="34"/>
      <c r="B826" s="36"/>
      <c r="C826" s="36"/>
      <c r="F826" s="29"/>
      <c r="I826" s="24"/>
      <c r="K826" s="28"/>
      <c r="P826" s="29"/>
      <c r="S826" s="24"/>
    </row>
    <row r="827" ht="15.75" hidden="1" customHeight="1">
      <c r="A827" s="34"/>
      <c r="B827" s="36"/>
      <c r="C827" s="36"/>
      <c r="F827" s="29"/>
      <c r="I827" s="24"/>
      <c r="K827" s="28"/>
      <c r="P827" s="29"/>
      <c r="S827" s="24"/>
    </row>
    <row r="828" ht="15.75" hidden="1" customHeight="1">
      <c r="A828" s="34"/>
      <c r="B828" s="35"/>
      <c r="C828" s="35"/>
      <c r="F828" s="29"/>
      <c r="I828" s="24"/>
      <c r="K828" s="28"/>
      <c r="P828" s="29"/>
      <c r="S828" s="24"/>
    </row>
    <row r="829" ht="15.75" hidden="1" customHeight="1">
      <c r="A829" s="34"/>
      <c r="B829" s="35"/>
      <c r="C829" s="35"/>
      <c r="F829" s="29"/>
      <c r="I829" s="24"/>
      <c r="K829" s="28"/>
      <c r="P829" s="29"/>
      <c r="S829" s="24"/>
    </row>
    <row r="830" ht="15.75" hidden="1" customHeight="1">
      <c r="A830" s="34"/>
      <c r="B830" s="35"/>
      <c r="C830" s="35"/>
      <c r="F830" s="29"/>
      <c r="I830" s="24"/>
      <c r="K830" s="28"/>
      <c r="P830" s="29"/>
      <c r="S830" s="24"/>
    </row>
    <row r="831" ht="15.75" hidden="1" customHeight="1">
      <c r="A831" s="34"/>
      <c r="B831" s="35"/>
      <c r="C831" s="35"/>
      <c r="F831" s="29"/>
      <c r="I831" s="24"/>
      <c r="K831" s="28"/>
      <c r="P831" s="29"/>
      <c r="S831" s="24"/>
    </row>
    <row r="832" ht="15.75" hidden="1" customHeight="1">
      <c r="A832" s="34"/>
      <c r="B832" s="35"/>
      <c r="C832" s="35"/>
      <c r="F832" s="29"/>
      <c r="I832" s="24"/>
      <c r="K832" s="28"/>
      <c r="P832" s="29"/>
      <c r="S832" s="24"/>
    </row>
    <row r="833" ht="15.75" hidden="1" customHeight="1">
      <c r="A833" s="34"/>
      <c r="B833" s="36"/>
      <c r="C833" s="36"/>
      <c r="F833" s="29"/>
      <c r="I833" s="24"/>
      <c r="K833" s="28"/>
      <c r="P833" s="29"/>
      <c r="S833" s="24"/>
    </row>
    <row r="834" ht="15.75" hidden="1" customHeight="1">
      <c r="A834" s="34"/>
      <c r="B834" s="36"/>
      <c r="C834" s="36"/>
      <c r="F834" s="29"/>
      <c r="I834" s="24"/>
      <c r="K834" s="28"/>
      <c r="P834" s="29"/>
      <c r="S834" s="24"/>
    </row>
    <row r="835" ht="15.75" hidden="1" customHeight="1">
      <c r="A835" s="34"/>
      <c r="B835" s="35"/>
      <c r="C835" s="35"/>
      <c r="F835" s="29"/>
      <c r="I835" s="24"/>
      <c r="K835" s="28"/>
      <c r="P835" s="29"/>
      <c r="S835" s="24"/>
    </row>
    <row r="836" ht="15.75" hidden="1" customHeight="1">
      <c r="A836" s="34"/>
      <c r="B836" s="35"/>
      <c r="C836" s="35"/>
      <c r="F836" s="29"/>
      <c r="I836" s="24"/>
      <c r="K836" s="28"/>
      <c r="P836" s="29"/>
      <c r="S836" s="24"/>
    </row>
    <row r="837" ht="15.75" hidden="1" customHeight="1">
      <c r="A837" s="34"/>
      <c r="B837" s="35"/>
      <c r="C837" s="35"/>
      <c r="F837" s="29"/>
      <c r="I837" s="24"/>
      <c r="K837" s="28"/>
      <c r="P837" s="29"/>
      <c r="S837" s="24"/>
    </row>
    <row r="838" ht="15.75" hidden="1" customHeight="1">
      <c r="A838" s="34"/>
      <c r="B838" s="35"/>
      <c r="C838" s="35"/>
      <c r="F838" s="29"/>
      <c r="I838" s="24"/>
      <c r="K838" s="28"/>
      <c r="P838" s="29"/>
      <c r="S838" s="24"/>
    </row>
    <row r="839" ht="15.75" hidden="1" customHeight="1">
      <c r="A839" s="34"/>
      <c r="B839" s="35"/>
      <c r="C839" s="35"/>
      <c r="F839" s="29"/>
      <c r="I839" s="24"/>
      <c r="K839" s="28"/>
      <c r="P839" s="29"/>
      <c r="S839" s="24"/>
    </row>
    <row r="840" ht="15.75" hidden="1" customHeight="1">
      <c r="A840" s="34"/>
      <c r="B840" s="36"/>
      <c r="C840" s="36"/>
      <c r="F840" s="29"/>
      <c r="I840" s="24"/>
      <c r="K840" s="28"/>
      <c r="P840" s="29"/>
      <c r="S840" s="24"/>
    </row>
    <row r="841" ht="15.75" hidden="1" customHeight="1">
      <c r="A841" s="34"/>
      <c r="B841" s="36"/>
      <c r="C841" s="36"/>
      <c r="F841" s="29"/>
      <c r="I841" s="24"/>
      <c r="K841" s="28"/>
      <c r="P841" s="29"/>
      <c r="S841" s="24"/>
    </row>
    <row r="842" ht="15.75" hidden="1" customHeight="1">
      <c r="A842" s="34"/>
      <c r="B842" s="35"/>
      <c r="C842" s="35"/>
      <c r="F842" s="29"/>
      <c r="I842" s="24"/>
      <c r="K842" s="28"/>
      <c r="P842" s="29"/>
      <c r="S842" s="24"/>
    </row>
    <row r="843" ht="15.75" hidden="1" customHeight="1">
      <c r="A843" s="34"/>
      <c r="B843" s="35"/>
      <c r="C843" s="35"/>
      <c r="F843" s="29"/>
      <c r="I843" s="24"/>
      <c r="K843" s="28"/>
      <c r="P843" s="29"/>
      <c r="S843" s="24"/>
    </row>
    <row r="844" ht="15.75" hidden="1" customHeight="1">
      <c r="A844" s="34"/>
      <c r="B844" s="35"/>
      <c r="C844" s="35"/>
      <c r="F844" s="29"/>
      <c r="I844" s="24"/>
      <c r="K844" s="28"/>
      <c r="P844" s="29"/>
      <c r="S844" s="24"/>
    </row>
    <row r="845" ht="15.75" hidden="1" customHeight="1">
      <c r="A845" s="34"/>
      <c r="B845" s="35"/>
      <c r="C845" s="35"/>
      <c r="F845" s="29"/>
      <c r="I845" s="24"/>
      <c r="K845" s="28"/>
      <c r="P845" s="29"/>
      <c r="S845" s="24"/>
    </row>
    <row r="846" ht="15.75" hidden="1" customHeight="1">
      <c r="A846" s="34"/>
      <c r="B846" s="35"/>
      <c r="C846" s="35"/>
      <c r="F846" s="29"/>
      <c r="I846" s="24"/>
      <c r="K846" s="28"/>
      <c r="P846" s="29"/>
      <c r="S846" s="24"/>
    </row>
    <row r="847" ht="15.75" hidden="1" customHeight="1">
      <c r="A847" s="34"/>
      <c r="B847" s="36"/>
      <c r="C847" s="36"/>
      <c r="F847" s="29"/>
      <c r="I847" s="24"/>
      <c r="K847" s="28"/>
      <c r="P847" s="29"/>
      <c r="S847" s="24"/>
    </row>
    <row r="848" ht="15.75" hidden="1" customHeight="1">
      <c r="A848" s="34"/>
      <c r="B848" s="36"/>
      <c r="C848" s="36"/>
      <c r="F848" s="29"/>
      <c r="I848" s="24"/>
      <c r="K848" s="28"/>
      <c r="P848" s="29"/>
      <c r="S848" s="24"/>
    </row>
    <row r="849" ht="15.75" hidden="1" customHeight="1">
      <c r="A849" s="34"/>
      <c r="B849" s="35"/>
      <c r="C849" s="35"/>
      <c r="F849" s="29"/>
      <c r="I849" s="24"/>
      <c r="K849" s="28"/>
      <c r="P849" s="29"/>
      <c r="S849" s="24"/>
    </row>
    <row r="850" ht="15.75" hidden="1" customHeight="1">
      <c r="A850" s="34"/>
      <c r="B850" s="35"/>
      <c r="C850" s="35"/>
      <c r="F850" s="29"/>
      <c r="I850" s="24"/>
      <c r="K850" s="28"/>
      <c r="P850" s="29"/>
      <c r="S850" s="24"/>
    </row>
    <row r="851" ht="15.75" hidden="1" customHeight="1">
      <c r="A851" s="34"/>
      <c r="B851" s="35"/>
      <c r="C851" s="35"/>
      <c r="F851" s="29"/>
      <c r="I851" s="24"/>
      <c r="K851" s="28"/>
      <c r="P851" s="29"/>
      <c r="S851" s="24"/>
    </row>
    <row r="852" ht="15.75" hidden="1" customHeight="1">
      <c r="A852" s="34"/>
      <c r="B852" s="35"/>
      <c r="C852" s="35"/>
      <c r="F852" s="29"/>
      <c r="I852" s="24"/>
      <c r="K852" s="28"/>
      <c r="P852" s="29"/>
      <c r="S852" s="24"/>
    </row>
    <row r="853" ht="15.75" hidden="1" customHeight="1">
      <c r="A853" s="34"/>
      <c r="B853" s="35"/>
      <c r="C853" s="35"/>
      <c r="F853" s="29"/>
      <c r="I853" s="24"/>
      <c r="K853" s="28"/>
      <c r="P853" s="29"/>
      <c r="S853" s="24"/>
    </row>
    <row r="854" ht="15.75" hidden="1" customHeight="1">
      <c r="A854" s="34"/>
      <c r="B854" s="36"/>
      <c r="C854" s="36"/>
      <c r="F854" s="29"/>
      <c r="I854" s="24"/>
      <c r="K854" s="28"/>
      <c r="P854" s="29"/>
      <c r="S854" s="24"/>
    </row>
    <row r="855" ht="15.75" hidden="1" customHeight="1">
      <c r="A855" s="34"/>
      <c r="B855" s="36"/>
      <c r="C855" s="36"/>
      <c r="F855" s="29"/>
      <c r="I855" s="24"/>
      <c r="K855" s="28"/>
      <c r="P855" s="29"/>
      <c r="S855" s="24"/>
    </row>
    <row r="856" ht="15.75" hidden="1" customHeight="1">
      <c r="A856" s="34"/>
      <c r="B856" s="35"/>
      <c r="C856" s="35"/>
      <c r="F856" s="29"/>
      <c r="I856" s="24"/>
      <c r="K856" s="28"/>
      <c r="P856" s="29"/>
      <c r="S856" s="24"/>
    </row>
    <row r="857" ht="15.75" hidden="1" customHeight="1">
      <c r="A857" s="34"/>
      <c r="B857" s="35"/>
      <c r="C857" s="35"/>
      <c r="F857" s="29"/>
      <c r="I857" s="24"/>
      <c r="K857" s="28"/>
      <c r="P857" s="29"/>
      <c r="S857" s="24"/>
    </row>
    <row r="858" ht="15.75" hidden="1" customHeight="1">
      <c r="A858" s="34"/>
      <c r="B858" s="35"/>
      <c r="C858" s="35"/>
      <c r="F858" s="29"/>
      <c r="I858" s="24"/>
      <c r="K858" s="28"/>
      <c r="P858" s="29"/>
      <c r="S858" s="24"/>
    </row>
    <row r="859" ht="15.75" hidden="1" customHeight="1">
      <c r="A859" s="34"/>
      <c r="B859" s="35"/>
      <c r="C859" s="35"/>
      <c r="F859" s="29"/>
      <c r="I859" s="24"/>
      <c r="K859" s="28"/>
      <c r="P859" s="29"/>
      <c r="S859" s="24"/>
    </row>
    <row r="860" ht="15.75" hidden="1" customHeight="1">
      <c r="A860" s="34"/>
      <c r="B860" s="35"/>
      <c r="C860" s="35"/>
      <c r="F860" s="29"/>
      <c r="I860" s="24"/>
      <c r="K860" s="28"/>
      <c r="P860" s="29"/>
      <c r="S860" s="24"/>
    </row>
    <row r="861" ht="15.75" hidden="1" customHeight="1">
      <c r="A861" s="34"/>
      <c r="B861" s="36"/>
      <c r="C861" s="36"/>
      <c r="F861" s="29"/>
      <c r="I861" s="24"/>
      <c r="K861" s="28"/>
      <c r="P861" s="29"/>
      <c r="S861" s="24"/>
    </row>
    <row r="862" ht="15.75" hidden="1" customHeight="1">
      <c r="A862" s="34"/>
      <c r="B862" s="36"/>
      <c r="C862" s="36"/>
      <c r="F862" s="29"/>
      <c r="I862" s="24"/>
      <c r="K862" s="28"/>
      <c r="P862" s="29"/>
      <c r="S862" s="24"/>
    </row>
    <row r="863" ht="15.75" hidden="1" customHeight="1">
      <c r="A863" s="34"/>
      <c r="B863" s="35"/>
      <c r="C863" s="35"/>
      <c r="F863" s="29"/>
      <c r="I863" s="24"/>
      <c r="K863" s="28"/>
      <c r="P863" s="29"/>
      <c r="S863" s="24"/>
    </row>
    <row r="864" ht="15.75" hidden="1" customHeight="1">
      <c r="A864" s="34"/>
      <c r="B864" s="35"/>
      <c r="C864" s="35"/>
      <c r="F864" s="29"/>
      <c r="I864" s="24"/>
      <c r="K864" s="28"/>
      <c r="P864" s="29"/>
      <c r="S864" s="24"/>
    </row>
    <row r="865" ht="15.75" hidden="1" customHeight="1">
      <c r="A865" s="34"/>
      <c r="B865" s="35"/>
      <c r="C865" s="35"/>
      <c r="F865" s="29"/>
      <c r="I865" s="24"/>
      <c r="K865" s="28"/>
      <c r="P865" s="29"/>
      <c r="S865" s="24"/>
    </row>
    <row r="866" ht="15.75" hidden="1" customHeight="1">
      <c r="A866" s="34"/>
      <c r="B866" s="35"/>
      <c r="C866" s="35"/>
      <c r="F866" s="29"/>
      <c r="I866" s="24"/>
      <c r="K866" s="28"/>
      <c r="P866" s="29"/>
      <c r="S866" s="24"/>
    </row>
    <row r="867" ht="15.75" hidden="1" customHeight="1">
      <c r="A867" s="34"/>
      <c r="B867" s="35"/>
      <c r="C867" s="35"/>
      <c r="F867" s="29"/>
      <c r="I867" s="24"/>
      <c r="K867" s="28"/>
      <c r="P867" s="29"/>
      <c r="S867" s="24"/>
    </row>
    <row r="868" ht="15.75" hidden="1" customHeight="1">
      <c r="A868" s="34"/>
      <c r="B868" s="36"/>
      <c r="C868" s="36"/>
      <c r="F868" s="29"/>
      <c r="I868" s="24"/>
      <c r="K868" s="28"/>
      <c r="P868" s="29"/>
      <c r="S868" s="24"/>
    </row>
    <row r="869" ht="15.75" hidden="1" customHeight="1">
      <c r="A869" s="34"/>
      <c r="B869" s="36"/>
      <c r="C869" s="36"/>
      <c r="F869" s="29"/>
      <c r="I869" s="24"/>
      <c r="K869" s="28"/>
      <c r="P869" s="29"/>
      <c r="S869" s="24"/>
    </row>
    <row r="870" ht="15.75" hidden="1" customHeight="1">
      <c r="A870" s="34"/>
      <c r="B870" s="35"/>
      <c r="C870" s="35"/>
      <c r="F870" s="29"/>
      <c r="I870" s="24"/>
      <c r="K870" s="28"/>
      <c r="P870" s="29"/>
      <c r="S870" s="24"/>
    </row>
    <row r="871" ht="15.75" hidden="1" customHeight="1">
      <c r="A871" s="34"/>
      <c r="B871" s="35"/>
      <c r="C871" s="35"/>
      <c r="F871" s="29"/>
      <c r="I871" s="24"/>
      <c r="K871" s="28"/>
      <c r="P871" s="29"/>
      <c r="S871" s="24"/>
    </row>
    <row r="872" ht="15.75" hidden="1" customHeight="1">
      <c r="A872" s="34"/>
      <c r="B872" s="35"/>
      <c r="C872" s="35"/>
      <c r="F872" s="29"/>
      <c r="I872" s="24"/>
      <c r="K872" s="28"/>
      <c r="P872" s="29"/>
      <c r="S872" s="24"/>
    </row>
    <row r="873" ht="15.75" hidden="1" customHeight="1">
      <c r="A873" s="34"/>
      <c r="B873" s="35"/>
      <c r="C873" s="35"/>
      <c r="F873" s="29"/>
      <c r="I873" s="24"/>
      <c r="K873" s="28"/>
      <c r="P873" s="29"/>
      <c r="S873" s="24"/>
    </row>
    <row r="874" ht="15.75" hidden="1" customHeight="1">
      <c r="A874" s="34"/>
      <c r="B874" s="35"/>
      <c r="C874" s="35"/>
      <c r="F874" s="29"/>
      <c r="I874" s="24"/>
      <c r="K874" s="28"/>
      <c r="P874" s="29"/>
      <c r="S874" s="24"/>
    </row>
    <row r="875" ht="15.75" hidden="1" customHeight="1">
      <c r="A875" s="34"/>
      <c r="B875" s="36"/>
      <c r="C875" s="36"/>
      <c r="F875" s="29"/>
      <c r="I875" s="24"/>
      <c r="K875" s="28"/>
      <c r="P875" s="29"/>
      <c r="S875" s="24"/>
    </row>
    <row r="876" ht="15.75" hidden="1" customHeight="1">
      <c r="A876" s="34"/>
      <c r="B876" s="36"/>
      <c r="C876" s="36"/>
      <c r="F876" s="29"/>
      <c r="I876" s="24"/>
      <c r="K876" s="28"/>
      <c r="P876" s="29"/>
      <c r="S876" s="24"/>
    </row>
    <row r="877" ht="15.75" hidden="1" customHeight="1">
      <c r="A877" s="34"/>
      <c r="B877" s="35"/>
      <c r="C877" s="35"/>
      <c r="F877" s="29"/>
      <c r="I877" s="24"/>
      <c r="K877" s="28"/>
      <c r="P877" s="29"/>
      <c r="S877" s="24"/>
    </row>
    <row r="878" ht="15.75" hidden="1" customHeight="1">
      <c r="A878" s="34"/>
      <c r="B878" s="35"/>
      <c r="C878" s="35"/>
      <c r="F878" s="29"/>
      <c r="I878" s="24"/>
      <c r="K878" s="28"/>
      <c r="P878" s="29"/>
      <c r="S878" s="24"/>
    </row>
    <row r="879" ht="15.75" hidden="1" customHeight="1">
      <c r="A879" s="34"/>
      <c r="B879" s="35"/>
      <c r="C879" s="35"/>
      <c r="F879" s="29"/>
      <c r="I879" s="24"/>
      <c r="K879" s="28"/>
      <c r="P879" s="29"/>
      <c r="S879" s="24"/>
    </row>
    <row r="880" ht="15.75" hidden="1" customHeight="1">
      <c r="A880" s="34"/>
      <c r="B880" s="35"/>
      <c r="C880" s="35"/>
      <c r="F880" s="29"/>
      <c r="I880" s="24"/>
      <c r="K880" s="28"/>
      <c r="P880" s="29"/>
      <c r="S880" s="24"/>
    </row>
    <row r="881" ht="15.75" hidden="1" customHeight="1">
      <c r="A881" s="34"/>
      <c r="B881" s="35"/>
      <c r="C881" s="35"/>
      <c r="F881" s="29"/>
      <c r="I881" s="24"/>
      <c r="K881" s="28"/>
      <c r="P881" s="29"/>
      <c r="S881" s="24"/>
    </row>
    <row r="882" ht="15.75" hidden="1" customHeight="1">
      <c r="A882" s="34"/>
      <c r="B882" s="36"/>
      <c r="C882" s="36"/>
      <c r="F882" s="29"/>
      <c r="I882" s="24"/>
      <c r="K882" s="28"/>
      <c r="P882" s="29"/>
      <c r="S882" s="24"/>
    </row>
    <row r="883" ht="15.75" hidden="1" customHeight="1">
      <c r="A883" s="34"/>
      <c r="B883" s="36"/>
      <c r="C883" s="36"/>
      <c r="F883" s="29"/>
      <c r="I883" s="24"/>
      <c r="K883" s="28"/>
      <c r="P883" s="29"/>
      <c r="S883" s="24"/>
    </row>
    <row r="884" ht="15.75" hidden="1" customHeight="1">
      <c r="A884" s="34"/>
      <c r="B884" s="35"/>
      <c r="C884" s="35"/>
      <c r="F884" s="29"/>
      <c r="I884" s="24"/>
      <c r="K884" s="28"/>
      <c r="P884" s="29"/>
      <c r="S884" s="24"/>
    </row>
    <row r="885" ht="15.75" hidden="1" customHeight="1">
      <c r="A885" s="34"/>
      <c r="B885" s="35"/>
      <c r="C885" s="35"/>
      <c r="F885" s="29"/>
      <c r="I885" s="24"/>
      <c r="K885" s="28"/>
      <c r="P885" s="29"/>
      <c r="S885" s="24"/>
    </row>
    <row r="886" ht="15.75" hidden="1" customHeight="1">
      <c r="A886" s="34"/>
      <c r="B886" s="35"/>
      <c r="C886" s="35"/>
      <c r="F886" s="29"/>
      <c r="I886" s="24"/>
      <c r="K886" s="28"/>
      <c r="P886" s="29"/>
      <c r="S886" s="24"/>
    </row>
    <row r="887" ht="15.75" hidden="1" customHeight="1">
      <c r="A887" s="34"/>
      <c r="B887" s="35"/>
      <c r="C887" s="35"/>
      <c r="F887" s="29"/>
      <c r="I887" s="24"/>
      <c r="K887" s="28"/>
      <c r="P887" s="29"/>
      <c r="S887" s="24"/>
    </row>
    <row r="888" ht="15.75" hidden="1" customHeight="1">
      <c r="A888" s="34"/>
      <c r="B888" s="35"/>
      <c r="C888" s="35"/>
      <c r="F888" s="29"/>
      <c r="I888" s="24"/>
      <c r="K888" s="28"/>
      <c r="P888" s="29"/>
      <c r="S888" s="24"/>
    </row>
    <row r="889" ht="15.75" hidden="1" customHeight="1">
      <c r="A889" s="34"/>
      <c r="B889" s="36"/>
      <c r="C889" s="36"/>
      <c r="F889" s="29"/>
      <c r="I889" s="24"/>
      <c r="K889" s="28"/>
      <c r="P889" s="29"/>
      <c r="S889" s="24"/>
    </row>
    <row r="890" ht="15.75" hidden="1" customHeight="1">
      <c r="A890" s="34"/>
      <c r="B890" s="36"/>
      <c r="C890" s="36"/>
      <c r="F890" s="29"/>
      <c r="I890" s="24"/>
      <c r="K890" s="28"/>
      <c r="P890" s="29"/>
      <c r="S890" s="24"/>
    </row>
    <row r="891" ht="15.75" hidden="1" customHeight="1">
      <c r="A891" s="34"/>
      <c r="B891" s="35"/>
      <c r="C891" s="35"/>
      <c r="F891" s="29"/>
      <c r="I891" s="24"/>
      <c r="K891" s="28"/>
      <c r="P891" s="29"/>
      <c r="S891" s="24"/>
    </row>
    <row r="892" ht="15.75" hidden="1" customHeight="1">
      <c r="A892" s="34"/>
      <c r="B892" s="35"/>
      <c r="C892" s="35"/>
      <c r="F892" s="29"/>
      <c r="I892" s="24"/>
      <c r="K892" s="28"/>
      <c r="P892" s="29"/>
      <c r="S892" s="24"/>
    </row>
    <row r="893" ht="15.75" hidden="1" customHeight="1">
      <c r="A893" s="34"/>
      <c r="B893" s="35"/>
      <c r="C893" s="35"/>
      <c r="F893" s="29"/>
      <c r="I893" s="24"/>
      <c r="K893" s="28"/>
      <c r="P893" s="29"/>
      <c r="S893" s="24"/>
    </row>
    <row r="894" ht="15.75" hidden="1" customHeight="1">
      <c r="A894" s="34"/>
      <c r="B894" s="35"/>
      <c r="C894" s="35"/>
      <c r="F894" s="29"/>
      <c r="I894" s="24"/>
      <c r="K894" s="28"/>
      <c r="P894" s="29"/>
      <c r="S894" s="24"/>
    </row>
    <row r="895" ht="15.75" hidden="1" customHeight="1">
      <c r="A895" s="34"/>
      <c r="B895" s="35"/>
      <c r="C895" s="35"/>
      <c r="F895" s="29"/>
      <c r="I895" s="24"/>
      <c r="K895" s="28"/>
      <c r="P895" s="29"/>
      <c r="S895" s="24"/>
    </row>
    <row r="896" ht="15.75" hidden="1" customHeight="1">
      <c r="A896" s="34"/>
      <c r="B896" s="36"/>
      <c r="C896" s="36"/>
      <c r="F896" s="29"/>
      <c r="I896" s="24"/>
      <c r="K896" s="28"/>
      <c r="P896" s="29"/>
      <c r="S896" s="24"/>
    </row>
    <row r="897" ht="15.75" hidden="1" customHeight="1">
      <c r="A897" s="34"/>
      <c r="B897" s="36"/>
      <c r="C897" s="36"/>
      <c r="F897" s="29"/>
      <c r="I897" s="24"/>
      <c r="K897" s="28"/>
      <c r="P897" s="29"/>
      <c r="S897" s="24"/>
    </row>
    <row r="898" ht="15.75" hidden="1" customHeight="1">
      <c r="A898" s="34"/>
      <c r="B898" s="35"/>
      <c r="C898" s="35"/>
      <c r="F898" s="29"/>
      <c r="I898" s="24"/>
      <c r="K898" s="28"/>
      <c r="P898" s="29"/>
      <c r="S898" s="24"/>
    </row>
    <row r="899" ht="15.75" hidden="1" customHeight="1">
      <c r="A899" s="34"/>
      <c r="B899" s="35"/>
      <c r="C899" s="35"/>
      <c r="F899" s="29"/>
      <c r="I899" s="24"/>
      <c r="K899" s="28"/>
      <c r="P899" s="29"/>
      <c r="S899" s="24"/>
    </row>
    <row r="900" ht="15.75" hidden="1" customHeight="1">
      <c r="A900" s="34"/>
      <c r="B900" s="35"/>
      <c r="C900" s="35"/>
      <c r="F900" s="29"/>
      <c r="I900" s="24"/>
      <c r="K900" s="28"/>
      <c r="P900" s="29"/>
      <c r="S900" s="24"/>
    </row>
    <row r="901" ht="15.75" hidden="1" customHeight="1">
      <c r="A901" s="34"/>
      <c r="B901" s="35"/>
      <c r="C901" s="35"/>
      <c r="F901" s="29"/>
      <c r="I901" s="24"/>
      <c r="K901" s="28"/>
      <c r="P901" s="29"/>
      <c r="S901" s="24"/>
    </row>
    <row r="902" ht="15.75" hidden="1" customHeight="1">
      <c r="A902" s="34"/>
      <c r="B902" s="35"/>
      <c r="C902" s="35"/>
      <c r="F902" s="29"/>
      <c r="I902" s="24"/>
      <c r="K902" s="28"/>
      <c r="P902" s="29"/>
      <c r="S902" s="24"/>
    </row>
    <row r="903" ht="15.75" hidden="1" customHeight="1">
      <c r="A903" s="34"/>
      <c r="B903" s="36"/>
      <c r="C903" s="36"/>
      <c r="F903" s="29"/>
      <c r="I903" s="24"/>
      <c r="K903" s="28"/>
      <c r="P903" s="29"/>
      <c r="S903" s="24"/>
    </row>
    <row r="904" ht="15.75" hidden="1" customHeight="1">
      <c r="A904" s="34"/>
      <c r="B904" s="36"/>
      <c r="C904" s="36"/>
      <c r="F904" s="29"/>
      <c r="I904" s="24"/>
      <c r="K904" s="28"/>
      <c r="P904" s="29"/>
      <c r="S904" s="24"/>
    </row>
    <row r="905" ht="15.75" hidden="1" customHeight="1">
      <c r="A905" s="34"/>
      <c r="B905" s="35"/>
      <c r="C905" s="35"/>
      <c r="F905" s="29"/>
      <c r="I905" s="24"/>
      <c r="K905" s="28"/>
      <c r="P905" s="29"/>
      <c r="S905" s="24"/>
    </row>
    <row r="906" ht="15.75" hidden="1" customHeight="1">
      <c r="A906" s="34"/>
      <c r="B906" s="35"/>
      <c r="C906" s="35"/>
      <c r="F906" s="29"/>
      <c r="I906" s="24"/>
      <c r="K906" s="28"/>
      <c r="P906" s="29"/>
      <c r="S906" s="24"/>
    </row>
    <row r="907" ht="15.75" hidden="1" customHeight="1">
      <c r="A907" s="34"/>
      <c r="B907" s="35"/>
      <c r="C907" s="35"/>
      <c r="F907" s="29"/>
      <c r="I907" s="24"/>
      <c r="K907" s="28"/>
      <c r="P907" s="29"/>
      <c r="S907" s="24"/>
    </row>
    <row r="908" ht="15.75" hidden="1" customHeight="1">
      <c r="A908" s="34"/>
      <c r="B908" s="35"/>
      <c r="C908" s="35"/>
      <c r="F908" s="29"/>
      <c r="I908" s="24"/>
      <c r="K908" s="28"/>
      <c r="P908" s="29"/>
      <c r="S908" s="24"/>
    </row>
    <row r="909" ht="15.75" hidden="1" customHeight="1">
      <c r="A909" s="34"/>
      <c r="B909" s="36"/>
      <c r="C909" s="36"/>
      <c r="F909" s="29"/>
      <c r="I909" s="24"/>
      <c r="K909" s="28"/>
      <c r="P909" s="29"/>
      <c r="S909" s="24"/>
    </row>
    <row r="910" ht="15.75" hidden="1" customHeight="1">
      <c r="A910" s="34"/>
      <c r="B910" s="36"/>
      <c r="C910" s="36"/>
      <c r="F910" s="29"/>
      <c r="I910" s="24"/>
      <c r="K910" s="28"/>
      <c r="P910" s="29"/>
      <c r="S910" s="24"/>
    </row>
    <row r="911" ht="15.75" hidden="1" customHeight="1">
      <c r="A911" s="34"/>
      <c r="B911" s="36"/>
      <c r="C911" s="36"/>
      <c r="F911" s="29"/>
      <c r="I911" s="24"/>
      <c r="K911" s="28"/>
      <c r="P911" s="29"/>
      <c r="S911" s="24"/>
    </row>
    <row r="912" ht="15.75" hidden="1" customHeight="1">
      <c r="A912" s="34"/>
      <c r="B912" s="35"/>
      <c r="C912" s="35"/>
      <c r="F912" s="29"/>
      <c r="I912" s="24"/>
      <c r="K912" s="28"/>
      <c r="P912" s="29"/>
      <c r="S912" s="24"/>
    </row>
    <row r="913" ht="15.75" hidden="1" customHeight="1">
      <c r="A913" s="34"/>
      <c r="B913" s="35"/>
      <c r="C913" s="35"/>
      <c r="F913" s="29"/>
      <c r="I913" s="24"/>
      <c r="K913" s="28"/>
      <c r="P913" s="29"/>
      <c r="S913" s="24"/>
    </row>
    <row r="914" ht="15.75" hidden="1" customHeight="1">
      <c r="A914" s="34"/>
      <c r="B914" s="35"/>
      <c r="C914" s="35"/>
      <c r="F914" s="29"/>
      <c r="I914" s="24"/>
      <c r="K914" s="28"/>
      <c r="P914" s="29"/>
      <c r="S914" s="24"/>
    </row>
    <row r="915" ht="15.75" hidden="1" customHeight="1">
      <c r="A915" s="34"/>
      <c r="B915" s="35"/>
      <c r="C915" s="35"/>
      <c r="F915" s="29"/>
      <c r="I915" s="24"/>
      <c r="K915" s="28"/>
      <c r="P915" s="29"/>
      <c r="S915" s="24"/>
    </row>
    <row r="916" ht="15.75" hidden="1" customHeight="1">
      <c r="A916" s="34"/>
      <c r="B916" s="35"/>
      <c r="C916" s="35"/>
      <c r="F916" s="29"/>
      <c r="I916" s="24"/>
      <c r="K916" s="28"/>
      <c r="P916" s="29"/>
      <c r="S916" s="24"/>
    </row>
    <row r="917" ht="15.75" hidden="1" customHeight="1">
      <c r="A917" s="34"/>
      <c r="B917" s="36"/>
      <c r="C917" s="36"/>
      <c r="F917" s="29"/>
      <c r="I917" s="24"/>
      <c r="K917" s="28"/>
      <c r="P917" s="29"/>
      <c r="S917" s="24"/>
    </row>
    <row r="918" ht="15.75" hidden="1" customHeight="1">
      <c r="A918" s="34"/>
      <c r="B918" s="36"/>
      <c r="C918" s="36"/>
      <c r="F918" s="29"/>
      <c r="I918" s="24"/>
      <c r="K918" s="28"/>
      <c r="P918" s="29"/>
      <c r="S918" s="24"/>
    </row>
    <row r="919" ht="15.75" hidden="1" customHeight="1">
      <c r="A919" s="34"/>
      <c r="B919" s="35"/>
      <c r="C919" s="35"/>
      <c r="F919" s="29"/>
      <c r="I919" s="24"/>
      <c r="K919" s="28"/>
      <c r="P919" s="29"/>
      <c r="S919" s="24"/>
    </row>
    <row r="920" ht="15.75" hidden="1" customHeight="1">
      <c r="A920" s="34"/>
      <c r="B920" s="35"/>
      <c r="C920" s="35"/>
      <c r="F920" s="29"/>
      <c r="I920" s="24"/>
      <c r="K920" s="28"/>
      <c r="P920" s="29"/>
      <c r="S920" s="24"/>
    </row>
    <row r="921" ht="15.75" hidden="1" customHeight="1">
      <c r="A921" s="34"/>
      <c r="B921" s="35"/>
      <c r="C921" s="35"/>
      <c r="F921" s="29"/>
      <c r="I921" s="24"/>
      <c r="K921" s="28"/>
      <c r="P921" s="29"/>
      <c r="S921" s="24"/>
    </row>
    <row r="922" ht="15.75" hidden="1" customHeight="1">
      <c r="A922" s="34"/>
      <c r="B922" s="35"/>
      <c r="C922" s="35"/>
      <c r="F922" s="29"/>
      <c r="I922" s="24"/>
      <c r="K922" s="28"/>
      <c r="P922" s="29"/>
      <c r="S922" s="24"/>
    </row>
    <row r="923" ht="15.75" hidden="1" customHeight="1">
      <c r="A923" s="34"/>
      <c r="B923" s="35"/>
      <c r="C923" s="35"/>
      <c r="F923" s="29"/>
      <c r="I923" s="24"/>
      <c r="K923" s="28"/>
      <c r="P923" s="29"/>
      <c r="S923" s="24"/>
    </row>
    <row r="924" ht="15.75" hidden="1" customHeight="1">
      <c r="A924" s="34"/>
      <c r="B924" s="36"/>
      <c r="C924" s="36"/>
      <c r="F924" s="29"/>
      <c r="I924" s="24"/>
      <c r="K924" s="28"/>
      <c r="P924" s="29"/>
      <c r="S924" s="24"/>
    </row>
    <row r="925" ht="15.75" hidden="1" customHeight="1">
      <c r="A925" s="34"/>
      <c r="B925" s="36"/>
      <c r="C925" s="36"/>
      <c r="F925" s="29"/>
      <c r="I925" s="24"/>
      <c r="K925" s="28"/>
      <c r="P925" s="29"/>
      <c r="S925" s="24"/>
    </row>
    <row r="926" ht="15.75" hidden="1" customHeight="1">
      <c r="A926" s="34"/>
      <c r="B926" s="35"/>
      <c r="C926" s="35"/>
      <c r="F926" s="29"/>
      <c r="I926" s="24"/>
      <c r="K926" s="28"/>
      <c r="P926" s="29"/>
      <c r="S926" s="24"/>
    </row>
    <row r="927" ht="15.75" hidden="1" customHeight="1">
      <c r="A927" s="34"/>
      <c r="B927" s="35"/>
      <c r="C927" s="35"/>
      <c r="F927" s="29"/>
      <c r="I927" s="24"/>
      <c r="K927" s="28"/>
      <c r="P927" s="29"/>
      <c r="S927" s="24"/>
    </row>
    <row r="928" ht="15.75" hidden="1" customHeight="1">
      <c r="A928" s="34"/>
      <c r="B928" s="35"/>
      <c r="C928" s="35"/>
      <c r="F928" s="29"/>
      <c r="I928" s="24"/>
      <c r="K928" s="28"/>
      <c r="P928" s="29"/>
      <c r="S928" s="24"/>
    </row>
    <row r="929" ht="15.75" hidden="1" customHeight="1">
      <c r="A929" s="34"/>
      <c r="B929" s="35"/>
      <c r="C929" s="35"/>
      <c r="F929" s="29"/>
      <c r="I929" s="24"/>
      <c r="K929" s="28"/>
      <c r="P929" s="29"/>
      <c r="S929" s="24"/>
    </row>
    <row r="930" ht="15.75" hidden="1" customHeight="1">
      <c r="A930" s="34"/>
      <c r="B930" s="35"/>
      <c r="C930" s="35"/>
      <c r="F930" s="29"/>
      <c r="I930" s="24"/>
      <c r="K930" s="28"/>
      <c r="P930" s="29"/>
      <c r="S930" s="24"/>
    </row>
    <row r="931" ht="15.75" hidden="1" customHeight="1">
      <c r="A931" s="34"/>
      <c r="B931" s="36"/>
      <c r="C931" s="36"/>
      <c r="F931" s="29"/>
      <c r="I931" s="24"/>
      <c r="K931" s="28"/>
      <c r="P931" s="29"/>
      <c r="S931" s="24"/>
    </row>
    <row r="932" ht="15.75" hidden="1" customHeight="1">
      <c r="A932" s="34"/>
      <c r="B932" s="36"/>
      <c r="C932" s="36"/>
      <c r="F932" s="29"/>
      <c r="I932" s="24"/>
      <c r="K932" s="28"/>
      <c r="P932" s="29"/>
      <c r="S932" s="24"/>
    </row>
    <row r="933" ht="15.75" hidden="1" customHeight="1">
      <c r="A933" s="34"/>
      <c r="B933" s="35"/>
      <c r="C933" s="35"/>
      <c r="F933" s="29"/>
      <c r="I933" s="24"/>
      <c r="K933" s="28"/>
      <c r="P933" s="29"/>
      <c r="S933" s="24"/>
    </row>
    <row r="934" ht="15.75" hidden="1" customHeight="1">
      <c r="A934" s="34"/>
      <c r="B934" s="35"/>
      <c r="C934" s="35"/>
      <c r="F934" s="29"/>
      <c r="I934" s="24"/>
      <c r="K934" s="28"/>
      <c r="P934" s="29"/>
      <c r="S934" s="24"/>
    </row>
    <row r="935" ht="15.75" hidden="1" customHeight="1">
      <c r="A935" s="34"/>
      <c r="B935" s="35"/>
      <c r="C935" s="35"/>
      <c r="F935" s="29"/>
      <c r="I935" s="24"/>
      <c r="K935" s="28"/>
      <c r="P935" s="29"/>
      <c r="S935" s="24"/>
    </row>
    <row r="936" ht="15.75" hidden="1" customHeight="1">
      <c r="A936" s="34"/>
      <c r="B936" s="35"/>
      <c r="C936" s="35"/>
      <c r="F936" s="29"/>
      <c r="I936" s="24"/>
      <c r="K936" s="28"/>
      <c r="P936" s="29"/>
      <c r="S936" s="24"/>
    </row>
    <row r="937" ht="15.75" hidden="1" customHeight="1">
      <c r="A937" s="34"/>
      <c r="B937" s="35"/>
      <c r="C937" s="35"/>
      <c r="F937" s="29"/>
      <c r="I937" s="24"/>
      <c r="K937" s="28"/>
      <c r="P937" s="29"/>
      <c r="S937" s="24"/>
    </row>
    <row r="938" ht="15.75" hidden="1" customHeight="1">
      <c r="A938" s="34"/>
      <c r="B938" s="36"/>
      <c r="C938" s="36"/>
      <c r="F938" s="29"/>
      <c r="I938" s="24"/>
      <c r="K938" s="28"/>
      <c r="P938" s="29"/>
      <c r="S938" s="24"/>
    </row>
    <row r="939" ht="15.75" hidden="1" customHeight="1">
      <c r="A939" s="34"/>
      <c r="B939" s="36"/>
      <c r="C939" s="36"/>
      <c r="F939" s="29"/>
      <c r="I939" s="24"/>
      <c r="K939" s="28"/>
      <c r="P939" s="29"/>
      <c r="S939" s="24"/>
    </row>
    <row r="940" ht="15.75" hidden="1" customHeight="1">
      <c r="A940" s="34"/>
      <c r="B940" s="35"/>
      <c r="C940" s="35"/>
      <c r="F940" s="29"/>
      <c r="I940" s="24"/>
      <c r="K940" s="28"/>
      <c r="P940" s="29"/>
      <c r="S940" s="24"/>
    </row>
    <row r="941" ht="15.75" hidden="1" customHeight="1">
      <c r="A941" s="34"/>
      <c r="B941" s="35"/>
      <c r="C941" s="35"/>
      <c r="F941" s="29"/>
      <c r="I941" s="24"/>
      <c r="K941" s="28"/>
      <c r="P941" s="29"/>
      <c r="S941" s="24"/>
    </row>
    <row r="942" ht="15.75" hidden="1" customHeight="1">
      <c r="A942" s="34"/>
      <c r="B942" s="35"/>
      <c r="C942" s="35"/>
      <c r="F942" s="29"/>
      <c r="I942" s="24"/>
      <c r="K942" s="28"/>
      <c r="P942" s="29"/>
      <c r="S942" s="24"/>
    </row>
    <row r="943" ht="15.75" hidden="1" customHeight="1">
      <c r="A943" s="34"/>
      <c r="B943" s="35"/>
      <c r="C943" s="35"/>
      <c r="F943" s="29"/>
      <c r="I943" s="24"/>
      <c r="K943" s="28"/>
      <c r="P943" s="29"/>
      <c r="S943" s="24"/>
    </row>
    <row r="944" ht="15.75" hidden="1" customHeight="1">
      <c r="A944" s="34"/>
      <c r="B944" s="35"/>
      <c r="C944" s="35"/>
      <c r="F944" s="29"/>
      <c r="I944" s="24"/>
      <c r="K944" s="28"/>
      <c r="P944" s="29"/>
      <c r="S944" s="24"/>
    </row>
    <row r="945" ht="15.75" hidden="1" customHeight="1">
      <c r="A945" s="34"/>
      <c r="B945" s="36"/>
      <c r="C945" s="36"/>
      <c r="F945" s="29"/>
      <c r="I945" s="24"/>
      <c r="K945" s="28"/>
      <c r="P945" s="29"/>
      <c r="S945" s="24"/>
    </row>
    <row r="946" ht="15.75" hidden="1" customHeight="1">
      <c r="A946" s="34"/>
      <c r="B946" s="36"/>
      <c r="C946" s="36"/>
      <c r="F946" s="29"/>
      <c r="I946" s="24"/>
      <c r="K946" s="28"/>
      <c r="P946" s="29"/>
      <c r="S946" s="24"/>
    </row>
    <row r="947" ht="15.75" hidden="1" customHeight="1">
      <c r="A947" s="34"/>
      <c r="B947" s="35"/>
      <c r="C947" s="35"/>
      <c r="F947" s="29"/>
      <c r="I947" s="24"/>
      <c r="K947" s="28"/>
      <c r="P947" s="29"/>
      <c r="S947" s="24"/>
    </row>
    <row r="948" ht="15.75" hidden="1" customHeight="1">
      <c r="A948" s="34"/>
      <c r="B948" s="35"/>
      <c r="C948" s="35"/>
      <c r="F948" s="29"/>
      <c r="I948" s="24"/>
      <c r="K948" s="28"/>
      <c r="P948" s="29"/>
      <c r="S948" s="24"/>
    </row>
    <row r="949" ht="15.75" hidden="1" customHeight="1">
      <c r="A949" s="34"/>
      <c r="B949" s="35"/>
      <c r="C949" s="35"/>
      <c r="F949" s="29"/>
      <c r="I949" s="24"/>
      <c r="K949" s="28"/>
      <c r="P949" s="29"/>
      <c r="S949" s="24"/>
    </row>
    <row r="950" ht="15.75" hidden="1" customHeight="1">
      <c r="A950" s="34"/>
      <c r="B950" s="35"/>
      <c r="C950" s="35"/>
      <c r="F950" s="29"/>
      <c r="I950" s="24"/>
      <c r="K950" s="28"/>
      <c r="P950" s="29"/>
      <c r="S950" s="24"/>
    </row>
    <row r="951" ht="15.75" hidden="1" customHeight="1">
      <c r="A951" s="34"/>
      <c r="B951" s="35"/>
      <c r="C951" s="35"/>
      <c r="F951" s="29"/>
      <c r="I951" s="24"/>
      <c r="K951" s="28"/>
      <c r="P951" s="29"/>
      <c r="S951" s="24"/>
    </row>
    <row r="952" ht="15.75" hidden="1" customHeight="1">
      <c r="A952" s="34"/>
      <c r="B952" s="36"/>
      <c r="C952" s="36"/>
      <c r="F952" s="29"/>
      <c r="I952" s="24"/>
      <c r="K952" s="28"/>
      <c r="P952" s="29"/>
      <c r="S952" s="24"/>
    </row>
    <row r="953" ht="15.75" hidden="1" customHeight="1">
      <c r="A953" s="34"/>
      <c r="B953" s="36"/>
      <c r="C953" s="36"/>
      <c r="F953" s="29"/>
      <c r="I953" s="24"/>
      <c r="K953" s="28"/>
      <c r="P953" s="29"/>
      <c r="S953" s="24"/>
    </row>
    <row r="954" ht="15.75" hidden="1" customHeight="1">
      <c r="A954" s="34"/>
      <c r="B954" s="35"/>
      <c r="C954" s="35"/>
      <c r="F954" s="29"/>
      <c r="I954" s="24"/>
      <c r="K954" s="28"/>
      <c r="P954" s="29"/>
      <c r="S954" s="24"/>
    </row>
    <row r="955" ht="15.75" hidden="1" customHeight="1">
      <c r="A955" s="34"/>
      <c r="B955" s="35"/>
      <c r="C955" s="35"/>
      <c r="F955" s="29"/>
      <c r="I955" s="24"/>
      <c r="K955" s="28"/>
      <c r="P955" s="29"/>
      <c r="S955" s="24"/>
    </row>
    <row r="956" ht="15.75" hidden="1" customHeight="1">
      <c r="A956" s="34"/>
      <c r="B956" s="35"/>
      <c r="C956" s="35"/>
      <c r="F956" s="29"/>
      <c r="I956" s="24"/>
      <c r="K956" s="28"/>
      <c r="P956" s="29"/>
      <c r="S956" s="24"/>
    </row>
    <row r="957" ht="15.75" hidden="1" customHeight="1">
      <c r="A957" s="34"/>
      <c r="B957" s="35"/>
      <c r="C957" s="35"/>
      <c r="F957" s="29"/>
      <c r="I957" s="24"/>
      <c r="K957" s="28"/>
      <c r="P957" s="29"/>
      <c r="S957" s="24"/>
    </row>
    <row r="958" ht="15.75" hidden="1" customHeight="1">
      <c r="A958" s="34"/>
      <c r="F958" s="29"/>
      <c r="I958" s="24"/>
      <c r="K958" s="28"/>
      <c r="P958" s="29"/>
      <c r="S958" s="24"/>
    </row>
    <row r="959" ht="15.75" hidden="1" customHeight="1">
      <c r="A959" s="34"/>
      <c r="B959" s="36"/>
      <c r="C959" s="36"/>
      <c r="F959" s="29"/>
      <c r="I959" s="24"/>
      <c r="K959" s="28"/>
      <c r="P959" s="29"/>
      <c r="S959" s="24"/>
    </row>
    <row r="960" ht="15.75" hidden="1" customHeight="1">
      <c r="A960" s="34"/>
      <c r="B960" s="36"/>
      <c r="C960" s="36"/>
      <c r="F960" s="29"/>
      <c r="I960" s="24"/>
      <c r="K960" s="28"/>
      <c r="P960" s="29"/>
      <c r="S960" s="24"/>
    </row>
    <row r="961" ht="15.75" hidden="1" customHeight="1">
      <c r="A961" s="34"/>
      <c r="B961" s="35"/>
      <c r="C961" s="35"/>
      <c r="F961" s="29"/>
      <c r="I961" s="24"/>
      <c r="K961" s="28"/>
      <c r="P961" s="29"/>
      <c r="S961" s="24"/>
    </row>
    <row r="962" ht="15.75" hidden="1" customHeight="1">
      <c r="A962" s="34"/>
      <c r="B962" s="35"/>
      <c r="C962" s="35"/>
      <c r="F962" s="29"/>
      <c r="I962" s="24"/>
      <c r="K962" s="28"/>
      <c r="P962" s="29"/>
      <c r="S962" s="24"/>
    </row>
    <row r="963" ht="15.75" hidden="1" customHeight="1">
      <c r="A963" s="34"/>
      <c r="B963" s="35"/>
      <c r="C963" s="35"/>
      <c r="F963" s="29"/>
      <c r="I963" s="24"/>
      <c r="K963" s="28"/>
      <c r="P963" s="29"/>
      <c r="S963" s="24"/>
    </row>
    <row r="964" ht="15.75" hidden="1" customHeight="1">
      <c r="A964" s="34"/>
      <c r="B964" s="35"/>
      <c r="C964" s="35"/>
      <c r="F964" s="29"/>
      <c r="I964" s="24"/>
      <c r="K964" s="28"/>
      <c r="P964" s="29"/>
      <c r="S964" s="24"/>
    </row>
    <row r="965" ht="15.75" hidden="1" customHeight="1">
      <c r="A965" s="34"/>
      <c r="B965" s="35"/>
      <c r="C965" s="35"/>
      <c r="F965" s="29"/>
      <c r="I965" s="24"/>
      <c r="K965" s="28"/>
      <c r="P965" s="29"/>
      <c r="S965" s="24"/>
    </row>
    <row r="966" ht="15.75" hidden="1" customHeight="1">
      <c r="A966" s="34"/>
      <c r="B966" s="36"/>
      <c r="C966" s="36"/>
      <c r="F966" s="29"/>
      <c r="I966" s="24"/>
      <c r="K966" s="28"/>
      <c r="P966" s="29"/>
      <c r="S966" s="24"/>
    </row>
    <row r="967" ht="15.75" hidden="1" customHeight="1">
      <c r="A967" s="34"/>
      <c r="B967" s="36"/>
      <c r="C967" s="36"/>
      <c r="F967" s="29"/>
      <c r="I967" s="24"/>
      <c r="K967" s="28"/>
      <c r="P967" s="29"/>
      <c r="S967" s="24"/>
    </row>
    <row r="968" ht="15.75" hidden="1" customHeight="1">
      <c r="A968" s="34"/>
      <c r="B968" s="35"/>
      <c r="C968" s="35"/>
      <c r="F968" s="29"/>
      <c r="I968" s="24"/>
      <c r="K968" s="28"/>
      <c r="P968" s="29"/>
      <c r="S968" s="24"/>
    </row>
    <row r="969" ht="15.75" hidden="1" customHeight="1">
      <c r="A969" s="34"/>
      <c r="B969" s="35"/>
      <c r="C969" s="35"/>
      <c r="F969" s="29"/>
      <c r="I969" s="24"/>
      <c r="K969" s="28"/>
      <c r="P969" s="29"/>
      <c r="S969" s="24"/>
    </row>
    <row r="970" ht="15.75" hidden="1" customHeight="1">
      <c r="A970" s="34"/>
      <c r="B970" s="35"/>
      <c r="C970" s="35"/>
      <c r="F970" s="29"/>
      <c r="I970" s="24"/>
      <c r="K970" s="28"/>
      <c r="P970" s="29"/>
      <c r="S970" s="24"/>
    </row>
    <row r="971" ht="15.75" hidden="1" customHeight="1">
      <c r="A971" s="34"/>
      <c r="B971" s="35"/>
      <c r="C971" s="35"/>
      <c r="F971" s="29"/>
      <c r="I971" s="24"/>
      <c r="K971" s="28"/>
      <c r="P971" s="29"/>
      <c r="S971" s="24"/>
    </row>
    <row r="972" ht="15.75" hidden="1" customHeight="1">
      <c r="A972" s="34"/>
      <c r="B972" s="35"/>
      <c r="C972" s="35"/>
      <c r="F972" s="29"/>
      <c r="I972" s="24"/>
      <c r="K972" s="28"/>
      <c r="P972" s="29"/>
      <c r="S972" s="24"/>
    </row>
    <row r="973" ht="15.75" hidden="1" customHeight="1">
      <c r="A973" s="34"/>
      <c r="B973" s="36"/>
      <c r="C973" s="36"/>
      <c r="F973" s="29"/>
      <c r="I973" s="24"/>
      <c r="K973" s="28"/>
      <c r="P973" s="29"/>
      <c r="S973" s="24"/>
    </row>
    <row r="974" ht="15.75" hidden="1" customHeight="1">
      <c r="A974" s="34"/>
      <c r="B974" s="36"/>
      <c r="C974" s="36"/>
      <c r="F974" s="29"/>
      <c r="I974" s="24"/>
      <c r="K974" s="28"/>
      <c r="P974" s="29"/>
      <c r="S974" s="24"/>
    </row>
    <row r="975" ht="15.75" hidden="1" customHeight="1">
      <c r="A975" s="34"/>
      <c r="B975" s="35"/>
      <c r="C975" s="35"/>
      <c r="F975" s="29"/>
      <c r="I975" s="24"/>
      <c r="K975" s="28"/>
      <c r="P975" s="29"/>
      <c r="S975" s="24"/>
    </row>
    <row r="976" ht="15.75" hidden="1" customHeight="1">
      <c r="A976" s="34"/>
      <c r="B976" s="35"/>
      <c r="C976" s="35"/>
      <c r="F976" s="29"/>
      <c r="I976" s="24"/>
      <c r="K976" s="28"/>
      <c r="P976" s="29"/>
      <c r="S976" s="24"/>
    </row>
    <row r="977" ht="15.75" hidden="1" customHeight="1">
      <c r="A977" s="34"/>
      <c r="B977" s="35"/>
      <c r="C977" s="35"/>
      <c r="F977" s="29"/>
      <c r="I977" s="24"/>
      <c r="K977" s="28"/>
      <c r="P977" s="29"/>
      <c r="S977" s="24"/>
    </row>
    <row r="978" ht="15.75" hidden="1" customHeight="1">
      <c r="A978" s="34"/>
      <c r="B978" s="35"/>
      <c r="C978" s="35"/>
      <c r="F978" s="29"/>
      <c r="I978" s="24"/>
      <c r="K978" s="28"/>
      <c r="P978" s="29"/>
      <c r="S978" s="24"/>
    </row>
    <row r="979" ht="15.75" hidden="1" customHeight="1">
      <c r="A979" s="34"/>
      <c r="B979" s="35"/>
      <c r="C979" s="35"/>
      <c r="F979" s="29"/>
      <c r="I979" s="24"/>
      <c r="K979" s="28"/>
      <c r="P979" s="29"/>
      <c r="S979" s="24"/>
    </row>
    <row r="980" ht="15.75" hidden="1" customHeight="1">
      <c r="A980" s="34"/>
      <c r="B980" s="36"/>
      <c r="C980" s="36"/>
      <c r="F980" s="29"/>
      <c r="I980" s="24"/>
      <c r="K980" s="28"/>
      <c r="P980" s="29"/>
      <c r="S980" s="24"/>
    </row>
    <row r="981" ht="15.75" hidden="1" customHeight="1">
      <c r="A981" s="34"/>
      <c r="B981" s="36"/>
      <c r="C981" s="36"/>
      <c r="F981" s="29"/>
      <c r="I981" s="24"/>
      <c r="K981" s="28"/>
      <c r="P981" s="29"/>
      <c r="S981" s="24"/>
    </row>
    <row r="982" ht="15.75" hidden="1" customHeight="1">
      <c r="A982" s="34"/>
      <c r="B982" s="35"/>
      <c r="C982" s="35"/>
      <c r="F982" s="29"/>
      <c r="I982" s="24"/>
      <c r="K982" s="28"/>
      <c r="P982" s="29"/>
      <c r="S982" s="24"/>
    </row>
    <row r="983" ht="15.75" hidden="1" customHeight="1">
      <c r="A983" s="34"/>
      <c r="B983" s="35"/>
      <c r="C983" s="35"/>
      <c r="F983" s="29"/>
      <c r="I983" s="24"/>
      <c r="K983" s="28"/>
      <c r="P983" s="29"/>
      <c r="S983" s="24"/>
    </row>
    <row r="984" ht="15.75" hidden="1" customHeight="1">
      <c r="A984" s="34"/>
      <c r="B984" s="35"/>
      <c r="C984" s="35"/>
      <c r="F984" s="29"/>
      <c r="I984" s="24"/>
      <c r="K984" s="28"/>
      <c r="P984" s="29"/>
      <c r="S984" s="24"/>
    </row>
    <row r="985" ht="15.75" hidden="1" customHeight="1">
      <c r="A985" s="34"/>
      <c r="B985" s="35"/>
      <c r="C985" s="35"/>
      <c r="F985" s="29"/>
      <c r="I985" s="24"/>
      <c r="K985" s="28"/>
      <c r="P985" s="29"/>
      <c r="S985" s="24"/>
    </row>
    <row r="986" ht="15.75" hidden="1" customHeight="1">
      <c r="A986" s="34"/>
      <c r="B986" s="35"/>
      <c r="C986" s="35"/>
      <c r="F986" s="29"/>
      <c r="I986" s="24"/>
      <c r="K986" s="28"/>
      <c r="P986" s="29"/>
      <c r="S986" s="24"/>
    </row>
    <row r="987" ht="15.75" hidden="1" customHeight="1">
      <c r="A987" s="34"/>
      <c r="B987" s="36"/>
      <c r="C987" s="36"/>
      <c r="F987" s="29"/>
      <c r="I987" s="24"/>
      <c r="K987" s="28"/>
      <c r="P987" s="29"/>
      <c r="S987" s="24"/>
    </row>
    <row r="988" ht="15.75" hidden="1" customHeight="1">
      <c r="A988" s="34"/>
      <c r="B988" s="36"/>
      <c r="C988" s="36"/>
      <c r="F988" s="29"/>
      <c r="I988" s="24"/>
      <c r="K988" s="28"/>
      <c r="P988" s="29"/>
      <c r="S988" s="24"/>
    </row>
    <row r="989" ht="15.75" hidden="1" customHeight="1">
      <c r="A989" s="34"/>
      <c r="B989" s="35"/>
      <c r="C989" s="35"/>
      <c r="F989" s="29"/>
      <c r="I989" s="24"/>
      <c r="K989" s="28"/>
      <c r="P989" s="29"/>
      <c r="S989" s="24"/>
    </row>
    <row r="990" ht="15.75" hidden="1" customHeight="1">
      <c r="A990" s="34"/>
      <c r="B990" s="35"/>
      <c r="C990" s="35"/>
      <c r="F990" s="29"/>
      <c r="I990" s="24"/>
      <c r="K990" s="28"/>
      <c r="P990" s="29"/>
      <c r="S990" s="24"/>
    </row>
    <row r="991" ht="15.75" hidden="1" customHeight="1">
      <c r="A991" s="34"/>
      <c r="B991" s="35"/>
      <c r="C991" s="35"/>
      <c r="F991" s="29"/>
      <c r="I991" s="24"/>
      <c r="K991" s="28"/>
      <c r="P991" s="29"/>
      <c r="S991" s="24"/>
    </row>
    <row r="992" ht="15.75" hidden="1" customHeight="1">
      <c r="A992" s="34"/>
      <c r="B992" s="35"/>
      <c r="C992" s="35"/>
      <c r="F992" s="29"/>
      <c r="I992" s="24"/>
      <c r="K992" s="28"/>
      <c r="P992" s="29"/>
      <c r="S992" s="24"/>
    </row>
    <row r="993" ht="15.75" hidden="1" customHeight="1">
      <c r="A993" s="34"/>
      <c r="B993" s="35"/>
      <c r="C993" s="35"/>
      <c r="F993" s="29"/>
      <c r="I993" s="24"/>
      <c r="K993" s="28"/>
      <c r="P993" s="29"/>
      <c r="S993" s="24"/>
    </row>
    <row r="994" ht="15.75" hidden="1" customHeight="1">
      <c r="A994" s="34"/>
      <c r="B994" s="36"/>
      <c r="C994" s="36"/>
      <c r="F994" s="29"/>
      <c r="I994" s="24"/>
      <c r="K994" s="28"/>
      <c r="P994" s="29"/>
      <c r="S994" s="24"/>
    </row>
    <row r="995" ht="15.75" hidden="1" customHeight="1">
      <c r="A995" s="34"/>
      <c r="B995" s="36"/>
      <c r="C995" s="36"/>
      <c r="F995" s="29"/>
      <c r="I995" s="24"/>
      <c r="K995" s="28"/>
      <c r="P995" s="29"/>
      <c r="S995" s="24"/>
    </row>
    <row r="996" ht="15.75" hidden="1" customHeight="1">
      <c r="A996" s="34"/>
      <c r="B996" s="35"/>
      <c r="C996" s="35"/>
      <c r="F996" s="29"/>
      <c r="I996" s="24"/>
      <c r="K996" s="28"/>
      <c r="P996" s="29"/>
      <c r="S996" s="24"/>
    </row>
    <row r="997" ht="15.75" hidden="1" customHeight="1">
      <c r="A997" s="34"/>
      <c r="B997" s="35"/>
      <c r="C997" s="35"/>
      <c r="F997" s="29"/>
      <c r="I997" s="24"/>
      <c r="K997" s="28"/>
      <c r="P997" s="29"/>
      <c r="S997" s="24"/>
    </row>
    <row r="998" ht="15.75" hidden="1" customHeight="1">
      <c r="A998" s="34"/>
      <c r="B998" s="35"/>
      <c r="C998" s="35"/>
      <c r="F998" s="29"/>
      <c r="I998" s="24"/>
      <c r="K998" s="28"/>
      <c r="P998" s="29"/>
      <c r="S998" s="24"/>
    </row>
    <row r="999" ht="15.75" hidden="1" customHeight="1">
      <c r="A999" s="34"/>
      <c r="B999" s="35"/>
      <c r="C999" s="35"/>
      <c r="F999" s="29"/>
      <c r="I999" s="24"/>
      <c r="K999" s="28"/>
      <c r="P999" s="29"/>
      <c r="S999" s="24"/>
    </row>
    <row r="1000" ht="15.75" hidden="1" customHeight="1">
      <c r="A1000" s="34"/>
      <c r="B1000" s="36"/>
      <c r="C1000" s="36"/>
      <c r="F1000" s="29"/>
      <c r="I1000" s="24"/>
      <c r="K1000" s="28"/>
      <c r="P1000" s="29"/>
      <c r="S1000" s="24"/>
    </row>
    <row r="1001" ht="15.75" hidden="1" customHeight="1">
      <c r="A1001" s="34"/>
      <c r="B1001" s="36"/>
      <c r="C1001" s="36"/>
      <c r="F1001" s="29"/>
      <c r="I1001" s="24"/>
      <c r="K1001" s="28"/>
      <c r="P1001" s="29"/>
      <c r="S1001" s="24"/>
    </row>
    <row r="1002" ht="15.75" hidden="1" customHeight="1">
      <c r="A1002" s="34"/>
      <c r="B1002" s="36"/>
      <c r="C1002" s="36"/>
      <c r="F1002" s="29"/>
      <c r="I1002" s="24"/>
      <c r="K1002" s="28"/>
      <c r="P1002" s="29"/>
      <c r="S1002" s="24"/>
    </row>
    <row r="1003" ht="15.75" hidden="1" customHeight="1">
      <c r="A1003" s="34"/>
      <c r="B1003" s="35"/>
      <c r="C1003" s="35"/>
      <c r="F1003" s="29"/>
      <c r="I1003" s="24"/>
      <c r="K1003" s="28"/>
      <c r="P1003" s="29"/>
      <c r="S1003" s="24"/>
    </row>
    <row r="1004" ht="15.75" hidden="1" customHeight="1">
      <c r="A1004" s="34"/>
      <c r="B1004" s="35"/>
      <c r="C1004" s="35"/>
      <c r="F1004" s="29"/>
      <c r="I1004" s="24"/>
      <c r="K1004" s="28"/>
      <c r="P1004" s="29"/>
      <c r="S1004" s="24"/>
    </row>
    <row r="1005" ht="15.75" hidden="1" customHeight="1">
      <c r="A1005" s="34"/>
      <c r="B1005" s="35"/>
      <c r="C1005" s="35"/>
      <c r="F1005" s="29"/>
      <c r="I1005" s="24"/>
      <c r="K1005" s="28"/>
      <c r="P1005" s="29"/>
      <c r="S1005" s="24"/>
    </row>
    <row r="1006" ht="15.75" hidden="1" customHeight="1">
      <c r="A1006" s="34"/>
      <c r="B1006" s="35"/>
      <c r="C1006" s="35"/>
      <c r="F1006" s="29"/>
      <c r="I1006" s="24"/>
      <c r="K1006" s="28"/>
      <c r="P1006" s="29"/>
      <c r="S1006" s="24"/>
    </row>
    <row r="1007" ht="15.75" hidden="1" customHeight="1">
      <c r="A1007" s="34"/>
      <c r="B1007" s="35"/>
      <c r="C1007" s="35"/>
      <c r="F1007" s="29"/>
      <c r="I1007" s="24"/>
      <c r="K1007" s="28"/>
      <c r="P1007" s="29"/>
      <c r="S1007" s="24"/>
    </row>
    <row r="1008" ht="15.75" hidden="1" customHeight="1">
      <c r="A1008" s="34"/>
      <c r="B1008" s="36"/>
      <c r="C1008" s="36"/>
      <c r="F1008" s="29"/>
      <c r="I1008" s="24"/>
      <c r="K1008" s="28"/>
      <c r="P1008" s="29"/>
      <c r="S1008" s="24"/>
    </row>
    <row r="1009" ht="15.75" hidden="1" customHeight="1">
      <c r="A1009" s="34"/>
      <c r="B1009" s="36"/>
      <c r="C1009" s="36"/>
      <c r="F1009" s="29"/>
      <c r="I1009" s="24"/>
      <c r="K1009" s="28"/>
      <c r="P1009" s="29"/>
      <c r="S1009" s="24"/>
    </row>
    <row r="1010" ht="15.75" hidden="1" customHeight="1">
      <c r="A1010" s="34"/>
      <c r="B1010" s="35"/>
      <c r="C1010" s="35"/>
      <c r="F1010" s="29"/>
      <c r="I1010" s="24"/>
      <c r="K1010" s="28"/>
      <c r="P1010" s="29"/>
      <c r="S1010" s="24"/>
    </row>
    <row r="1011" ht="15.75" hidden="1" customHeight="1">
      <c r="A1011" s="34"/>
      <c r="B1011" s="35"/>
      <c r="C1011" s="35"/>
      <c r="F1011" s="29"/>
      <c r="I1011" s="24"/>
      <c r="K1011" s="28"/>
      <c r="P1011" s="29"/>
      <c r="S1011" s="24"/>
    </row>
    <row r="1012" ht="15.75" hidden="1" customHeight="1">
      <c r="A1012" s="34"/>
      <c r="B1012" s="35"/>
      <c r="C1012" s="35"/>
      <c r="F1012" s="29"/>
      <c r="I1012" s="24"/>
      <c r="K1012" s="28"/>
      <c r="P1012" s="29"/>
      <c r="S1012" s="24"/>
    </row>
    <row r="1013" ht="15.75" hidden="1" customHeight="1">
      <c r="A1013" s="34"/>
      <c r="B1013" s="35"/>
      <c r="C1013" s="35"/>
      <c r="F1013" s="29"/>
      <c r="I1013" s="24"/>
      <c r="K1013" s="28"/>
      <c r="P1013" s="29"/>
      <c r="S1013" s="24"/>
    </row>
    <row r="1014" ht="15.75" hidden="1" customHeight="1">
      <c r="A1014" s="34"/>
      <c r="B1014" s="35"/>
      <c r="C1014" s="35"/>
      <c r="F1014" s="29"/>
      <c r="I1014" s="24"/>
      <c r="K1014" s="28"/>
      <c r="P1014" s="29"/>
      <c r="S1014" s="24"/>
    </row>
    <row r="1015" ht="15.75" hidden="1" customHeight="1">
      <c r="A1015" s="34"/>
      <c r="B1015" s="36"/>
      <c r="C1015" s="36"/>
      <c r="F1015" s="29"/>
      <c r="I1015" s="24"/>
      <c r="K1015" s="28"/>
      <c r="P1015" s="29"/>
      <c r="S1015" s="24"/>
    </row>
    <row r="1016" ht="15.75" hidden="1" customHeight="1">
      <c r="A1016" s="34"/>
      <c r="B1016" s="36"/>
      <c r="C1016" s="36"/>
      <c r="F1016" s="29"/>
      <c r="I1016" s="24"/>
      <c r="K1016" s="28"/>
      <c r="P1016" s="29"/>
      <c r="S1016" s="24"/>
    </row>
    <row r="1017" ht="15.75" hidden="1" customHeight="1">
      <c r="A1017" s="34"/>
      <c r="B1017" s="35"/>
      <c r="C1017" s="35"/>
      <c r="F1017" s="29"/>
      <c r="I1017" s="24"/>
      <c r="K1017" s="28"/>
      <c r="P1017" s="29"/>
      <c r="S1017" s="24"/>
    </row>
    <row r="1018" ht="15.75" hidden="1" customHeight="1">
      <c r="A1018" s="34"/>
      <c r="B1018" s="35"/>
      <c r="C1018" s="35"/>
      <c r="F1018" s="29"/>
      <c r="I1018" s="24"/>
      <c r="K1018" s="28"/>
      <c r="P1018" s="29"/>
      <c r="S1018" s="24"/>
    </row>
    <row r="1019" ht="15.75" hidden="1" customHeight="1">
      <c r="A1019" s="34"/>
      <c r="B1019" s="35"/>
      <c r="C1019" s="35"/>
      <c r="F1019" s="29"/>
      <c r="I1019" s="24"/>
      <c r="K1019" s="28"/>
      <c r="P1019" s="29"/>
      <c r="S1019" s="24"/>
    </row>
    <row r="1020" ht="15.75" hidden="1" customHeight="1">
      <c r="A1020" s="34"/>
      <c r="B1020" s="35"/>
      <c r="C1020" s="35"/>
      <c r="F1020" s="29"/>
      <c r="I1020" s="24"/>
      <c r="K1020" s="28"/>
      <c r="P1020" s="29"/>
      <c r="S1020" s="24"/>
    </row>
    <row r="1021" ht="15.75" hidden="1" customHeight="1">
      <c r="A1021" s="34"/>
      <c r="B1021" s="35"/>
      <c r="C1021" s="35"/>
      <c r="F1021" s="29"/>
      <c r="I1021" s="24"/>
      <c r="K1021" s="28"/>
      <c r="P1021" s="29"/>
      <c r="S1021" s="24"/>
    </row>
    <row r="1022" ht="15.75" hidden="1" customHeight="1">
      <c r="A1022" s="34"/>
      <c r="B1022" s="36"/>
      <c r="C1022" s="36"/>
      <c r="F1022" s="29"/>
      <c r="I1022" s="24"/>
      <c r="K1022" s="28"/>
      <c r="P1022" s="29"/>
      <c r="S1022" s="24"/>
    </row>
    <row r="1023" ht="15.75" hidden="1" customHeight="1">
      <c r="A1023" s="34"/>
      <c r="B1023" s="36"/>
      <c r="C1023" s="36"/>
      <c r="F1023" s="29"/>
      <c r="I1023" s="24"/>
      <c r="K1023" s="28"/>
      <c r="P1023" s="29"/>
      <c r="S1023" s="24"/>
    </row>
    <row r="1024" ht="15.75" hidden="1" customHeight="1">
      <c r="A1024" s="34"/>
      <c r="B1024" s="35"/>
      <c r="C1024" s="35"/>
      <c r="F1024" s="29"/>
      <c r="I1024" s="24"/>
      <c r="K1024" s="28"/>
      <c r="P1024" s="29"/>
      <c r="S1024" s="24"/>
    </row>
    <row r="1025" ht="15.75" hidden="1" customHeight="1">
      <c r="A1025" s="34"/>
      <c r="B1025" s="35"/>
      <c r="C1025" s="35"/>
      <c r="F1025" s="29"/>
      <c r="I1025" s="24"/>
      <c r="K1025" s="28"/>
      <c r="P1025" s="29"/>
      <c r="S1025" s="24"/>
    </row>
    <row r="1026" ht="15.75" hidden="1" customHeight="1">
      <c r="A1026" s="34"/>
      <c r="B1026" s="35"/>
      <c r="C1026" s="35"/>
      <c r="F1026" s="29"/>
      <c r="I1026" s="24"/>
      <c r="K1026" s="28"/>
      <c r="P1026" s="29"/>
      <c r="S1026" s="24"/>
    </row>
    <row r="1027" ht="15.75" hidden="1" customHeight="1">
      <c r="A1027" s="34"/>
      <c r="B1027" s="35"/>
      <c r="C1027" s="35"/>
      <c r="F1027" s="29"/>
      <c r="I1027" s="24"/>
      <c r="K1027" s="28"/>
      <c r="P1027" s="29"/>
      <c r="S1027" s="24"/>
    </row>
    <row r="1028" ht="15.75" hidden="1" customHeight="1">
      <c r="A1028" s="34"/>
      <c r="B1028" s="36"/>
      <c r="C1028" s="36"/>
      <c r="F1028" s="29"/>
      <c r="I1028" s="24"/>
      <c r="K1028" s="28"/>
      <c r="P1028" s="29"/>
      <c r="S1028" s="24"/>
    </row>
    <row r="1029" ht="15.75" hidden="1" customHeight="1">
      <c r="A1029" s="34"/>
      <c r="B1029" s="36"/>
      <c r="C1029" s="36"/>
      <c r="F1029" s="29"/>
      <c r="I1029" s="24"/>
      <c r="K1029" s="28"/>
      <c r="P1029" s="29"/>
      <c r="S1029" s="24"/>
    </row>
    <row r="1030" ht="15.75" hidden="1" customHeight="1">
      <c r="A1030" s="34"/>
      <c r="B1030" s="36"/>
      <c r="C1030" s="36"/>
      <c r="F1030" s="29"/>
      <c r="I1030" s="24"/>
      <c r="K1030" s="28"/>
      <c r="P1030" s="29"/>
      <c r="S1030" s="24"/>
    </row>
    <row r="1031" ht="15.75" hidden="1" customHeight="1">
      <c r="A1031" s="34"/>
      <c r="B1031" s="35"/>
      <c r="C1031" s="35"/>
      <c r="F1031" s="29"/>
      <c r="I1031" s="24"/>
      <c r="K1031" s="28"/>
      <c r="P1031" s="29"/>
      <c r="S1031" s="24"/>
    </row>
    <row r="1032" ht="15.75" hidden="1" customHeight="1">
      <c r="A1032" s="34"/>
      <c r="B1032" s="35"/>
      <c r="C1032" s="35"/>
      <c r="F1032" s="29"/>
      <c r="I1032" s="24"/>
      <c r="K1032" s="28"/>
      <c r="P1032" s="29"/>
      <c r="S1032" s="24"/>
    </row>
    <row r="1033" ht="15.75" hidden="1" customHeight="1">
      <c r="A1033" s="34"/>
      <c r="B1033" s="35"/>
      <c r="C1033" s="35"/>
      <c r="F1033" s="29"/>
      <c r="I1033" s="24"/>
      <c r="K1033" s="28"/>
      <c r="P1033" s="29"/>
      <c r="S1033" s="24"/>
    </row>
    <row r="1034" ht="15.75" hidden="1" customHeight="1">
      <c r="A1034" s="34"/>
      <c r="B1034" s="35"/>
      <c r="C1034" s="35"/>
      <c r="F1034" s="29"/>
      <c r="I1034" s="24"/>
      <c r="K1034" s="28"/>
      <c r="P1034" s="29"/>
      <c r="S1034" s="24"/>
    </row>
    <row r="1035" ht="15.75" hidden="1" customHeight="1">
      <c r="A1035" s="34"/>
      <c r="B1035" s="35"/>
      <c r="C1035" s="35"/>
      <c r="F1035" s="29"/>
      <c r="I1035" s="24"/>
      <c r="K1035" s="28"/>
      <c r="P1035" s="29"/>
      <c r="S1035" s="24"/>
    </row>
    <row r="1036" ht="15.75" hidden="1" customHeight="1">
      <c r="A1036" s="34"/>
      <c r="B1036" s="36"/>
      <c r="C1036" s="36"/>
      <c r="F1036" s="29"/>
      <c r="I1036" s="24"/>
      <c r="K1036" s="28"/>
      <c r="P1036" s="29"/>
      <c r="S1036" s="24"/>
    </row>
    <row r="1037" ht="15.75" hidden="1" customHeight="1">
      <c r="A1037" s="34"/>
      <c r="B1037" s="36"/>
      <c r="C1037" s="36"/>
      <c r="F1037" s="29"/>
      <c r="I1037" s="24"/>
      <c r="K1037" s="28"/>
      <c r="P1037" s="29"/>
      <c r="S1037" s="24"/>
    </row>
    <row r="1038" ht="15.75" hidden="1" customHeight="1">
      <c r="A1038" s="34"/>
      <c r="B1038" s="35"/>
      <c r="C1038" s="35"/>
      <c r="F1038" s="29"/>
      <c r="I1038" s="24"/>
      <c r="K1038" s="28"/>
      <c r="P1038" s="29"/>
      <c r="S1038" s="24"/>
    </row>
    <row r="1039" ht="15.75" hidden="1" customHeight="1">
      <c r="A1039" s="34"/>
      <c r="B1039" s="35"/>
      <c r="C1039" s="35"/>
      <c r="F1039" s="29"/>
      <c r="I1039" s="24"/>
      <c r="K1039" s="28"/>
      <c r="P1039" s="29"/>
      <c r="S1039" s="24"/>
    </row>
    <row r="1040" ht="15.75" hidden="1" customHeight="1">
      <c r="A1040" s="34"/>
      <c r="B1040" s="35"/>
      <c r="C1040" s="35"/>
      <c r="F1040" s="29"/>
      <c r="I1040" s="24"/>
      <c r="K1040" s="28"/>
      <c r="P1040" s="29"/>
      <c r="S1040" s="24"/>
    </row>
    <row r="1041" ht="15.75" hidden="1" customHeight="1">
      <c r="A1041" s="34"/>
      <c r="B1041" s="35"/>
      <c r="C1041" s="35"/>
      <c r="F1041" s="29"/>
      <c r="I1041" s="24"/>
      <c r="K1041" s="28"/>
      <c r="P1041" s="29"/>
      <c r="S1041" s="24"/>
    </row>
    <row r="1042" ht="15.75" hidden="1" customHeight="1">
      <c r="A1042" s="34"/>
      <c r="B1042" s="35"/>
      <c r="C1042" s="35"/>
      <c r="F1042" s="29"/>
      <c r="I1042" s="24"/>
      <c r="K1042" s="28"/>
      <c r="P1042" s="29"/>
      <c r="S1042" s="24"/>
    </row>
    <row r="1043" ht="15.75" hidden="1" customHeight="1">
      <c r="A1043" s="34"/>
      <c r="B1043" s="36"/>
      <c r="C1043" s="36"/>
      <c r="F1043" s="29"/>
      <c r="I1043" s="24"/>
      <c r="K1043" s="28"/>
      <c r="P1043" s="29"/>
      <c r="S1043" s="24"/>
    </row>
    <row r="1044" ht="15.75" hidden="1" customHeight="1">
      <c r="A1044" s="34"/>
      <c r="B1044" s="36"/>
      <c r="C1044" s="36"/>
      <c r="F1044" s="29"/>
      <c r="I1044" s="24"/>
      <c r="K1044" s="28"/>
      <c r="P1044" s="29"/>
      <c r="S1044" s="24"/>
    </row>
    <row r="1045" ht="15.75" hidden="1" customHeight="1">
      <c r="A1045" s="34"/>
      <c r="B1045" s="35"/>
      <c r="C1045" s="35"/>
      <c r="F1045" s="29"/>
      <c r="I1045" s="24"/>
      <c r="K1045" s="28"/>
      <c r="P1045" s="29"/>
      <c r="S1045" s="24"/>
    </row>
    <row r="1046" ht="15.75" hidden="1" customHeight="1">
      <c r="A1046" s="34"/>
      <c r="B1046" s="35"/>
      <c r="C1046" s="35"/>
      <c r="F1046" s="29"/>
      <c r="I1046" s="24"/>
      <c r="K1046" s="28"/>
      <c r="P1046" s="29"/>
      <c r="S1046" s="24"/>
    </row>
    <row r="1047" ht="15.75" hidden="1" customHeight="1">
      <c r="A1047" s="34"/>
      <c r="B1047" s="35"/>
      <c r="C1047" s="35"/>
      <c r="F1047" s="29"/>
      <c r="I1047" s="24"/>
      <c r="K1047" s="28"/>
      <c r="P1047" s="29"/>
      <c r="S1047" s="24"/>
    </row>
    <row r="1048" ht="15.75" hidden="1" customHeight="1">
      <c r="A1048" s="34"/>
      <c r="B1048" s="35"/>
      <c r="C1048" s="35"/>
      <c r="F1048" s="29"/>
      <c r="I1048" s="24"/>
      <c r="K1048" s="28"/>
      <c r="P1048" s="29"/>
      <c r="S1048" s="24"/>
    </row>
    <row r="1049" ht="15.75" hidden="1" customHeight="1">
      <c r="A1049" s="34"/>
      <c r="B1049" s="35"/>
      <c r="C1049" s="35"/>
      <c r="F1049" s="29"/>
      <c r="I1049" s="24"/>
      <c r="K1049" s="28"/>
      <c r="P1049" s="29"/>
      <c r="S1049" s="24"/>
    </row>
    <row r="1050" ht="15.75" hidden="1" customHeight="1">
      <c r="A1050" s="34"/>
      <c r="B1050" s="36"/>
      <c r="C1050" s="36"/>
      <c r="F1050" s="29"/>
      <c r="I1050" s="24"/>
      <c r="K1050" s="28"/>
      <c r="P1050" s="29"/>
      <c r="S1050" s="24"/>
    </row>
    <row r="1051" ht="15.75" hidden="1" customHeight="1">
      <c r="A1051" s="34"/>
      <c r="B1051" s="36"/>
      <c r="C1051" s="36"/>
      <c r="F1051" s="29"/>
      <c r="I1051" s="24"/>
      <c r="K1051" s="28"/>
      <c r="P1051" s="29"/>
      <c r="S1051" s="24"/>
    </row>
    <row r="1052" ht="15.75" hidden="1" customHeight="1">
      <c r="A1052" s="34"/>
      <c r="B1052" s="35"/>
      <c r="C1052" s="35"/>
      <c r="F1052" s="29"/>
      <c r="I1052" s="24"/>
      <c r="K1052" s="28"/>
      <c r="P1052" s="29"/>
      <c r="S1052" s="24"/>
    </row>
    <row r="1053" ht="15.75" hidden="1" customHeight="1">
      <c r="A1053" s="34"/>
      <c r="B1053" s="35"/>
      <c r="C1053" s="35"/>
      <c r="F1053" s="29"/>
      <c r="I1053" s="24"/>
      <c r="K1053" s="28"/>
      <c r="P1053" s="29"/>
      <c r="S1053" s="24"/>
    </row>
    <row r="1054" ht="15.75" hidden="1" customHeight="1">
      <c r="A1054" s="34"/>
      <c r="B1054" s="35"/>
      <c r="C1054" s="35"/>
      <c r="F1054" s="29"/>
      <c r="I1054" s="24"/>
      <c r="K1054" s="28"/>
      <c r="P1054" s="29"/>
      <c r="S1054" s="24"/>
    </row>
    <row r="1055" ht="15.75" hidden="1" customHeight="1">
      <c r="A1055" s="34"/>
      <c r="B1055" s="35"/>
      <c r="C1055" s="35"/>
      <c r="F1055" s="29"/>
      <c r="I1055" s="24"/>
      <c r="K1055" s="28"/>
      <c r="P1055" s="29"/>
      <c r="S1055" s="24"/>
    </row>
    <row r="1056" ht="15.75" hidden="1" customHeight="1">
      <c r="A1056" s="34"/>
      <c r="B1056" s="36"/>
      <c r="C1056" s="36"/>
      <c r="F1056" s="29"/>
      <c r="I1056" s="24"/>
      <c r="K1056" s="28"/>
      <c r="P1056" s="29"/>
      <c r="S1056" s="24"/>
    </row>
    <row r="1057" ht="15.75" hidden="1" customHeight="1">
      <c r="A1057" s="34"/>
      <c r="B1057" s="36"/>
      <c r="C1057" s="36"/>
      <c r="F1057" s="29"/>
      <c r="I1057" s="24"/>
      <c r="K1057" s="28"/>
      <c r="P1057" s="29"/>
      <c r="S1057" s="24"/>
    </row>
    <row r="1058" ht="15.75" hidden="1" customHeight="1">
      <c r="A1058" s="34"/>
      <c r="B1058" s="36"/>
      <c r="C1058" s="36"/>
      <c r="F1058" s="29"/>
      <c r="I1058" s="24"/>
      <c r="K1058" s="28"/>
      <c r="P1058" s="29"/>
      <c r="S1058" s="24"/>
    </row>
    <row r="1059" ht="15.75" hidden="1" customHeight="1">
      <c r="A1059" s="34"/>
      <c r="B1059" s="36"/>
      <c r="C1059" s="36"/>
      <c r="F1059" s="29"/>
      <c r="I1059" s="24"/>
      <c r="K1059" s="28"/>
      <c r="P1059" s="29"/>
      <c r="S1059" s="24"/>
    </row>
    <row r="1060" ht="15.75" hidden="1" customHeight="1">
      <c r="A1060" s="34"/>
      <c r="B1060" s="35"/>
      <c r="C1060" s="35"/>
      <c r="F1060" s="29"/>
      <c r="I1060" s="24"/>
      <c r="K1060" s="28"/>
      <c r="P1060" s="29"/>
      <c r="S1060" s="24"/>
    </row>
    <row r="1061" ht="15.75" hidden="1" customHeight="1">
      <c r="A1061" s="34"/>
      <c r="B1061" s="35"/>
      <c r="C1061" s="35"/>
      <c r="F1061" s="29"/>
      <c r="I1061" s="24"/>
      <c r="K1061" s="28"/>
      <c r="P1061" s="29"/>
      <c r="S1061" s="24"/>
    </row>
    <row r="1062" ht="15.75" hidden="1" customHeight="1">
      <c r="A1062" s="34"/>
      <c r="B1062" s="35"/>
      <c r="C1062" s="35"/>
      <c r="F1062" s="29"/>
      <c r="I1062" s="24"/>
      <c r="K1062" s="28"/>
      <c r="P1062" s="29"/>
      <c r="S1062" s="24"/>
    </row>
    <row r="1063" ht="15.75" hidden="1" customHeight="1">
      <c r="A1063" s="34"/>
      <c r="B1063" s="35"/>
      <c r="C1063" s="35"/>
      <c r="F1063" s="29"/>
      <c r="I1063" s="24"/>
      <c r="K1063" s="28"/>
      <c r="P1063" s="29"/>
      <c r="S1063" s="24"/>
    </row>
    <row r="1064" ht="15.75" hidden="1" customHeight="1">
      <c r="A1064" s="34"/>
      <c r="B1064" s="36"/>
      <c r="C1064" s="36"/>
      <c r="F1064" s="29"/>
      <c r="I1064" s="24"/>
      <c r="K1064" s="28"/>
      <c r="P1064" s="29"/>
      <c r="S1064" s="24"/>
    </row>
    <row r="1065" ht="15.75" hidden="1" customHeight="1">
      <c r="A1065" s="34"/>
      <c r="B1065" s="36"/>
      <c r="C1065" s="36"/>
      <c r="F1065" s="29"/>
      <c r="I1065" s="24"/>
      <c r="K1065" s="28"/>
      <c r="P1065" s="29"/>
      <c r="S1065" s="24"/>
    </row>
    <row r="1066" ht="15.75" hidden="1" customHeight="1">
      <c r="A1066" s="34"/>
      <c r="B1066" s="35"/>
      <c r="C1066" s="35"/>
      <c r="F1066" s="29"/>
      <c r="I1066" s="24"/>
      <c r="K1066" s="28"/>
      <c r="P1066" s="29"/>
      <c r="S1066" s="24"/>
    </row>
    <row r="1067" ht="15.75" hidden="1" customHeight="1">
      <c r="A1067" s="34"/>
      <c r="B1067" s="35"/>
      <c r="C1067" s="35"/>
      <c r="F1067" s="29"/>
      <c r="I1067" s="24"/>
      <c r="K1067" s="28"/>
      <c r="P1067" s="29"/>
      <c r="S1067" s="24"/>
    </row>
    <row r="1068" ht="15.75" hidden="1" customHeight="1">
      <c r="A1068" s="34"/>
      <c r="B1068" s="35"/>
      <c r="C1068" s="35"/>
      <c r="F1068" s="29"/>
      <c r="I1068" s="24"/>
      <c r="K1068" s="28"/>
      <c r="P1068" s="29"/>
      <c r="S1068" s="24"/>
    </row>
    <row r="1069" ht="15.75" hidden="1" customHeight="1">
      <c r="A1069" s="34"/>
      <c r="B1069" s="35"/>
      <c r="C1069" s="35"/>
      <c r="F1069" s="29"/>
      <c r="I1069" s="24"/>
      <c r="K1069" s="28"/>
      <c r="P1069" s="29"/>
      <c r="S1069" s="24"/>
    </row>
    <row r="1070" ht="15.75" hidden="1" customHeight="1">
      <c r="A1070" s="34"/>
      <c r="B1070" s="35"/>
      <c r="C1070" s="35"/>
      <c r="F1070" s="29"/>
      <c r="I1070" s="24"/>
      <c r="K1070" s="28"/>
      <c r="P1070" s="29"/>
      <c r="S1070" s="24"/>
    </row>
    <row r="1071" ht="15.75" hidden="1" customHeight="1">
      <c r="A1071" s="34"/>
      <c r="B1071" s="36"/>
      <c r="C1071" s="36"/>
      <c r="F1071" s="29"/>
      <c r="I1071" s="24"/>
      <c r="K1071" s="28"/>
      <c r="P1071" s="29"/>
      <c r="S1071" s="24"/>
    </row>
    <row r="1072" ht="15.75" hidden="1" customHeight="1">
      <c r="A1072" s="34"/>
      <c r="B1072" s="36"/>
      <c r="C1072" s="36"/>
      <c r="F1072" s="29"/>
      <c r="I1072" s="24"/>
      <c r="K1072" s="28"/>
      <c r="P1072" s="29"/>
      <c r="S1072" s="24"/>
    </row>
    <row r="1073" ht="15.75" hidden="1" customHeight="1">
      <c r="A1073" s="34"/>
      <c r="B1073" s="35"/>
      <c r="C1073" s="35"/>
      <c r="F1073" s="29"/>
      <c r="I1073" s="24"/>
      <c r="K1073" s="28"/>
      <c r="P1073" s="29"/>
      <c r="S1073" s="24"/>
    </row>
    <row r="1074" ht="15.75" hidden="1" customHeight="1">
      <c r="A1074" s="34"/>
      <c r="B1074" s="35"/>
      <c r="C1074" s="35"/>
      <c r="F1074" s="29"/>
      <c r="I1074" s="24"/>
      <c r="K1074" s="28"/>
      <c r="P1074" s="29"/>
      <c r="S1074" s="24"/>
    </row>
    <row r="1075" ht="15.75" hidden="1" customHeight="1">
      <c r="A1075" s="34"/>
      <c r="B1075" s="35"/>
      <c r="C1075" s="35"/>
      <c r="F1075" s="29"/>
      <c r="I1075" s="24"/>
      <c r="K1075" s="28"/>
      <c r="P1075" s="29"/>
      <c r="S1075" s="24"/>
    </row>
    <row r="1076" ht="15.75" hidden="1" customHeight="1">
      <c r="A1076" s="34"/>
      <c r="B1076" s="35"/>
      <c r="C1076" s="35"/>
      <c r="F1076" s="29"/>
      <c r="I1076" s="24"/>
      <c r="K1076" s="28"/>
      <c r="P1076" s="29"/>
      <c r="S1076" s="24"/>
    </row>
    <row r="1077" ht="15.75" hidden="1" customHeight="1">
      <c r="A1077" s="34"/>
      <c r="B1077" s="35"/>
      <c r="C1077" s="35"/>
      <c r="F1077" s="29"/>
      <c r="I1077" s="24"/>
      <c r="K1077" s="28"/>
      <c r="P1077" s="29"/>
      <c r="S1077" s="24"/>
    </row>
    <row r="1078" ht="15.75" hidden="1" customHeight="1">
      <c r="A1078" s="34"/>
      <c r="B1078" s="36"/>
      <c r="C1078" s="36"/>
      <c r="F1078" s="29"/>
      <c r="I1078" s="24"/>
      <c r="K1078" s="28"/>
      <c r="P1078" s="29"/>
      <c r="S1078" s="24"/>
    </row>
    <row r="1079" ht="15.75" hidden="1" customHeight="1">
      <c r="A1079" s="34"/>
      <c r="B1079" s="36"/>
      <c r="C1079" s="36"/>
      <c r="F1079" s="29"/>
      <c r="I1079" s="24"/>
      <c r="K1079" s="28"/>
      <c r="P1079" s="29"/>
      <c r="S1079" s="24"/>
    </row>
    <row r="1080" ht="15.75" hidden="1" customHeight="1">
      <c r="A1080" s="34"/>
      <c r="B1080" s="35"/>
      <c r="C1080" s="35"/>
      <c r="F1080" s="29"/>
      <c r="I1080" s="24"/>
      <c r="K1080" s="28"/>
      <c r="P1080" s="29"/>
      <c r="S1080" s="24"/>
    </row>
    <row r="1081" ht="15.75" hidden="1" customHeight="1">
      <c r="A1081" s="34"/>
      <c r="B1081" s="35"/>
      <c r="C1081" s="35"/>
      <c r="F1081" s="29"/>
      <c r="I1081" s="24"/>
      <c r="K1081" s="28"/>
      <c r="P1081" s="29"/>
      <c r="S1081" s="24"/>
    </row>
    <row r="1082" ht="15.75" hidden="1" customHeight="1">
      <c r="A1082" s="34"/>
      <c r="B1082" s="35"/>
      <c r="C1082" s="35"/>
      <c r="F1082" s="29"/>
      <c r="I1082" s="24"/>
      <c r="K1082" s="28"/>
      <c r="P1082" s="29"/>
      <c r="S1082" s="24"/>
    </row>
    <row r="1083" ht="15.75" hidden="1" customHeight="1">
      <c r="A1083" s="34"/>
      <c r="B1083" s="35"/>
      <c r="C1083" s="35"/>
      <c r="F1083" s="29"/>
      <c r="I1083" s="24"/>
      <c r="K1083" s="28"/>
      <c r="P1083" s="29"/>
      <c r="S1083" s="24"/>
    </row>
    <row r="1084" ht="15.75" hidden="1" customHeight="1">
      <c r="A1084" s="34"/>
      <c r="B1084" s="35"/>
      <c r="C1084" s="35"/>
      <c r="F1084" s="29"/>
      <c r="I1084" s="24"/>
      <c r="K1084" s="28"/>
      <c r="P1084" s="29"/>
      <c r="S1084" s="24"/>
    </row>
    <row r="1085" ht="15.75" hidden="1" customHeight="1">
      <c r="A1085" s="34"/>
      <c r="B1085" s="36"/>
      <c r="C1085" s="36"/>
      <c r="F1085" s="29"/>
      <c r="I1085" s="24"/>
      <c r="K1085" s="28"/>
      <c r="P1085" s="29"/>
      <c r="S1085" s="24"/>
    </row>
    <row r="1086" ht="15.75" hidden="1" customHeight="1">
      <c r="A1086" s="34"/>
      <c r="B1086" s="36"/>
      <c r="C1086" s="36"/>
      <c r="F1086" s="29"/>
      <c r="I1086" s="24"/>
      <c r="K1086" s="28"/>
      <c r="P1086" s="29"/>
      <c r="S1086" s="24"/>
    </row>
    <row r="1087" ht="15.75" hidden="1" customHeight="1">
      <c r="A1087" s="34"/>
      <c r="B1087" s="35"/>
      <c r="C1087" s="35"/>
      <c r="F1087" s="29"/>
      <c r="I1087" s="24"/>
      <c r="K1087" s="28"/>
      <c r="P1087" s="29"/>
      <c r="S1087" s="24"/>
    </row>
    <row r="1088" ht="15.75" hidden="1" customHeight="1">
      <c r="A1088" s="34"/>
      <c r="B1088" s="35"/>
      <c r="C1088" s="35"/>
      <c r="F1088" s="29"/>
      <c r="I1088" s="24"/>
      <c r="K1088" s="28"/>
      <c r="P1088" s="29"/>
      <c r="S1088" s="24"/>
    </row>
    <row r="1089" ht="15.75" hidden="1" customHeight="1">
      <c r="A1089" s="34"/>
      <c r="B1089" s="35"/>
      <c r="C1089" s="35"/>
      <c r="F1089" s="29"/>
      <c r="I1089" s="24"/>
      <c r="K1089" s="28"/>
      <c r="P1089" s="29"/>
      <c r="S1089" s="24"/>
    </row>
    <row r="1090" ht="15.75" hidden="1" customHeight="1">
      <c r="A1090" s="34"/>
      <c r="B1090" s="35"/>
      <c r="C1090" s="35"/>
      <c r="F1090" s="29"/>
      <c r="I1090" s="24"/>
      <c r="K1090" s="28"/>
      <c r="P1090" s="29"/>
      <c r="S1090" s="24"/>
    </row>
    <row r="1091" ht="15.75" hidden="1" customHeight="1">
      <c r="A1091" s="34"/>
      <c r="B1091" s="35"/>
      <c r="C1091" s="35"/>
      <c r="F1091" s="29"/>
      <c r="I1091" s="24"/>
      <c r="K1091" s="28"/>
      <c r="P1091" s="29"/>
      <c r="S1091" s="24"/>
    </row>
    <row r="1092" ht="15.75" hidden="1" customHeight="1">
      <c r="A1092" s="34"/>
      <c r="B1092" s="36"/>
      <c r="C1092" s="36"/>
      <c r="F1092" s="29"/>
      <c r="I1092" s="24"/>
      <c r="K1092" s="28"/>
      <c r="P1092" s="29"/>
      <c r="S1092" s="24"/>
    </row>
    <row r="1093" ht="15.75" hidden="1" customHeight="1">
      <c r="A1093" s="34"/>
      <c r="B1093" s="36"/>
      <c r="C1093" s="36"/>
      <c r="F1093" s="29"/>
      <c r="I1093" s="24"/>
      <c r="K1093" s="28"/>
      <c r="P1093" s="29"/>
      <c r="S1093" s="24"/>
    </row>
    <row r="1094" ht="15.75" hidden="1" customHeight="1">
      <c r="A1094" s="34"/>
      <c r="B1094" s="35"/>
      <c r="C1094" s="35"/>
      <c r="F1094" s="29"/>
      <c r="I1094" s="24"/>
      <c r="K1094" s="28"/>
      <c r="P1094" s="29"/>
      <c r="S1094" s="24"/>
    </row>
    <row r="1095" ht="15.75" hidden="1" customHeight="1">
      <c r="A1095" s="34"/>
      <c r="B1095" s="35"/>
      <c r="C1095" s="35"/>
      <c r="F1095" s="29"/>
      <c r="I1095" s="24"/>
      <c r="K1095" s="28"/>
      <c r="P1095" s="29"/>
      <c r="S1095" s="24"/>
    </row>
    <row r="1096" ht="15.75" hidden="1" customHeight="1">
      <c r="A1096" s="34"/>
      <c r="B1096" s="35"/>
      <c r="C1096" s="35"/>
      <c r="F1096" s="29"/>
      <c r="I1096" s="24"/>
      <c r="K1096" s="28"/>
      <c r="P1096" s="29"/>
      <c r="S1096" s="24"/>
    </row>
    <row r="1097" ht="15.75" hidden="1" customHeight="1">
      <c r="A1097" s="34"/>
      <c r="B1097" s="35"/>
      <c r="C1097" s="35"/>
      <c r="F1097" s="29"/>
      <c r="I1097" s="24"/>
      <c r="K1097" s="28"/>
      <c r="P1097" s="29"/>
      <c r="S1097" s="24"/>
    </row>
    <row r="1098" ht="15.75" hidden="1" customHeight="1">
      <c r="A1098" s="34"/>
      <c r="B1098" s="35"/>
      <c r="C1098" s="35"/>
      <c r="F1098" s="29"/>
      <c r="I1098" s="24"/>
      <c r="K1098" s="28"/>
      <c r="P1098" s="29"/>
      <c r="S1098" s="24"/>
    </row>
    <row r="1099" ht="15.75" hidden="1" customHeight="1">
      <c r="A1099" s="34"/>
      <c r="B1099" s="36"/>
      <c r="C1099" s="36"/>
      <c r="F1099" s="29"/>
      <c r="I1099" s="24"/>
      <c r="K1099" s="28"/>
      <c r="P1099" s="29"/>
      <c r="S1099" s="24"/>
    </row>
    <row r="1100" ht="15.75" hidden="1" customHeight="1">
      <c r="A1100" s="34"/>
      <c r="B1100" s="36"/>
      <c r="C1100" s="36"/>
      <c r="F1100" s="29"/>
      <c r="I1100" s="24"/>
      <c r="K1100" s="28"/>
      <c r="P1100" s="29"/>
      <c r="S1100" s="24"/>
    </row>
    <row r="1101" ht="15.75" hidden="1" customHeight="1">
      <c r="A1101" s="34"/>
      <c r="B1101" s="35"/>
      <c r="C1101" s="35"/>
      <c r="F1101" s="29"/>
      <c r="I1101" s="24"/>
      <c r="K1101" s="28"/>
      <c r="P1101" s="29"/>
      <c r="S1101" s="24"/>
    </row>
    <row r="1102" ht="15.75" hidden="1" customHeight="1">
      <c r="A1102" s="34"/>
      <c r="B1102" s="35"/>
      <c r="C1102" s="35"/>
      <c r="F1102" s="29"/>
      <c r="I1102" s="24"/>
      <c r="K1102" s="28"/>
      <c r="P1102" s="29"/>
      <c r="S1102" s="24"/>
    </row>
    <row r="1103" ht="15.75" hidden="1" customHeight="1">
      <c r="A1103" s="34"/>
      <c r="B1103" s="35"/>
      <c r="C1103" s="35"/>
      <c r="F1103" s="29"/>
      <c r="I1103" s="24"/>
      <c r="K1103" s="28"/>
      <c r="P1103" s="29"/>
      <c r="S1103" s="24"/>
    </row>
    <row r="1104" ht="15.75" hidden="1" customHeight="1">
      <c r="A1104" s="34"/>
      <c r="B1104" s="35"/>
      <c r="C1104" s="35"/>
      <c r="F1104" s="29"/>
      <c r="I1104" s="24"/>
      <c r="K1104" s="28"/>
      <c r="P1104" s="29"/>
      <c r="S1104" s="24"/>
    </row>
    <row r="1105" ht="15.75" hidden="1" customHeight="1">
      <c r="A1105" s="34"/>
      <c r="B1105" s="35"/>
      <c r="C1105" s="35"/>
      <c r="F1105" s="29"/>
      <c r="I1105" s="24"/>
      <c r="K1105" s="28"/>
      <c r="P1105" s="29"/>
      <c r="S1105" s="24"/>
    </row>
    <row r="1106" ht="15.75" hidden="1" customHeight="1">
      <c r="A1106" s="34"/>
      <c r="B1106" s="36"/>
      <c r="C1106" s="36"/>
      <c r="F1106" s="29"/>
      <c r="I1106" s="24"/>
      <c r="K1106" s="28"/>
      <c r="P1106" s="29"/>
      <c r="S1106" s="24"/>
    </row>
    <row r="1107" ht="15.75" hidden="1" customHeight="1">
      <c r="A1107" s="34"/>
      <c r="B1107" s="36"/>
      <c r="C1107" s="36"/>
      <c r="F1107" s="29"/>
      <c r="I1107" s="24"/>
      <c r="K1107" s="28"/>
      <c r="P1107" s="29"/>
      <c r="S1107" s="24"/>
    </row>
    <row r="1108" ht="15.75" hidden="1" customHeight="1">
      <c r="A1108" s="34"/>
      <c r="B1108" s="35"/>
      <c r="C1108" s="35"/>
      <c r="F1108" s="29"/>
      <c r="I1108" s="24"/>
      <c r="K1108" s="28"/>
      <c r="P1108" s="29"/>
      <c r="S1108" s="24"/>
    </row>
    <row r="1109" ht="15.75" hidden="1" customHeight="1">
      <c r="A1109" s="34"/>
      <c r="B1109" s="35"/>
      <c r="C1109" s="35"/>
      <c r="F1109" s="29"/>
      <c r="I1109" s="24"/>
      <c r="K1109" s="28"/>
      <c r="P1109" s="29"/>
      <c r="S1109" s="24"/>
    </row>
    <row r="1110" ht="15.75" hidden="1" customHeight="1">
      <c r="A1110" s="34"/>
      <c r="B1110" s="35"/>
      <c r="C1110" s="35"/>
      <c r="F1110" s="29"/>
      <c r="I1110" s="24"/>
      <c r="K1110" s="28"/>
      <c r="P1110" s="29"/>
      <c r="S1110" s="24"/>
    </row>
    <row r="1111" ht="15.75" hidden="1" customHeight="1">
      <c r="A1111" s="34"/>
      <c r="B1111" s="35"/>
      <c r="C1111" s="35"/>
      <c r="F1111" s="29"/>
      <c r="I1111" s="24"/>
      <c r="K1111" s="28"/>
      <c r="P1111" s="29"/>
      <c r="S1111" s="24"/>
    </row>
    <row r="1112" ht="15.75" hidden="1" customHeight="1">
      <c r="A1112" s="34"/>
      <c r="B1112" s="35"/>
      <c r="C1112" s="35"/>
      <c r="F1112" s="29"/>
      <c r="I1112" s="24"/>
      <c r="K1112" s="28"/>
      <c r="P1112" s="29"/>
      <c r="S1112" s="24"/>
    </row>
    <row r="1113" ht="15.75" hidden="1" customHeight="1">
      <c r="A1113" s="34"/>
      <c r="B1113" s="36"/>
      <c r="C1113" s="36"/>
      <c r="F1113" s="29"/>
      <c r="I1113" s="24"/>
      <c r="K1113" s="28"/>
      <c r="P1113" s="29"/>
      <c r="S1113" s="24"/>
    </row>
    <row r="1114" ht="15.75" hidden="1" customHeight="1">
      <c r="A1114" s="34"/>
      <c r="B1114" s="36"/>
      <c r="C1114" s="36"/>
      <c r="F1114" s="29"/>
      <c r="I1114" s="24"/>
      <c r="K1114" s="28"/>
      <c r="P1114" s="29"/>
      <c r="S1114" s="24"/>
    </row>
    <row r="1115" ht="15.75" hidden="1" customHeight="1">
      <c r="A1115" s="34"/>
      <c r="B1115" s="35"/>
      <c r="C1115" s="35"/>
      <c r="F1115" s="29"/>
      <c r="I1115" s="24"/>
      <c r="K1115" s="28"/>
      <c r="P1115" s="29"/>
      <c r="S1115" s="24"/>
    </row>
    <row r="1116" ht="15.75" hidden="1" customHeight="1">
      <c r="A1116" s="34"/>
      <c r="B1116" s="35"/>
      <c r="C1116" s="35"/>
      <c r="F1116" s="29"/>
      <c r="I1116" s="24"/>
      <c r="K1116" s="28"/>
      <c r="P1116" s="29"/>
      <c r="S1116" s="24"/>
    </row>
    <row r="1117" ht="15.75" hidden="1" customHeight="1">
      <c r="A1117" s="34"/>
      <c r="B1117" s="35"/>
      <c r="C1117" s="35"/>
      <c r="F1117" s="29"/>
      <c r="I1117" s="24"/>
      <c r="K1117" s="28"/>
      <c r="P1117" s="29"/>
      <c r="S1117" s="24"/>
    </row>
    <row r="1118" ht="15.75" hidden="1" customHeight="1">
      <c r="A1118" s="34"/>
      <c r="B1118" s="35"/>
      <c r="C1118" s="35"/>
      <c r="F1118" s="29"/>
      <c r="I1118" s="24"/>
      <c r="K1118" s="28"/>
      <c r="P1118" s="29"/>
      <c r="S1118" s="24"/>
    </row>
    <row r="1119" ht="15.75" hidden="1" customHeight="1">
      <c r="A1119" s="34"/>
      <c r="B1119" s="35"/>
      <c r="C1119" s="35"/>
      <c r="F1119" s="29"/>
      <c r="I1119" s="24"/>
      <c r="K1119" s="28"/>
      <c r="P1119" s="29"/>
      <c r="S1119" s="24"/>
    </row>
    <row r="1120" ht="15.75" hidden="1" customHeight="1">
      <c r="A1120" s="34"/>
      <c r="B1120" s="36"/>
      <c r="C1120" s="36"/>
      <c r="F1120" s="29"/>
      <c r="I1120" s="24"/>
      <c r="K1120" s="28"/>
      <c r="P1120" s="29"/>
      <c r="S1120" s="24"/>
    </row>
    <row r="1121" ht="15.75" hidden="1" customHeight="1">
      <c r="A1121" s="34"/>
      <c r="B1121" s="36"/>
      <c r="C1121" s="36"/>
      <c r="F1121" s="29"/>
      <c r="I1121" s="24"/>
      <c r="K1121" s="28"/>
      <c r="P1121" s="29"/>
      <c r="S1121" s="24"/>
    </row>
    <row r="1122" ht="15.75" hidden="1" customHeight="1">
      <c r="A1122" s="34"/>
      <c r="B1122" s="35"/>
      <c r="C1122" s="35"/>
      <c r="F1122" s="29"/>
      <c r="I1122" s="24"/>
      <c r="K1122" s="28"/>
      <c r="P1122" s="29"/>
      <c r="S1122" s="24"/>
    </row>
    <row r="1123" ht="15.75" hidden="1" customHeight="1">
      <c r="A1123" s="34"/>
      <c r="B1123" s="35"/>
      <c r="C1123" s="35"/>
      <c r="F1123" s="29"/>
      <c r="I1123" s="24"/>
      <c r="K1123" s="28"/>
      <c r="P1123" s="29"/>
      <c r="S1123" s="24"/>
    </row>
    <row r="1124" ht="15.75" hidden="1" customHeight="1">
      <c r="A1124" s="34"/>
      <c r="B1124" s="35"/>
      <c r="C1124" s="35"/>
      <c r="F1124" s="29"/>
      <c r="I1124" s="24"/>
      <c r="K1124" s="28"/>
      <c r="P1124" s="29"/>
      <c r="S1124" s="24"/>
    </row>
    <row r="1125" ht="15.75" hidden="1" customHeight="1">
      <c r="A1125" s="34"/>
      <c r="B1125" s="35"/>
      <c r="C1125" s="35"/>
      <c r="F1125" s="29"/>
      <c r="I1125" s="24"/>
      <c r="K1125" s="28"/>
      <c r="P1125" s="29"/>
      <c r="S1125" s="24"/>
    </row>
    <row r="1126" ht="15.75" hidden="1" customHeight="1">
      <c r="A1126" s="34"/>
      <c r="B1126" s="35"/>
      <c r="C1126" s="35"/>
      <c r="F1126" s="29"/>
      <c r="I1126" s="24"/>
      <c r="K1126" s="28"/>
      <c r="P1126" s="29"/>
      <c r="S1126" s="24"/>
    </row>
    <row r="1127" ht="15.75" hidden="1" customHeight="1">
      <c r="A1127" s="34"/>
      <c r="B1127" s="36"/>
      <c r="C1127" s="36"/>
      <c r="F1127" s="29"/>
      <c r="I1127" s="24"/>
      <c r="K1127" s="28"/>
      <c r="P1127" s="29"/>
      <c r="S1127" s="24"/>
    </row>
    <row r="1128" ht="15.75" hidden="1" customHeight="1">
      <c r="A1128" s="34"/>
      <c r="B1128" s="36"/>
      <c r="C1128" s="36"/>
      <c r="F1128" s="29"/>
      <c r="I1128" s="24"/>
      <c r="K1128" s="28"/>
      <c r="P1128" s="29"/>
      <c r="S1128" s="24"/>
    </row>
    <row r="1129" ht="15.75" hidden="1" customHeight="1">
      <c r="A1129" s="34"/>
      <c r="B1129" s="35"/>
      <c r="C1129" s="35"/>
      <c r="F1129" s="29"/>
      <c r="I1129" s="24"/>
      <c r="K1129" s="28"/>
      <c r="P1129" s="29"/>
      <c r="S1129" s="24"/>
    </row>
    <row r="1130" ht="15.75" hidden="1" customHeight="1">
      <c r="A1130" s="34"/>
      <c r="B1130" s="35"/>
      <c r="C1130" s="35"/>
      <c r="F1130" s="29"/>
      <c r="I1130" s="24"/>
      <c r="K1130" s="28"/>
      <c r="P1130" s="29"/>
      <c r="S1130" s="24"/>
    </row>
    <row r="1131" ht="15.75" hidden="1" customHeight="1">
      <c r="A1131" s="34"/>
      <c r="B1131" s="35"/>
      <c r="C1131" s="35"/>
      <c r="F1131" s="29"/>
      <c r="I1131" s="24"/>
      <c r="K1131" s="28"/>
      <c r="P1131" s="29"/>
      <c r="S1131" s="24"/>
    </row>
    <row r="1132" ht="15.75" hidden="1" customHeight="1">
      <c r="A1132" s="34"/>
      <c r="B1132" s="35"/>
      <c r="C1132" s="35"/>
      <c r="F1132" s="29"/>
      <c r="I1132" s="24"/>
      <c r="K1132" s="28"/>
      <c r="P1132" s="29"/>
      <c r="S1132" s="24"/>
    </row>
    <row r="1133" ht="15.75" hidden="1" customHeight="1">
      <c r="A1133" s="34"/>
      <c r="B1133" s="35"/>
      <c r="C1133" s="35"/>
      <c r="F1133" s="29"/>
      <c r="I1133" s="24"/>
      <c r="K1133" s="28"/>
      <c r="P1133" s="29"/>
      <c r="S1133" s="24"/>
    </row>
    <row r="1134" ht="15.75" hidden="1" customHeight="1">
      <c r="A1134" s="34"/>
      <c r="B1134" s="36"/>
      <c r="C1134" s="36"/>
      <c r="F1134" s="29"/>
      <c r="I1134" s="24"/>
      <c r="K1134" s="28"/>
      <c r="P1134" s="29"/>
      <c r="S1134" s="24"/>
    </row>
    <row r="1135" ht="15.75" hidden="1" customHeight="1">
      <c r="A1135" s="34"/>
      <c r="B1135" s="36"/>
      <c r="C1135" s="36"/>
      <c r="F1135" s="29"/>
      <c r="I1135" s="24"/>
      <c r="K1135" s="28"/>
      <c r="P1135" s="29"/>
      <c r="S1135" s="24"/>
    </row>
    <row r="1136" ht="15.75" hidden="1" customHeight="1">
      <c r="A1136" s="34"/>
      <c r="B1136" s="35"/>
      <c r="C1136" s="35"/>
      <c r="F1136" s="29"/>
      <c r="I1136" s="24"/>
      <c r="K1136" s="28"/>
      <c r="P1136" s="29"/>
      <c r="S1136" s="24"/>
    </row>
    <row r="1137" ht="15.75" hidden="1" customHeight="1">
      <c r="A1137" s="34"/>
      <c r="B1137" s="35"/>
      <c r="C1137" s="35"/>
      <c r="F1137" s="29"/>
      <c r="I1137" s="24"/>
      <c r="K1137" s="28"/>
      <c r="P1137" s="29"/>
      <c r="S1137" s="24"/>
    </row>
    <row r="1138" ht="15.75" hidden="1" customHeight="1">
      <c r="A1138" s="34"/>
      <c r="B1138" s="35"/>
      <c r="C1138" s="35"/>
      <c r="F1138" s="29"/>
      <c r="I1138" s="24"/>
      <c r="K1138" s="28"/>
      <c r="P1138" s="29"/>
      <c r="S1138" s="24"/>
    </row>
    <row r="1139" ht="15.75" hidden="1" customHeight="1">
      <c r="A1139" s="34"/>
      <c r="B1139" s="35"/>
      <c r="C1139" s="35"/>
      <c r="F1139" s="29"/>
      <c r="I1139" s="24"/>
      <c r="K1139" s="28"/>
      <c r="P1139" s="29"/>
      <c r="S1139" s="24"/>
    </row>
    <row r="1140" ht="15.75" hidden="1" customHeight="1">
      <c r="A1140" s="34"/>
      <c r="B1140" s="35"/>
      <c r="C1140" s="35"/>
      <c r="F1140" s="29"/>
      <c r="I1140" s="24"/>
      <c r="K1140" s="28"/>
      <c r="P1140" s="29"/>
      <c r="S1140" s="24"/>
    </row>
    <row r="1141" ht="15.75" hidden="1" customHeight="1">
      <c r="A1141" s="34"/>
      <c r="B1141" s="36"/>
      <c r="C1141" s="36"/>
      <c r="F1141" s="29"/>
      <c r="I1141" s="24"/>
      <c r="K1141" s="28"/>
      <c r="P1141" s="29"/>
      <c r="S1141" s="24"/>
    </row>
    <row r="1142" ht="15.75" hidden="1" customHeight="1">
      <c r="A1142" s="34"/>
      <c r="B1142" s="36"/>
      <c r="C1142" s="36"/>
      <c r="F1142" s="29"/>
      <c r="I1142" s="24"/>
      <c r="K1142" s="28"/>
      <c r="P1142" s="29"/>
      <c r="S1142" s="24"/>
    </row>
    <row r="1143" ht="15.75" hidden="1" customHeight="1">
      <c r="A1143" s="34"/>
      <c r="B1143" s="35"/>
      <c r="C1143" s="35"/>
      <c r="F1143" s="29"/>
      <c r="I1143" s="24"/>
      <c r="K1143" s="28"/>
      <c r="P1143" s="29"/>
      <c r="S1143" s="24"/>
    </row>
    <row r="1144" ht="15.75" hidden="1" customHeight="1">
      <c r="A1144" s="34"/>
      <c r="B1144" s="35"/>
      <c r="C1144" s="35"/>
      <c r="F1144" s="29"/>
      <c r="I1144" s="24"/>
      <c r="K1144" s="28"/>
      <c r="P1144" s="29"/>
      <c r="S1144" s="24"/>
    </row>
    <row r="1145" ht="15.75" hidden="1" customHeight="1">
      <c r="A1145" s="34"/>
      <c r="B1145" s="35"/>
      <c r="C1145" s="35"/>
      <c r="F1145" s="29"/>
      <c r="I1145" s="24"/>
      <c r="K1145" s="28"/>
      <c r="P1145" s="29"/>
      <c r="S1145" s="24"/>
    </row>
    <row r="1146" ht="15.75" hidden="1" customHeight="1">
      <c r="A1146" s="34"/>
      <c r="B1146" s="35"/>
      <c r="C1146" s="35"/>
      <c r="F1146" s="29"/>
      <c r="I1146" s="24"/>
      <c r="K1146" s="28"/>
      <c r="P1146" s="29"/>
      <c r="S1146" s="24"/>
    </row>
    <row r="1147" ht="15.75" hidden="1" customHeight="1">
      <c r="A1147" s="34"/>
      <c r="B1147" s="35"/>
      <c r="C1147" s="35"/>
      <c r="F1147" s="29"/>
      <c r="I1147" s="24"/>
      <c r="K1147" s="28"/>
      <c r="P1147" s="29"/>
      <c r="S1147" s="24"/>
    </row>
    <row r="1148" ht="15.75" hidden="1" customHeight="1">
      <c r="A1148" s="34"/>
      <c r="B1148" s="36"/>
      <c r="C1148" s="36"/>
      <c r="F1148" s="29"/>
      <c r="I1148" s="24"/>
      <c r="K1148" s="28"/>
      <c r="P1148" s="29"/>
      <c r="S1148" s="24"/>
    </row>
    <row r="1149" ht="15.75" hidden="1" customHeight="1">
      <c r="A1149" s="34"/>
      <c r="B1149" s="36"/>
      <c r="C1149" s="36"/>
      <c r="F1149" s="29"/>
      <c r="I1149" s="24"/>
      <c r="K1149" s="28"/>
      <c r="P1149" s="29"/>
      <c r="S1149" s="24"/>
    </row>
    <row r="1150" ht="15.75" hidden="1" customHeight="1">
      <c r="A1150" s="34"/>
      <c r="B1150" s="36"/>
      <c r="C1150" s="36"/>
      <c r="F1150" s="29"/>
      <c r="I1150" s="24"/>
      <c r="K1150" s="28"/>
      <c r="P1150" s="29"/>
      <c r="S1150" s="24"/>
    </row>
    <row r="1151" ht="15.75" hidden="1" customHeight="1">
      <c r="A1151" s="34"/>
      <c r="B1151" s="35"/>
      <c r="C1151" s="35"/>
      <c r="F1151" s="29"/>
      <c r="I1151" s="24"/>
      <c r="K1151" s="28"/>
      <c r="P1151" s="29"/>
      <c r="S1151" s="24"/>
    </row>
    <row r="1152" ht="15.75" hidden="1" customHeight="1">
      <c r="A1152" s="34"/>
      <c r="B1152" s="35"/>
      <c r="C1152" s="35"/>
      <c r="F1152" s="29"/>
      <c r="I1152" s="24"/>
      <c r="K1152" s="28"/>
      <c r="P1152" s="29"/>
      <c r="S1152" s="24"/>
    </row>
    <row r="1153" ht="15.75" hidden="1" customHeight="1">
      <c r="A1153" s="34"/>
      <c r="B1153" s="35"/>
      <c r="C1153" s="35"/>
      <c r="F1153" s="29"/>
      <c r="I1153" s="24"/>
      <c r="K1153" s="28"/>
      <c r="P1153" s="29"/>
      <c r="S1153" s="24"/>
    </row>
    <row r="1154" ht="15.75" hidden="1" customHeight="1">
      <c r="A1154" s="34"/>
      <c r="B1154" s="36"/>
      <c r="C1154" s="36"/>
      <c r="F1154" s="29"/>
      <c r="I1154" s="24"/>
      <c r="K1154" s="28"/>
      <c r="P1154" s="29"/>
      <c r="S1154" s="24"/>
    </row>
    <row r="1155" ht="15.75" hidden="1" customHeight="1">
      <c r="A1155" s="34"/>
      <c r="B1155" s="36"/>
      <c r="C1155" s="36"/>
      <c r="F1155" s="29"/>
      <c r="I1155" s="24"/>
      <c r="K1155" s="28"/>
      <c r="P1155" s="29"/>
      <c r="S1155" s="24"/>
    </row>
    <row r="1156" ht="15.75" hidden="1" customHeight="1">
      <c r="A1156" s="34"/>
      <c r="B1156" s="36"/>
      <c r="C1156" s="36"/>
      <c r="F1156" s="29"/>
      <c r="I1156" s="24"/>
      <c r="K1156" s="28"/>
      <c r="P1156" s="29"/>
      <c r="S1156" s="24"/>
    </row>
    <row r="1157" ht="15.75" hidden="1" customHeight="1">
      <c r="A1157" s="34"/>
      <c r="B1157" s="36"/>
      <c r="C1157" s="36"/>
      <c r="F1157" s="29"/>
      <c r="I1157" s="24"/>
      <c r="K1157" s="28"/>
      <c r="P1157" s="29"/>
      <c r="S1157" s="24"/>
    </row>
    <row r="1158" ht="15.75" hidden="1" customHeight="1">
      <c r="A1158" s="34"/>
      <c r="B1158" s="35"/>
      <c r="C1158" s="35"/>
      <c r="F1158" s="29"/>
      <c r="I1158" s="24"/>
      <c r="K1158" s="28"/>
      <c r="P1158" s="29"/>
      <c r="S1158" s="24"/>
    </row>
    <row r="1159" ht="15.75" hidden="1" customHeight="1">
      <c r="A1159" s="34"/>
      <c r="B1159" s="35"/>
      <c r="C1159" s="35"/>
      <c r="F1159" s="29"/>
      <c r="I1159" s="24"/>
      <c r="K1159" s="28"/>
      <c r="P1159" s="29"/>
      <c r="S1159" s="24"/>
    </row>
    <row r="1160" ht="15.75" hidden="1" customHeight="1">
      <c r="A1160" s="34"/>
      <c r="B1160" s="35"/>
      <c r="C1160" s="35"/>
      <c r="F1160" s="29"/>
      <c r="I1160" s="24"/>
      <c r="K1160" s="28"/>
      <c r="P1160" s="29"/>
      <c r="S1160" s="24"/>
    </row>
    <row r="1161" ht="15.75" hidden="1" customHeight="1">
      <c r="A1161" s="34"/>
      <c r="B1161" s="35"/>
      <c r="C1161" s="35"/>
      <c r="F1161" s="29"/>
      <c r="I1161" s="24"/>
      <c r="K1161" s="28"/>
      <c r="P1161" s="29"/>
      <c r="S1161" s="24"/>
    </row>
    <row r="1162" ht="15.75" hidden="1" customHeight="1">
      <c r="A1162" s="34"/>
      <c r="B1162" s="36"/>
      <c r="C1162" s="36"/>
      <c r="F1162" s="29"/>
      <c r="I1162" s="24"/>
      <c r="K1162" s="28"/>
      <c r="P1162" s="29"/>
      <c r="S1162" s="24"/>
    </row>
    <row r="1163" ht="15.75" hidden="1" customHeight="1">
      <c r="A1163" s="34"/>
      <c r="B1163" s="36"/>
      <c r="C1163" s="36"/>
      <c r="F1163" s="29"/>
      <c r="I1163" s="24"/>
      <c r="K1163" s="28"/>
      <c r="P1163" s="29"/>
      <c r="S1163" s="24"/>
    </row>
    <row r="1164" ht="15.75" hidden="1" customHeight="1">
      <c r="A1164" s="34"/>
      <c r="B1164" s="35"/>
      <c r="C1164" s="35"/>
      <c r="F1164" s="29"/>
      <c r="I1164" s="24"/>
      <c r="K1164" s="28"/>
      <c r="P1164" s="29"/>
      <c r="S1164" s="24"/>
    </row>
    <row r="1165" ht="15.75" hidden="1" customHeight="1">
      <c r="A1165" s="34"/>
      <c r="B1165" s="35"/>
      <c r="C1165" s="35"/>
      <c r="F1165" s="29"/>
      <c r="I1165" s="24"/>
      <c r="K1165" s="28"/>
      <c r="P1165" s="29"/>
      <c r="S1165" s="24"/>
    </row>
    <row r="1166" ht="15.75" hidden="1" customHeight="1">
      <c r="A1166" s="34"/>
      <c r="B1166" s="35"/>
      <c r="C1166" s="35"/>
      <c r="F1166" s="29"/>
      <c r="I1166" s="24"/>
      <c r="K1166" s="28"/>
      <c r="P1166" s="29"/>
      <c r="S1166" s="24"/>
    </row>
    <row r="1167" ht="15.75" hidden="1" customHeight="1">
      <c r="A1167" s="34"/>
      <c r="B1167" s="35"/>
      <c r="C1167" s="35"/>
      <c r="F1167" s="29"/>
      <c r="I1167" s="24"/>
      <c r="K1167" s="28"/>
      <c r="P1167" s="29"/>
      <c r="S1167" s="24"/>
    </row>
    <row r="1168" ht="15.75" hidden="1" customHeight="1">
      <c r="A1168" s="34"/>
      <c r="B1168" s="35"/>
      <c r="C1168" s="35"/>
      <c r="F1168" s="29"/>
      <c r="I1168" s="24"/>
      <c r="K1168" s="28"/>
      <c r="P1168" s="29"/>
      <c r="S1168" s="24"/>
    </row>
    <row r="1169" ht="15.75" hidden="1" customHeight="1">
      <c r="A1169" s="34"/>
      <c r="B1169" s="36"/>
      <c r="C1169" s="36"/>
      <c r="F1169" s="29"/>
      <c r="I1169" s="24"/>
      <c r="K1169" s="28"/>
      <c r="P1169" s="29"/>
      <c r="S1169" s="24"/>
    </row>
    <row r="1170" ht="15.75" hidden="1" customHeight="1">
      <c r="A1170" s="34"/>
      <c r="B1170" s="36"/>
      <c r="C1170" s="36"/>
      <c r="F1170" s="29"/>
      <c r="I1170" s="24"/>
      <c r="K1170" s="28"/>
      <c r="P1170" s="29"/>
      <c r="S1170" s="24"/>
    </row>
    <row r="1171" ht="15.75" hidden="1" customHeight="1">
      <c r="A1171" s="34"/>
      <c r="B1171" s="35"/>
      <c r="C1171" s="35"/>
      <c r="F1171" s="29"/>
      <c r="I1171" s="24"/>
      <c r="K1171" s="28"/>
      <c r="P1171" s="29"/>
      <c r="S1171" s="24"/>
    </row>
    <row r="1172" ht="15.75" hidden="1" customHeight="1">
      <c r="A1172" s="34"/>
      <c r="B1172" s="35"/>
      <c r="C1172" s="35"/>
      <c r="F1172" s="29"/>
      <c r="I1172" s="24"/>
      <c r="K1172" s="28"/>
      <c r="P1172" s="29"/>
      <c r="S1172" s="24"/>
    </row>
    <row r="1173" ht="15.75" hidden="1" customHeight="1">
      <c r="A1173" s="34"/>
      <c r="B1173" s="35"/>
      <c r="C1173" s="35"/>
      <c r="F1173" s="29"/>
      <c r="I1173" s="24"/>
      <c r="K1173" s="28"/>
      <c r="P1173" s="29"/>
      <c r="S1173" s="24"/>
    </row>
    <row r="1174" ht="15.75" hidden="1" customHeight="1">
      <c r="A1174" s="34"/>
      <c r="B1174" s="35"/>
      <c r="C1174" s="35"/>
      <c r="F1174" s="29"/>
      <c r="I1174" s="24"/>
      <c r="K1174" s="28"/>
      <c r="P1174" s="29"/>
      <c r="S1174" s="24"/>
    </row>
    <row r="1175" ht="15.75" hidden="1" customHeight="1">
      <c r="A1175" s="34"/>
      <c r="B1175" s="35"/>
      <c r="C1175" s="35"/>
      <c r="F1175" s="29"/>
      <c r="I1175" s="24"/>
      <c r="K1175" s="28"/>
      <c r="P1175" s="29"/>
      <c r="S1175" s="24"/>
    </row>
    <row r="1176" ht="15.75" hidden="1" customHeight="1">
      <c r="A1176" s="34"/>
      <c r="B1176" s="36"/>
      <c r="C1176" s="36"/>
      <c r="F1176" s="29"/>
      <c r="I1176" s="24"/>
      <c r="K1176" s="28"/>
      <c r="P1176" s="29"/>
      <c r="S1176" s="24"/>
    </row>
    <row r="1177" ht="15.75" hidden="1" customHeight="1">
      <c r="A1177" s="34"/>
      <c r="B1177" s="36"/>
      <c r="C1177" s="36"/>
      <c r="F1177" s="29"/>
      <c r="I1177" s="24"/>
      <c r="K1177" s="28"/>
      <c r="P1177" s="29"/>
      <c r="S1177" s="24"/>
    </row>
    <row r="1178" ht="15.75" hidden="1" customHeight="1">
      <c r="A1178" s="34"/>
      <c r="B1178" s="35"/>
      <c r="C1178" s="35"/>
      <c r="F1178" s="29"/>
      <c r="I1178" s="24"/>
      <c r="K1178" s="28"/>
      <c r="P1178" s="29"/>
      <c r="S1178" s="24"/>
    </row>
    <row r="1179" ht="15.75" hidden="1" customHeight="1">
      <c r="A1179" s="34"/>
      <c r="B1179" s="35"/>
      <c r="C1179" s="35"/>
      <c r="F1179" s="29"/>
      <c r="I1179" s="24"/>
      <c r="K1179" s="28"/>
      <c r="P1179" s="29"/>
      <c r="S1179" s="24"/>
    </row>
    <row r="1180" ht="15.75" hidden="1" customHeight="1">
      <c r="A1180" s="34"/>
      <c r="B1180" s="35"/>
      <c r="C1180" s="35"/>
      <c r="F1180" s="29"/>
      <c r="I1180" s="24"/>
      <c r="K1180" s="28"/>
      <c r="P1180" s="29"/>
      <c r="S1180" s="24"/>
    </row>
    <row r="1181" ht="15.75" hidden="1" customHeight="1">
      <c r="A1181" s="34"/>
      <c r="B1181" s="35"/>
      <c r="C1181" s="35"/>
      <c r="F1181" s="29"/>
      <c r="I1181" s="24"/>
      <c r="K1181" s="28"/>
      <c r="P1181" s="29"/>
      <c r="S1181" s="24"/>
    </row>
    <row r="1182" ht="15.75" hidden="1" customHeight="1">
      <c r="A1182" s="34"/>
      <c r="B1182" s="35"/>
      <c r="C1182" s="35"/>
      <c r="F1182" s="29"/>
      <c r="I1182" s="24"/>
      <c r="K1182" s="28"/>
      <c r="P1182" s="29"/>
      <c r="S1182" s="24"/>
    </row>
    <row r="1183" ht="15.75" hidden="1" customHeight="1">
      <c r="A1183" s="34"/>
      <c r="B1183" s="36"/>
      <c r="C1183" s="36"/>
      <c r="F1183" s="29"/>
      <c r="I1183" s="24"/>
      <c r="K1183" s="28"/>
      <c r="P1183" s="29"/>
      <c r="S1183" s="24"/>
    </row>
    <row r="1184" ht="15.75" hidden="1" customHeight="1">
      <c r="A1184" s="34"/>
      <c r="B1184" s="36"/>
      <c r="C1184" s="36"/>
      <c r="F1184" s="29"/>
      <c r="I1184" s="24"/>
      <c r="K1184" s="28"/>
      <c r="P1184" s="29"/>
      <c r="S1184" s="24"/>
    </row>
    <row r="1185" ht="15.75" hidden="1" customHeight="1">
      <c r="A1185" s="34"/>
      <c r="B1185" s="35"/>
      <c r="C1185" s="35"/>
      <c r="F1185" s="29"/>
      <c r="I1185" s="24"/>
      <c r="K1185" s="28"/>
      <c r="P1185" s="29"/>
      <c r="S1185" s="24"/>
    </row>
    <row r="1186" ht="15.75" hidden="1" customHeight="1">
      <c r="A1186" s="34"/>
      <c r="B1186" s="35"/>
      <c r="C1186" s="35"/>
      <c r="F1186" s="29"/>
      <c r="I1186" s="24"/>
      <c r="K1186" s="28"/>
      <c r="P1186" s="29"/>
      <c r="S1186" s="24"/>
    </row>
    <row r="1187" ht="15.75" hidden="1" customHeight="1">
      <c r="A1187" s="34"/>
      <c r="B1187" s="35"/>
      <c r="C1187" s="35"/>
      <c r="F1187" s="29"/>
      <c r="I1187" s="24"/>
      <c r="K1187" s="28"/>
      <c r="P1187" s="29"/>
      <c r="S1187" s="24"/>
    </row>
    <row r="1188" ht="15.75" hidden="1" customHeight="1">
      <c r="A1188" s="34"/>
      <c r="B1188" s="35"/>
      <c r="C1188" s="35"/>
      <c r="F1188" s="29"/>
      <c r="I1188" s="24"/>
      <c r="K1188" s="28"/>
      <c r="P1188" s="29"/>
      <c r="S1188" s="24"/>
    </row>
    <row r="1189" ht="15.75" hidden="1" customHeight="1">
      <c r="A1189" s="34"/>
      <c r="B1189" s="35"/>
      <c r="C1189" s="35"/>
      <c r="F1189" s="29"/>
      <c r="I1189" s="24"/>
      <c r="K1189" s="28"/>
      <c r="P1189" s="29"/>
      <c r="S1189" s="24"/>
    </row>
    <row r="1190" ht="15.75" hidden="1" customHeight="1">
      <c r="A1190" s="34"/>
      <c r="B1190" s="36"/>
      <c r="C1190" s="36"/>
      <c r="F1190" s="29"/>
      <c r="I1190" s="24"/>
      <c r="K1190" s="28"/>
      <c r="P1190" s="29"/>
      <c r="S1190" s="24"/>
    </row>
    <row r="1191" ht="15.75" hidden="1" customHeight="1">
      <c r="A1191" s="34"/>
      <c r="B1191" s="36"/>
      <c r="C1191" s="36"/>
      <c r="F1191" s="29"/>
      <c r="I1191" s="24"/>
      <c r="K1191" s="28"/>
      <c r="P1191" s="29"/>
      <c r="S1191" s="24"/>
    </row>
    <row r="1192" ht="15.75" hidden="1" customHeight="1">
      <c r="A1192" s="34"/>
      <c r="B1192" s="35"/>
      <c r="C1192" s="35"/>
      <c r="F1192" s="29"/>
      <c r="I1192" s="24"/>
      <c r="K1192" s="28"/>
      <c r="P1192" s="29"/>
      <c r="S1192" s="24"/>
    </row>
    <row r="1193" ht="15.75" hidden="1" customHeight="1">
      <c r="A1193" s="34"/>
      <c r="B1193" s="35"/>
      <c r="C1193" s="35"/>
      <c r="F1193" s="29"/>
      <c r="I1193" s="24"/>
      <c r="K1193" s="28"/>
      <c r="P1193" s="29"/>
      <c r="S1193" s="24"/>
    </row>
    <row r="1194" ht="15.75" hidden="1" customHeight="1">
      <c r="A1194" s="34"/>
      <c r="B1194" s="35"/>
      <c r="C1194" s="35"/>
      <c r="F1194" s="29"/>
      <c r="I1194" s="24"/>
      <c r="K1194" s="28"/>
      <c r="P1194" s="29"/>
      <c r="S1194" s="24"/>
    </row>
    <row r="1195" ht="15.75" hidden="1" customHeight="1">
      <c r="A1195" s="34"/>
      <c r="B1195" s="35"/>
      <c r="C1195" s="35"/>
      <c r="F1195" s="29"/>
      <c r="I1195" s="24"/>
      <c r="K1195" s="28"/>
      <c r="P1195" s="29"/>
      <c r="S1195" s="24"/>
    </row>
    <row r="1196" ht="15.75" hidden="1" customHeight="1">
      <c r="A1196" s="34"/>
      <c r="B1196" s="35"/>
      <c r="C1196" s="35"/>
      <c r="F1196" s="29"/>
      <c r="I1196" s="24"/>
      <c r="K1196" s="28"/>
      <c r="P1196" s="29"/>
      <c r="S1196" s="24"/>
    </row>
    <row r="1197" ht="15.75" hidden="1" customHeight="1">
      <c r="A1197" s="34"/>
      <c r="B1197" s="36"/>
      <c r="C1197" s="36"/>
      <c r="F1197" s="29"/>
      <c r="I1197" s="24"/>
      <c r="K1197" s="28"/>
      <c r="P1197" s="29"/>
      <c r="S1197" s="24"/>
    </row>
    <row r="1198" ht="15.75" hidden="1" customHeight="1">
      <c r="A1198" s="34"/>
      <c r="B1198" s="36"/>
      <c r="C1198" s="36"/>
      <c r="F1198" s="29"/>
      <c r="I1198" s="24"/>
      <c r="K1198" s="28"/>
      <c r="P1198" s="29"/>
      <c r="S1198" s="24"/>
    </row>
    <row r="1199" ht="15.75" hidden="1" customHeight="1">
      <c r="A1199" s="34"/>
      <c r="B1199" s="35"/>
      <c r="C1199" s="35"/>
      <c r="F1199" s="29"/>
      <c r="I1199" s="24"/>
      <c r="K1199" s="28"/>
      <c r="P1199" s="29"/>
      <c r="S1199" s="24"/>
    </row>
    <row r="1200" ht="15.75" hidden="1" customHeight="1">
      <c r="A1200" s="34"/>
      <c r="B1200" s="35"/>
      <c r="C1200" s="35"/>
      <c r="F1200" s="29"/>
      <c r="I1200" s="24"/>
      <c r="K1200" s="28"/>
      <c r="P1200" s="29"/>
      <c r="S1200" s="24"/>
    </row>
    <row r="1201" ht="15.75" hidden="1" customHeight="1">
      <c r="A1201" s="34"/>
      <c r="B1201" s="35"/>
      <c r="C1201" s="35"/>
      <c r="F1201" s="29"/>
      <c r="I1201" s="24"/>
      <c r="K1201" s="28"/>
      <c r="P1201" s="29"/>
      <c r="S1201" s="24"/>
    </row>
    <row r="1202" ht="15.75" hidden="1" customHeight="1">
      <c r="A1202" s="34"/>
      <c r="B1202" s="35"/>
      <c r="C1202" s="35"/>
      <c r="F1202" s="29"/>
      <c r="I1202" s="24"/>
      <c r="K1202" s="28"/>
      <c r="P1202" s="29"/>
      <c r="S1202" s="24"/>
    </row>
    <row r="1203" ht="15.75" hidden="1" customHeight="1">
      <c r="A1203" s="34"/>
      <c r="B1203" s="35"/>
      <c r="C1203" s="35"/>
      <c r="F1203" s="29"/>
      <c r="I1203" s="24"/>
      <c r="K1203" s="28"/>
      <c r="P1203" s="29"/>
      <c r="S1203" s="24"/>
    </row>
    <row r="1204" ht="15.75" hidden="1" customHeight="1">
      <c r="A1204" s="34"/>
      <c r="B1204" s="36"/>
      <c r="C1204" s="36"/>
      <c r="F1204" s="29"/>
      <c r="I1204" s="24"/>
      <c r="K1204" s="28"/>
      <c r="P1204" s="29"/>
      <c r="S1204" s="24"/>
    </row>
    <row r="1205" ht="15.75" hidden="1" customHeight="1">
      <c r="A1205" s="34"/>
      <c r="B1205" s="36"/>
      <c r="C1205" s="36"/>
      <c r="F1205" s="29"/>
      <c r="I1205" s="24"/>
      <c r="K1205" s="28"/>
      <c r="P1205" s="29"/>
      <c r="S1205" s="24"/>
    </row>
    <row r="1206" ht="15.75" hidden="1" customHeight="1">
      <c r="A1206" s="34"/>
      <c r="B1206" s="35"/>
      <c r="C1206" s="35"/>
      <c r="F1206" s="29"/>
      <c r="I1206" s="24"/>
      <c r="K1206" s="28"/>
      <c r="P1206" s="29"/>
      <c r="S1206" s="24"/>
    </row>
    <row r="1207" ht="15.75" hidden="1" customHeight="1">
      <c r="A1207" s="34"/>
      <c r="B1207" s="35"/>
      <c r="C1207" s="35"/>
      <c r="F1207" s="29"/>
      <c r="I1207" s="24"/>
      <c r="K1207" s="28"/>
      <c r="P1207" s="29"/>
      <c r="S1207" s="24"/>
    </row>
    <row r="1208" ht="15.75" hidden="1" customHeight="1">
      <c r="A1208" s="34"/>
      <c r="B1208" s="35"/>
      <c r="C1208" s="35"/>
      <c r="F1208" s="29"/>
      <c r="I1208" s="24"/>
      <c r="K1208" s="28"/>
      <c r="P1208" s="29"/>
      <c r="S1208" s="24"/>
    </row>
    <row r="1209" ht="15.75" hidden="1" customHeight="1">
      <c r="A1209" s="34"/>
      <c r="B1209" s="35"/>
      <c r="C1209" s="35"/>
      <c r="F1209" s="29"/>
      <c r="I1209" s="24"/>
      <c r="K1209" s="28"/>
      <c r="P1209" s="29"/>
      <c r="S1209" s="24"/>
    </row>
    <row r="1210" ht="15.75" hidden="1" customHeight="1">
      <c r="A1210" s="34"/>
      <c r="B1210" s="35"/>
      <c r="C1210" s="35"/>
      <c r="F1210" s="29"/>
      <c r="I1210" s="24"/>
      <c r="K1210" s="28"/>
      <c r="P1210" s="29"/>
      <c r="S1210" s="24"/>
    </row>
    <row r="1211" ht="15.75" hidden="1" customHeight="1">
      <c r="A1211" s="34"/>
      <c r="B1211" s="36"/>
      <c r="C1211" s="36"/>
      <c r="F1211" s="29"/>
      <c r="I1211" s="24"/>
      <c r="K1211" s="28"/>
      <c r="P1211" s="29"/>
      <c r="S1211" s="24"/>
    </row>
    <row r="1212" ht="15.75" hidden="1" customHeight="1">
      <c r="A1212" s="34"/>
      <c r="B1212" s="36"/>
      <c r="C1212" s="36"/>
      <c r="F1212" s="29"/>
      <c r="I1212" s="24"/>
      <c r="K1212" s="28"/>
      <c r="P1212" s="29"/>
      <c r="S1212" s="24"/>
    </row>
    <row r="1213" ht="15.75" hidden="1" customHeight="1">
      <c r="A1213" s="34"/>
      <c r="B1213" s="35"/>
      <c r="C1213" s="35"/>
      <c r="F1213" s="29"/>
      <c r="I1213" s="24"/>
      <c r="K1213" s="28"/>
      <c r="P1213" s="29"/>
      <c r="S1213" s="24"/>
    </row>
    <row r="1214" ht="15.75" hidden="1" customHeight="1">
      <c r="A1214" s="34"/>
      <c r="B1214" s="35"/>
      <c r="C1214" s="35"/>
      <c r="F1214" s="29"/>
      <c r="I1214" s="24"/>
      <c r="K1214" s="28"/>
      <c r="P1214" s="29"/>
      <c r="S1214" s="24"/>
    </row>
    <row r="1215" ht="15.75" hidden="1" customHeight="1">
      <c r="A1215" s="34"/>
      <c r="B1215" s="35"/>
      <c r="C1215" s="35"/>
      <c r="F1215" s="29"/>
      <c r="I1215" s="24"/>
      <c r="K1215" s="28"/>
      <c r="P1215" s="29"/>
      <c r="S1215" s="24"/>
    </row>
    <row r="1216" ht="15.75" hidden="1" customHeight="1">
      <c r="A1216" s="34"/>
      <c r="B1216" s="35"/>
      <c r="C1216" s="35"/>
      <c r="F1216" s="29"/>
      <c r="I1216" s="24"/>
      <c r="K1216" s="28"/>
      <c r="P1216" s="29"/>
      <c r="S1216" s="24"/>
    </row>
    <row r="1217" ht="15.75" hidden="1" customHeight="1">
      <c r="A1217" s="34"/>
      <c r="B1217" s="35"/>
      <c r="C1217" s="35"/>
      <c r="F1217" s="29"/>
      <c r="I1217" s="24"/>
      <c r="K1217" s="28"/>
      <c r="P1217" s="29"/>
      <c r="S1217" s="24"/>
    </row>
    <row r="1218" ht="15.75" hidden="1" customHeight="1">
      <c r="A1218" s="34"/>
      <c r="B1218" s="36"/>
      <c r="C1218" s="36"/>
      <c r="F1218" s="29"/>
      <c r="I1218" s="24"/>
      <c r="K1218" s="28"/>
      <c r="P1218" s="29"/>
      <c r="S1218" s="24"/>
    </row>
    <row r="1219" ht="15.75" hidden="1" customHeight="1">
      <c r="A1219" s="34"/>
      <c r="B1219" s="36"/>
      <c r="C1219" s="36"/>
      <c r="F1219" s="29"/>
      <c r="I1219" s="24"/>
      <c r="K1219" s="28"/>
      <c r="P1219" s="29"/>
      <c r="S1219" s="24"/>
    </row>
    <row r="1220" ht="15.75" hidden="1" customHeight="1">
      <c r="A1220" s="34"/>
      <c r="B1220" s="35"/>
      <c r="C1220" s="35"/>
      <c r="F1220" s="29"/>
      <c r="I1220" s="24"/>
      <c r="K1220" s="28"/>
      <c r="P1220" s="29"/>
      <c r="S1220" s="24"/>
    </row>
    <row r="1221" ht="15.75" hidden="1" customHeight="1">
      <c r="A1221" s="34"/>
      <c r="B1221" s="35"/>
      <c r="C1221" s="35"/>
      <c r="F1221" s="29"/>
      <c r="I1221" s="24"/>
      <c r="K1221" s="28"/>
      <c r="P1221" s="29"/>
      <c r="S1221" s="24"/>
    </row>
    <row r="1222" ht="15.75" hidden="1" customHeight="1">
      <c r="A1222" s="34"/>
      <c r="B1222" s="35"/>
      <c r="C1222" s="35"/>
      <c r="F1222" s="29"/>
      <c r="I1222" s="24"/>
      <c r="K1222" s="28"/>
      <c r="P1222" s="29"/>
      <c r="S1222" s="24"/>
    </row>
    <row r="1223" ht="15.75" hidden="1" customHeight="1">
      <c r="A1223" s="34"/>
      <c r="B1223" s="35"/>
      <c r="C1223" s="35"/>
      <c r="F1223" s="29"/>
      <c r="I1223" s="24"/>
      <c r="K1223" s="28"/>
      <c r="P1223" s="29"/>
      <c r="S1223" s="24"/>
    </row>
    <row r="1224" ht="15.75" hidden="1" customHeight="1">
      <c r="A1224" s="34"/>
      <c r="B1224" s="35"/>
      <c r="C1224" s="35"/>
      <c r="F1224" s="29"/>
      <c r="I1224" s="24"/>
      <c r="K1224" s="28"/>
      <c r="P1224" s="29"/>
      <c r="S1224" s="24"/>
    </row>
    <row r="1225" ht="15.75" hidden="1" customHeight="1">
      <c r="A1225" s="34"/>
      <c r="B1225" s="36"/>
      <c r="C1225" s="36"/>
      <c r="F1225" s="29"/>
      <c r="I1225" s="24"/>
      <c r="K1225" s="28"/>
      <c r="P1225" s="29"/>
      <c r="S1225" s="24"/>
    </row>
    <row r="1226" ht="15.75" hidden="1" customHeight="1">
      <c r="A1226" s="34"/>
      <c r="B1226" s="36"/>
      <c r="C1226" s="36"/>
      <c r="F1226" s="29"/>
      <c r="I1226" s="24"/>
      <c r="K1226" s="28"/>
      <c r="P1226" s="29"/>
      <c r="S1226" s="24"/>
    </row>
    <row r="1227" ht="15.75" hidden="1" customHeight="1">
      <c r="A1227" s="34"/>
      <c r="B1227" s="35"/>
      <c r="C1227" s="35"/>
      <c r="F1227" s="29"/>
      <c r="I1227" s="24"/>
      <c r="K1227" s="28"/>
      <c r="P1227" s="29"/>
      <c r="S1227" s="24"/>
    </row>
    <row r="1228" ht="15.75" hidden="1" customHeight="1">
      <c r="A1228" s="34"/>
      <c r="B1228" s="35"/>
      <c r="C1228" s="35"/>
      <c r="F1228" s="29"/>
      <c r="I1228" s="24"/>
      <c r="K1228" s="28"/>
      <c r="P1228" s="29"/>
      <c r="S1228" s="24"/>
    </row>
    <row r="1229" ht="15.75" hidden="1" customHeight="1">
      <c r="A1229" s="34"/>
      <c r="B1229" s="35"/>
      <c r="C1229" s="35"/>
      <c r="F1229" s="29"/>
      <c r="I1229" s="24"/>
      <c r="K1229" s="28"/>
      <c r="P1229" s="29"/>
      <c r="S1229" s="24"/>
    </row>
    <row r="1230" ht="15.75" hidden="1" customHeight="1">
      <c r="A1230" s="34"/>
      <c r="B1230" s="35"/>
      <c r="C1230" s="35"/>
      <c r="F1230" s="29"/>
      <c r="I1230" s="24"/>
      <c r="K1230" s="28"/>
      <c r="P1230" s="29"/>
      <c r="S1230" s="24"/>
    </row>
    <row r="1231" ht="15.75" hidden="1" customHeight="1">
      <c r="A1231" s="34"/>
      <c r="B1231" s="35"/>
      <c r="C1231" s="35"/>
      <c r="F1231" s="29"/>
      <c r="I1231" s="24"/>
      <c r="K1231" s="28"/>
      <c r="P1231" s="29"/>
      <c r="S1231" s="24"/>
    </row>
    <row r="1232" ht="15.75" hidden="1" customHeight="1">
      <c r="A1232" s="34"/>
      <c r="B1232" s="36"/>
      <c r="C1232" s="36"/>
      <c r="F1232" s="29"/>
      <c r="I1232" s="24"/>
      <c r="K1232" s="28"/>
      <c r="P1232" s="29"/>
      <c r="S1232" s="24"/>
    </row>
    <row r="1233" ht="15.75" hidden="1" customHeight="1">
      <c r="A1233" s="34"/>
      <c r="B1233" s="36"/>
      <c r="C1233" s="36"/>
      <c r="F1233" s="29"/>
      <c r="I1233" s="24"/>
      <c r="K1233" s="28"/>
      <c r="P1233" s="29"/>
      <c r="S1233" s="24"/>
    </row>
    <row r="1234" ht="15.75" hidden="1" customHeight="1">
      <c r="A1234" s="34"/>
      <c r="B1234" s="35"/>
      <c r="C1234" s="35"/>
      <c r="F1234" s="29"/>
      <c r="I1234" s="24"/>
      <c r="K1234" s="28"/>
      <c r="P1234" s="29"/>
      <c r="S1234" s="24"/>
    </row>
    <row r="1235" ht="15.75" hidden="1" customHeight="1">
      <c r="A1235" s="34"/>
      <c r="B1235" s="35"/>
      <c r="C1235" s="35"/>
      <c r="F1235" s="29"/>
      <c r="I1235" s="24"/>
      <c r="K1235" s="28"/>
      <c r="P1235" s="29"/>
      <c r="S1235" s="24"/>
    </row>
    <row r="1236" ht="15.75" hidden="1" customHeight="1">
      <c r="A1236" s="34"/>
      <c r="B1236" s="35"/>
      <c r="C1236" s="35"/>
      <c r="F1236" s="29"/>
      <c r="I1236" s="24"/>
      <c r="K1236" s="28"/>
      <c r="P1236" s="29"/>
      <c r="S1236" s="24"/>
    </row>
    <row r="1237" ht="15.75" hidden="1" customHeight="1">
      <c r="A1237" s="34"/>
      <c r="B1237" s="35"/>
      <c r="C1237" s="35"/>
      <c r="F1237" s="29"/>
      <c r="I1237" s="24"/>
      <c r="K1237" s="28"/>
      <c r="P1237" s="29"/>
      <c r="S1237" s="24"/>
    </row>
    <row r="1238" ht="15.75" hidden="1" customHeight="1">
      <c r="A1238" s="34"/>
      <c r="B1238" s="35"/>
      <c r="C1238" s="35"/>
      <c r="F1238" s="29"/>
      <c r="I1238" s="24"/>
      <c r="K1238" s="28"/>
      <c r="P1238" s="29"/>
      <c r="S1238" s="24"/>
    </row>
    <row r="1239" ht="15.75" hidden="1" customHeight="1">
      <c r="A1239" s="34"/>
      <c r="B1239" s="36"/>
      <c r="C1239" s="36"/>
      <c r="F1239" s="29"/>
      <c r="I1239" s="24"/>
      <c r="K1239" s="28"/>
      <c r="P1239" s="29"/>
      <c r="S1239" s="24"/>
    </row>
    <row r="1240" ht="15.75" hidden="1" customHeight="1">
      <c r="A1240" s="34"/>
      <c r="B1240" s="36"/>
      <c r="C1240" s="36"/>
      <c r="F1240" s="29"/>
      <c r="I1240" s="24"/>
      <c r="K1240" s="28"/>
      <c r="P1240" s="29"/>
      <c r="S1240" s="24"/>
    </row>
    <row r="1241" ht="15.75" hidden="1" customHeight="1">
      <c r="A1241" s="34"/>
      <c r="B1241" s="35"/>
      <c r="C1241" s="35"/>
      <c r="F1241" s="29"/>
      <c r="I1241" s="24"/>
      <c r="K1241" s="28"/>
      <c r="P1241" s="29"/>
      <c r="S1241" s="24"/>
    </row>
    <row r="1242" ht="15.75" hidden="1" customHeight="1">
      <c r="A1242" s="34"/>
      <c r="B1242" s="35"/>
      <c r="C1242" s="35"/>
      <c r="F1242" s="29"/>
      <c r="I1242" s="24"/>
      <c r="K1242" s="28"/>
      <c r="P1242" s="29"/>
      <c r="S1242" s="24"/>
    </row>
    <row r="1243" ht="15.75" hidden="1" customHeight="1">
      <c r="A1243" s="34"/>
      <c r="B1243" s="35"/>
      <c r="C1243" s="35"/>
      <c r="F1243" s="29"/>
      <c r="I1243" s="24"/>
      <c r="K1243" s="28"/>
      <c r="P1243" s="29"/>
      <c r="S1243" s="24"/>
    </row>
    <row r="1244" ht="15.75" hidden="1" customHeight="1">
      <c r="A1244" s="34"/>
      <c r="B1244" s="35"/>
      <c r="C1244" s="35"/>
      <c r="F1244" s="29"/>
      <c r="I1244" s="24"/>
      <c r="K1244" s="28"/>
      <c r="P1244" s="29"/>
      <c r="S1244" s="24"/>
    </row>
    <row r="1245" ht="15.75" hidden="1" customHeight="1">
      <c r="A1245" s="34"/>
      <c r="B1245" s="35"/>
      <c r="C1245" s="35"/>
      <c r="F1245" s="29"/>
      <c r="I1245" s="24"/>
      <c r="K1245" s="28"/>
      <c r="P1245" s="29"/>
      <c r="S1245" s="24"/>
    </row>
    <row r="1246" ht="15.75" hidden="1" customHeight="1">
      <c r="A1246" s="34"/>
      <c r="B1246" s="36"/>
      <c r="C1246" s="36"/>
      <c r="F1246" s="29"/>
      <c r="I1246" s="24"/>
      <c r="K1246" s="28"/>
      <c r="P1246" s="29"/>
      <c r="S1246" s="24"/>
    </row>
    <row r="1247" ht="15.75" hidden="1" customHeight="1">
      <c r="A1247" s="34"/>
      <c r="B1247" s="36"/>
      <c r="C1247" s="36"/>
      <c r="F1247" s="29"/>
      <c r="I1247" s="24"/>
      <c r="K1247" s="28"/>
      <c r="P1247" s="29"/>
      <c r="S1247" s="24"/>
    </row>
    <row r="1248" ht="15.75" hidden="1" customHeight="1">
      <c r="A1248" s="34"/>
      <c r="B1248" s="35"/>
      <c r="C1248" s="35"/>
      <c r="F1248" s="29"/>
      <c r="I1248" s="24"/>
      <c r="K1248" s="28"/>
      <c r="P1248" s="29"/>
      <c r="S1248" s="24"/>
    </row>
    <row r="1249" ht="15.75" hidden="1" customHeight="1">
      <c r="A1249" s="34"/>
      <c r="B1249" s="35"/>
      <c r="C1249" s="35"/>
      <c r="F1249" s="29"/>
      <c r="I1249" s="24"/>
      <c r="K1249" s="28"/>
      <c r="P1249" s="29"/>
      <c r="S1249" s="24"/>
    </row>
    <row r="1250" ht="15.75" hidden="1" customHeight="1">
      <c r="A1250" s="34"/>
      <c r="B1250" s="35"/>
      <c r="C1250" s="35"/>
      <c r="F1250" s="29"/>
      <c r="I1250" s="24"/>
      <c r="K1250" s="28"/>
      <c r="P1250" s="29"/>
      <c r="S1250" s="24"/>
    </row>
    <row r="1251" ht="15.75" hidden="1" customHeight="1">
      <c r="A1251" s="34"/>
      <c r="B1251" s="35"/>
      <c r="C1251" s="35"/>
      <c r="F1251" s="29"/>
      <c r="I1251" s="24"/>
      <c r="K1251" s="28"/>
      <c r="P1251" s="29"/>
      <c r="S1251" s="24"/>
    </row>
    <row r="1252" ht="15.75" hidden="1" customHeight="1">
      <c r="A1252" s="34"/>
      <c r="B1252" s="35"/>
      <c r="C1252" s="35"/>
      <c r="F1252" s="29"/>
      <c r="I1252" s="24"/>
      <c r="K1252" s="28"/>
      <c r="P1252" s="29"/>
      <c r="S1252" s="24"/>
    </row>
    <row r="1253" ht="15.75" hidden="1" customHeight="1">
      <c r="A1253" s="34"/>
      <c r="B1253" s="36"/>
      <c r="C1253" s="36"/>
      <c r="F1253" s="29"/>
      <c r="I1253" s="24"/>
      <c r="K1253" s="28"/>
      <c r="P1253" s="29"/>
      <c r="S1253" s="24"/>
    </row>
    <row r="1254" ht="15.75" hidden="1" customHeight="1">
      <c r="A1254" s="34"/>
      <c r="B1254" s="36"/>
      <c r="C1254" s="36"/>
      <c r="F1254" s="29"/>
      <c r="I1254" s="24"/>
      <c r="K1254" s="28"/>
      <c r="P1254" s="29"/>
      <c r="S1254" s="24"/>
    </row>
    <row r="1255" ht="15.75" hidden="1" customHeight="1">
      <c r="A1255" s="34"/>
      <c r="B1255" s="35"/>
      <c r="C1255" s="35"/>
      <c r="F1255" s="29"/>
      <c r="I1255" s="24"/>
      <c r="K1255" s="28"/>
      <c r="P1255" s="29"/>
      <c r="S1255" s="24"/>
    </row>
    <row r="1256" ht="15.75" hidden="1" customHeight="1">
      <c r="A1256" s="34"/>
      <c r="B1256" s="35"/>
      <c r="C1256" s="35"/>
      <c r="F1256" s="29"/>
      <c r="I1256" s="24"/>
      <c r="K1256" s="28"/>
      <c r="P1256" s="29"/>
      <c r="S1256" s="24"/>
    </row>
    <row r="1257" ht="15.75" hidden="1" customHeight="1">
      <c r="A1257" s="34"/>
      <c r="B1257" s="35"/>
      <c r="C1257" s="35"/>
      <c r="F1257" s="29"/>
      <c r="I1257" s="24"/>
      <c r="K1257" s="28"/>
      <c r="P1257" s="29"/>
      <c r="S1257" s="24"/>
    </row>
    <row r="1258" ht="15.75" hidden="1" customHeight="1">
      <c r="A1258" s="34"/>
      <c r="B1258" s="35"/>
      <c r="C1258" s="35"/>
      <c r="F1258" s="29"/>
      <c r="I1258" s="24"/>
      <c r="K1258" s="28"/>
      <c r="P1258" s="29"/>
      <c r="S1258" s="24"/>
    </row>
    <row r="1259" ht="15.75" hidden="1" customHeight="1">
      <c r="A1259" s="34"/>
      <c r="B1259" s="35"/>
      <c r="C1259" s="35"/>
      <c r="F1259" s="29"/>
      <c r="I1259" s="24"/>
      <c r="K1259" s="28"/>
      <c r="P1259" s="29"/>
      <c r="S1259" s="24"/>
    </row>
    <row r="1260" ht="15.75" hidden="1" customHeight="1">
      <c r="A1260" s="34"/>
      <c r="B1260" s="36"/>
      <c r="C1260" s="36"/>
      <c r="F1260" s="29"/>
      <c r="I1260" s="24"/>
      <c r="K1260" s="28"/>
      <c r="P1260" s="29"/>
      <c r="S1260" s="24"/>
    </row>
    <row r="1261" ht="15.75" hidden="1" customHeight="1">
      <c r="A1261" s="34"/>
      <c r="B1261" s="36"/>
      <c r="C1261" s="36"/>
      <c r="F1261" s="29"/>
      <c r="I1261" s="24"/>
      <c r="K1261" s="28"/>
      <c r="P1261" s="29"/>
      <c r="S1261" s="24"/>
    </row>
    <row r="1262" ht="15.75" hidden="1" customHeight="1">
      <c r="A1262" s="34"/>
      <c r="B1262" s="35"/>
      <c r="C1262" s="35"/>
      <c r="F1262" s="29"/>
      <c r="I1262" s="24"/>
      <c r="K1262" s="28"/>
      <c r="P1262" s="29"/>
      <c r="S1262" s="24"/>
    </row>
    <row r="1263" ht="15.75" hidden="1" customHeight="1">
      <c r="A1263" s="34"/>
      <c r="B1263" s="35"/>
      <c r="C1263" s="35"/>
      <c r="F1263" s="29"/>
      <c r="I1263" s="24"/>
      <c r="K1263" s="28"/>
      <c r="P1263" s="29"/>
      <c r="S1263" s="24"/>
    </row>
    <row r="1264" ht="15.75" hidden="1" customHeight="1">
      <c r="A1264" s="34"/>
      <c r="B1264" s="35"/>
      <c r="C1264" s="35"/>
      <c r="F1264" s="29"/>
      <c r="I1264" s="24"/>
      <c r="K1264" s="28"/>
      <c r="P1264" s="29"/>
      <c r="S1264" s="24"/>
    </row>
    <row r="1265" ht="15.75" hidden="1" customHeight="1">
      <c r="A1265" s="34"/>
      <c r="B1265" s="35"/>
      <c r="C1265" s="35"/>
      <c r="F1265" s="29"/>
      <c r="I1265" s="24"/>
      <c r="K1265" s="28"/>
      <c r="P1265" s="29"/>
      <c r="S1265" s="24"/>
    </row>
    <row r="1266" ht="15.75" hidden="1" customHeight="1">
      <c r="A1266" s="34"/>
      <c r="B1266" s="35"/>
      <c r="C1266" s="35"/>
      <c r="F1266" s="29"/>
      <c r="I1266" s="24"/>
      <c r="K1266" s="28"/>
      <c r="P1266" s="29"/>
      <c r="S1266" s="24"/>
    </row>
    <row r="1267" ht="15.75" hidden="1" customHeight="1">
      <c r="A1267" s="34"/>
      <c r="B1267" s="36"/>
      <c r="C1267" s="36"/>
      <c r="F1267" s="29"/>
      <c r="I1267" s="24"/>
      <c r="K1267" s="28"/>
      <c r="P1267" s="29"/>
      <c r="S1267" s="24"/>
    </row>
    <row r="1268" ht="15.75" hidden="1" customHeight="1">
      <c r="A1268" s="34"/>
      <c r="B1268" s="36"/>
      <c r="C1268" s="36"/>
      <c r="F1268" s="29"/>
      <c r="I1268" s="24"/>
      <c r="K1268" s="28"/>
      <c r="P1268" s="29"/>
      <c r="S1268" s="24"/>
    </row>
    <row r="1269" ht="15.75" hidden="1" customHeight="1">
      <c r="A1269" s="34"/>
      <c r="B1269" s="35"/>
      <c r="C1269" s="35"/>
      <c r="F1269" s="29"/>
      <c r="I1269" s="24"/>
      <c r="K1269" s="28"/>
      <c r="P1269" s="29"/>
      <c r="S1269" s="24"/>
    </row>
    <row r="1270" ht="15.75" hidden="1" customHeight="1">
      <c r="A1270" s="34"/>
      <c r="B1270" s="35"/>
      <c r="C1270" s="35"/>
      <c r="F1270" s="29"/>
      <c r="I1270" s="24"/>
      <c r="K1270" s="28"/>
      <c r="P1270" s="29"/>
      <c r="S1270" s="24"/>
    </row>
    <row r="1271" ht="15.75" hidden="1" customHeight="1">
      <c r="A1271" s="34"/>
      <c r="B1271" s="35"/>
      <c r="C1271" s="35"/>
      <c r="F1271" s="29"/>
      <c r="I1271" s="24"/>
      <c r="K1271" s="28"/>
      <c r="P1271" s="29"/>
      <c r="S1271" s="24"/>
    </row>
    <row r="1272" ht="15.75" hidden="1" customHeight="1">
      <c r="A1272" s="34"/>
      <c r="B1272" s="35"/>
      <c r="C1272" s="35"/>
      <c r="F1272" s="29"/>
      <c r="I1272" s="24"/>
      <c r="K1272" s="28"/>
      <c r="P1272" s="29"/>
      <c r="S1272" s="24"/>
    </row>
    <row r="1273" ht="15.75" hidden="1" customHeight="1">
      <c r="A1273" s="34"/>
      <c r="B1273" s="36"/>
      <c r="C1273" s="36"/>
      <c r="F1273" s="29"/>
      <c r="I1273" s="24"/>
      <c r="K1273" s="28"/>
      <c r="P1273" s="29"/>
      <c r="S1273" s="24"/>
    </row>
    <row r="1274" ht="15.75" hidden="1" customHeight="1">
      <c r="A1274" s="34"/>
      <c r="B1274" s="36"/>
      <c r="C1274" s="36"/>
      <c r="F1274" s="29"/>
      <c r="I1274" s="24"/>
      <c r="K1274" s="28"/>
      <c r="P1274" s="29"/>
      <c r="S1274" s="24"/>
    </row>
    <row r="1275" ht="15.75" hidden="1" customHeight="1">
      <c r="A1275" s="34"/>
      <c r="B1275" s="36"/>
      <c r="C1275" s="36"/>
      <c r="F1275" s="29"/>
      <c r="I1275" s="24"/>
      <c r="K1275" s="28"/>
      <c r="P1275" s="29"/>
      <c r="S1275" s="24"/>
    </row>
    <row r="1276" ht="15.75" hidden="1" customHeight="1">
      <c r="A1276" s="34"/>
      <c r="B1276" s="35"/>
      <c r="C1276" s="35"/>
      <c r="F1276" s="29"/>
      <c r="I1276" s="24"/>
      <c r="K1276" s="28"/>
      <c r="P1276" s="29"/>
      <c r="S1276" s="24"/>
    </row>
    <row r="1277" ht="15.75" hidden="1" customHeight="1">
      <c r="A1277" s="34"/>
      <c r="B1277" s="35"/>
      <c r="C1277" s="35"/>
      <c r="F1277" s="29"/>
      <c r="I1277" s="24"/>
      <c r="K1277" s="28"/>
      <c r="P1277" s="29"/>
      <c r="S1277" s="24"/>
    </row>
    <row r="1278" ht="15.75" hidden="1" customHeight="1">
      <c r="A1278" s="34"/>
      <c r="B1278" s="35"/>
      <c r="C1278" s="35"/>
      <c r="F1278" s="29"/>
      <c r="I1278" s="24"/>
      <c r="K1278" s="28"/>
      <c r="P1278" s="29"/>
      <c r="S1278" s="24"/>
    </row>
    <row r="1279" ht="15.75" hidden="1" customHeight="1">
      <c r="A1279" s="34"/>
      <c r="B1279" s="35"/>
      <c r="C1279" s="35"/>
      <c r="F1279" s="29"/>
      <c r="I1279" s="24"/>
      <c r="K1279" s="28"/>
      <c r="P1279" s="29"/>
      <c r="S1279" s="24"/>
    </row>
    <row r="1280" ht="15.75" hidden="1" customHeight="1">
      <c r="A1280" s="34"/>
      <c r="B1280" s="35"/>
      <c r="C1280" s="35"/>
      <c r="F1280" s="29"/>
      <c r="I1280" s="24"/>
      <c r="K1280" s="28"/>
      <c r="P1280" s="29"/>
      <c r="S1280" s="24"/>
    </row>
    <row r="1281" ht="15.75" hidden="1" customHeight="1">
      <c r="A1281" s="34"/>
      <c r="B1281" s="36"/>
      <c r="C1281" s="36"/>
      <c r="F1281" s="29"/>
      <c r="I1281" s="24"/>
      <c r="K1281" s="28"/>
      <c r="P1281" s="29"/>
      <c r="S1281" s="24"/>
    </row>
    <row r="1282" ht="15.75" hidden="1" customHeight="1">
      <c r="A1282" s="34"/>
      <c r="B1282" s="36"/>
      <c r="C1282" s="36"/>
      <c r="F1282" s="29"/>
      <c r="I1282" s="24"/>
      <c r="K1282" s="28"/>
      <c r="P1282" s="29"/>
      <c r="S1282" s="24"/>
    </row>
    <row r="1283" ht="15.75" hidden="1" customHeight="1">
      <c r="A1283" s="34"/>
      <c r="B1283" s="35"/>
      <c r="C1283" s="35"/>
      <c r="F1283" s="29"/>
      <c r="I1283" s="24"/>
      <c r="K1283" s="28"/>
      <c r="P1283" s="29"/>
      <c r="S1283" s="24"/>
    </row>
    <row r="1284" ht="15.75" hidden="1" customHeight="1">
      <c r="A1284" s="34"/>
      <c r="B1284" s="35"/>
      <c r="C1284" s="35"/>
      <c r="F1284" s="29"/>
      <c r="I1284" s="24"/>
      <c r="K1284" s="28"/>
      <c r="P1284" s="29"/>
      <c r="S1284" s="24"/>
    </row>
    <row r="1285" ht="15.75" hidden="1" customHeight="1">
      <c r="A1285" s="34"/>
      <c r="B1285" s="35"/>
      <c r="C1285" s="35"/>
      <c r="F1285" s="29"/>
      <c r="I1285" s="24"/>
      <c r="K1285" s="28"/>
      <c r="P1285" s="29"/>
      <c r="S1285" s="24"/>
    </row>
    <row r="1286" ht="15.75" hidden="1" customHeight="1">
      <c r="A1286" s="34"/>
      <c r="B1286" s="35"/>
      <c r="C1286" s="35"/>
      <c r="F1286" s="29"/>
      <c r="I1286" s="24"/>
      <c r="K1286" s="28"/>
      <c r="P1286" s="29"/>
      <c r="S1286" s="24"/>
    </row>
    <row r="1287" ht="15.75" hidden="1" customHeight="1">
      <c r="A1287" s="34"/>
      <c r="B1287" s="35"/>
      <c r="C1287" s="35"/>
      <c r="F1287" s="29"/>
      <c r="I1287" s="24"/>
      <c r="K1287" s="28"/>
      <c r="P1287" s="29"/>
      <c r="S1287" s="24"/>
    </row>
    <row r="1288" ht="15.75" hidden="1" customHeight="1">
      <c r="A1288" s="34"/>
      <c r="B1288" s="36"/>
      <c r="C1288" s="36"/>
      <c r="F1288" s="29"/>
      <c r="I1288" s="24"/>
      <c r="K1288" s="28"/>
      <c r="P1288" s="29"/>
      <c r="S1288" s="24"/>
    </row>
    <row r="1289" ht="15.75" hidden="1" customHeight="1">
      <c r="A1289" s="34"/>
      <c r="B1289" s="36"/>
      <c r="C1289" s="36"/>
      <c r="F1289" s="29"/>
      <c r="I1289" s="24"/>
      <c r="K1289" s="28"/>
      <c r="P1289" s="29"/>
      <c r="S1289" s="24"/>
    </row>
    <row r="1290" ht="15.75" hidden="1" customHeight="1">
      <c r="A1290" s="34"/>
      <c r="B1290" s="35"/>
      <c r="C1290" s="35"/>
      <c r="F1290" s="29"/>
      <c r="I1290" s="24"/>
      <c r="K1290" s="28"/>
      <c r="P1290" s="29"/>
      <c r="S1290" s="24"/>
    </row>
    <row r="1291" ht="15.75" hidden="1" customHeight="1">
      <c r="A1291" s="34"/>
      <c r="B1291" s="35"/>
      <c r="C1291" s="35"/>
      <c r="F1291" s="29"/>
      <c r="I1291" s="24"/>
      <c r="K1291" s="28"/>
      <c r="P1291" s="29"/>
      <c r="S1291" s="24"/>
    </row>
    <row r="1292" ht="15.75" hidden="1" customHeight="1">
      <c r="A1292" s="34"/>
      <c r="B1292" s="35"/>
      <c r="C1292" s="35"/>
      <c r="F1292" s="29"/>
      <c r="I1292" s="24"/>
      <c r="K1292" s="28"/>
      <c r="P1292" s="29"/>
      <c r="S1292" s="24"/>
    </row>
    <row r="1293" ht="15.75" hidden="1" customHeight="1">
      <c r="A1293" s="34"/>
      <c r="B1293" s="35"/>
      <c r="C1293" s="35"/>
      <c r="F1293" s="29"/>
      <c r="I1293" s="24"/>
      <c r="K1293" s="28"/>
      <c r="P1293" s="29"/>
      <c r="S1293" s="24"/>
    </row>
    <row r="1294" ht="15.75" hidden="1" customHeight="1">
      <c r="A1294" s="34"/>
      <c r="B1294" s="35"/>
      <c r="C1294" s="35"/>
      <c r="F1294" s="29"/>
      <c r="I1294" s="24"/>
      <c r="K1294" s="28"/>
      <c r="P1294" s="29"/>
      <c r="S1294" s="24"/>
    </row>
    <row r="1295" ht="15.75" hidden="1" customHeight="1">
      <c r="A1295" s="34"/>
      <c r="B1295" s="36"/>
      <c r="C1295" s="36"/>
      <c r="F1295" s="29"/>
      <c r="I1295" s="24"/>
      <c r="K1295" s="28"/>
      <c r="P1295" s="29"/>
      <c r="S1295" s="24"/>
    </row>
    <row r="1296" ht="15.75" hidden="1" customHeight="1">
      <c r="A1296" s="34"/>
      <c r="B1296" s="36"/>
      <c r="C1296" s="36"/>
      <c r="F1296" s="29"/>
      <c r="I1296" s="24"/>
      <c r="K1296" s="28"/>
      <c r="P1296" s="29"/>
      <c r="S1296" s="24"/>
    </row>
    <row r="1297" ht="15.75" hidden="1" customHeight="1">
      <c r="A1297" s="34"/>
      <c r="B1297" s="35"/>
      <c r="C1297" s="35"/>
      <c r="F1297" s="29"/>
      <c r="I1297" s="24"/>
      <c r="K1297" s="28"/>
      <c r="P1297" s="29"/>
      <c r="S1297" s="24"/>
    </row>
    <row r="1298" ht="15.75" hidden="1" customHeight="1">
      <c r="A1298" s="34"/>
      <c r="B1298" s="35"/>
      <c r="C1298" s="35"/>
      <c r="F1298" s="29"/>
      <c r="I1298" s="24"/>
      <c r="K1298" s="28"/>
      <c r="P1298" s="29"/>
      <c r="S1298" s="24"/>
    </row>
    <row r="1299" ht="15.75" hidden="1" customHeight="1">
      <c r="A1299" s="34"/>
      <c r="B1299" s="35"/>
      <c r="C1299" s="35"/>
      <c r="F1299" s="29"/>
      <c r="I1299" s="24"/>
      <c r="K1299" s="28"/>
      <c r="P1299" s="29"/>
      <c r="S1299" s="24"/>
    </row>
    <row r="1300" ht="15.75" hidden="1" customHeight="1">
      <c r="A1300" s="34"/>
      <c r="B1300" s="35"/>
      <c r="C1300" s="35"/>
      <c r="F1300" s="29"/>
      <c r="I1300" s="24"/>
      <c r="K1300" s="28"/>
      <c r="P1300" s="29"/>
      <c r="S1300" s="24"/>
    </row>
    <row r="1301" ht="15.75" hidden="1" customHeight="1">
      <c r="A1301" s="34"/>
      <c r="B1301" s="35"/>
      <c r="C1301" s="35"/>
      <c r="F1301" s="29"/>
      <c r="I1301" s="24"/>
      <c r="K1301" s="28"/>
      <c r="P1301" s="29"/>
      <c r="S1301" s="24"/>
    </row>
    <row r="1302" ht="15.75" hidden="1" customHeight="1">
      <c r="A1302" s="34"/>
      <c r="B1302" s="36"/>
      <c r="C1302" s="36"/>
      <c r="F1302" s="29"/>
      <c r="I1302" s="24"/>
      <c r="K1302" s="28"/>
      <c r="P1302" s="29"/>
      <c r="S1302" s="24"/>
    </row>
    <row r="1303" ht="15.75" hidden="1" customHeight="1">
      <c r="A1303" s="34"/>
      <c r="B1303" s="36"/>
      <c r="C1303" s="36"/>
      <c r="F1303" s="29"/>
      <c r="I1303" s="24"/>
      <c r="K1303" s="28"/>
      <c r="P1303" s="29"/>
      <c r="S1303" s="24"/>
    </row>
    <row r="1304" ht="15.75" hidden="1" customHeight="1">
      <c r="A1304" s="34"/>
      <c r="B1304" s="35"/>
      <c r="C1304" s="35"/>
      <c r="F1304" s="29"/>
      <c r="I1304" s="24"/>
      <c r="K1304" s="28"/>
      <c r="P1304" s="29"/>
      <c r="S1304" s="24"/>
    </row>
    <row r="1305" ht="15.75" hidden="1" customHeight="1">
      <c r="A1305" s="34"/>
      <c r="B1305" s="35"/>
      <c r="C1305" s="35"/>
      <c r="F1305" s="29"/>
      <c r="I1305" s="24"/>
      <c r="K1305" s="28"/>
      <c r="P1305" s="29"/>
      <c r="S1305" s="24"/>
    </row>
    <row r="1306" ht="15.75" hidden="1" customHeight="1">
      <c r="A1306" s="34"/>
      <c r="B1306" s="35"/>
      <c r="C1306" s="35"/>
      <c r="F1306" s="29"/>
      <c r="I1306" s="24"/>
      <c r="K1306" s="28"/>
      <c r="P1306" s="29"/>
      <c r="S1306" s="24"/>
    </row>
    <row r="1307" ht="15.75" hidden="1" customHeight="1">
      <c r="A1307" s="34"/>
      <c r="B1307" s="35"/>
      <c r="C1307" s="35"/>
      <c r="F1307" s="29"/>
      <c r="I1307" s="24"/>
      <c r="K1307" s="28"/>
      <c r="P1307" s="29"/>
      <c r="S1307" s="24"/>
    </row>
    <row r="1308" ht="15.75" hidden="1" customHeight="1">
      <c r="A1308" s="34"/>
      <c r="B1308" s="35"/>
      <c r="C1308" s="35"/>
      <c r="F1308" s="29"/>
      <c r="I1308" s="24"/>
      <c r="K1308" s="28"/>
      <c r="P1308" s="29"/>
      <c r="S1308" s="24"/>
    </row>
    <row r="1309" ht="15.75" hidden="1" customHeight="1">
      <c r="A1309" s="34"/>
      <c r="B1309" s="36"/>
      <c r="C1309" s="36"/>
      <c r="F1309" s="29"/>
      <c r="I1309" s="24"/>
      <c r="K1309" s="28"/>
      <c r="P1309" s="29"/>
      <c r="S1309" s="24"/>
    </row>
    <row r="1310" ht="15.75" hidden="1" customHeight="1">
      <c r="A1310" s="34"/>
      <c r="B1310" s="36"/>
      <c r="C1310" s="36"/>
      <c r="F1310" s="29"/>
      <c r="I1310" s="24"/>
      <c r="K1310" s="28"/>
      <c r="P1310" s="29"/>
      <c r="S1310" s="24"/>
    </row>
    <row r="1311" ht="15.75" hidden="1" customHeight="1">
      <c r="A1311" s="34"/>
      <c r="B1311" s="35"/>
      <c r="C1311" s="35"/>
      <c r="F1311" s="29"/>
      <c r="I1311" s="24"/>
      <c r="K1311" s="28"/>
      <c r="P1311" s="29"/>
      <c r="S1311" s="24"/>
    </row>
    <row r="1312" ht="15.75" hidden="1" customHeight="1">
      <c r="A1312" s="34"/>
      <c r="B1312" s="35"/>
      <c r="C1312" s="35"/>
      <c r="F1312" s="29"/>
      <c r="I1312" s="24"/>
      <c r="K1312" s="28"/>
      <c r="P1312" s="29"/>
      <c r="S1312" s="24"/>
    </row>
    <row r="1313" ht="15.75" hidden="1" customHeight="1">
      <c r="A1313" s="34"/>
      <c r="B1313" s="35"/>
      <c r="C1313" s="35"/>
      <c r="F1313" s="29"/>
      <c r="I1313" s="24"/>
      <c r="K1313" s="28"/>
      <c r="P1313" s="29"/>
      <c r="S1313" s="24"/>
    </row>
    <row r="1314" ht="15.75" hidden="1" customHeight="1">
      <c r="A1314" s="34"/>
      <c r="B1314" s="35"/>
      <c r="C1314" s="35"/>
      <c r="F1314" s="29"/>
      <c r="I1314" s="24"/>
      <c r="K1314" s="28"/>
      <c r="P1314" s="29"/>
      <c r="S1314" s="24"/>
    </row>
    <row r="1315" ht="15.75" hidden="1" customHeight="1">
      <c r="A1315" s="34"/>
      <c r="B1315" s="35"/>
      <c r="C1315" s="35"/>
      <c r="F1315" s="29"/>
      <c r="I1315" s="24"/>
      <c r="K1315" s="28"/>
      <c r="P1315" s="29"/>
      <c r="S1315" s="24"/>
    </row>
    <row r="1316" ht="15.75" hidden="1" customHeight="1">
      <c r="A1316" s="34"/>
      <c r="B1316" s="36"/>
      <c r="C1316" s="36"/>
      <c r="F1316" s="29"/>
      <c r="I1316" s="24"/>
      <c r="K1316" s="28"/>
      <c r="P1316" s="29"/>
      <c r="S1316" s="24"/>
    </row>
    <row r="1317" ht="15.75" hidden="1" customHeight="1">
      <c r="A1317" s="34"/>
      <c r="B1317" s="36"/>
      <c r="C1317" s="36"/>
      <c r="F1317" s="29"/>
      <c r="I1317" s="24"/>
      <c r="K1317" s="28"/>
      <c r="P1317" s="29"/>
      <c r="S1317" s="24"/>
    </row>
    <row r="1318" ht="15.75" hidden="1" customHeight="1">
      <c r="A1318" s="34"/>
      <c r="B1318" s="35"/>
      <c r="C1318" s="35"/>
      <c r="F1318" s="29"/>
      <c r="I1318" s="24"/>
      <c r="K1318" s="28"/>
      <c r="P1318" s="29"/>
      <c r="S1318" s="24"/>
    </row>
    <row r="1319" ht="15.75" hidden="1" customHeight="1">
      <c r="A1319" s="34"/>
      <c r="B1319" s="35"/>
      <c r="C1319" s="35"/>
      <c r="F1319" s="29"/>
      <c r="I1319" s="24"/>
      <c r="K1319" s="28"/>
      <c r="P1319" s="29"/>
      <c r="S1319" s="24"/>
    </row>
    <row r="1320" ht="15.75" hidden="1" customHeight="1">
      <c r="A1320" s="34"/>
      <c r="B1320" s="35"/>
      <c r="C1320" s="35"/>
      <c r="F1320" s="29"/>
      <c r="I1320" s="24"/>
      <c r="K1320" s="28"/>
      <c r="P1320" s="29"/>
      <c r="S1320" s="24"/>
    </row>
    <row r="1321" ht="15.75" hidden="1" customHeight="1">
      <c r="A1321" s="34"/>
      <c r="B1321" s="35"/>
      <c r="C1321" s="35"/>
      <c r="F1321" s="29"/>
      <c r="I1321" s="24"/>
      <c r="K1321" s="28"/>
      <c r="P1321" s="29"/>
      <c r="S1321" s="24"/>
    </row>
    <row r="1322" ht="15.75" hidden="1" customHeight="1">
      <c r="A1322" s="34"/>
      <c r="B1322" s="35"/>
      <c r="C1322" s="35"/>
      <c r="F1322" s="29"/>
      <c r="I1322" s="24"/>
      <c r="K1322" s="28"/>
      <c r="P1322" s="29"/>
      <c r="S1322" s="24"/>
    </row>
    <row r="1323" ht="15.75" hidden="1" customHeight="1">
      <c r="A1323" s="34"/>
      <c r="B1323" s="36"/>
      <c r="C1323" s="36"/>
      <c r="F1323" s="29"/>
      <c r="I1323" s="24"/>
      <c r="K1323" s="28"/>
      <c r="P1323" s="29"/>
      <c r="S1323" s="24"/>
    </row>
    <row r="1324" ht="15.75" hidden="1" customHeight="1">
      <c r="A1324" s="34"/>
      <c r="B1324" s="36"/>
      <c r="C1324" s="36"/>
      <c r="F1324" s="29"/>
      <c r="I1324" s="24"/>
      <c r="K1324" s="28"/>
      <c r="P1324" s="29"/>
      <c r="S1324" s="24"/>
    </row>
    <row r="1325" ht="15.75" hidden="1" customHeight="1">
      <c r="A1325" s="34"/>
      <c r="B1325" s="35"/>
      <c r="C1325" s="35"/>
      <c r="F1325" s="29"/>
      <c r="I1325" s="24"/>
      <c r="K1325" s="28"/>
      <c r="P1325" s="29"/>
      <c r="S1325" s="24"/>
    </row>
    <row r="1326" ht="15.75" hidden="1" customHeight="1">
      <c r="A1326" s="34"/>
      <c r="B1326" s="35"/>
      <c r="C1326" s="35"/>
      <c r="F1326" s="29"/>
      <c r="I1326" s="24"/>
      <c r="K1326" s="28"/>
      <c r="P1326" s="29"/>
      <c r="S1326" s="24"/>
    </row>
    <row r="1327" ht="15.75" hidden="1" customHeight="1">
      <c r="A1327" s="34"/>
      <c r="B1327" s="35"/>
      <c r="C1327" s="35"/>
      <c r="F1327" s="29"/>
      <c r="I1327" s="24"/>
      <c r="K1327" s="28"/>
      <c r="P1327" s="29"/>
      <c r="S1327" s="24"/>
    </row>
    <row r="1328" ht="15.75" hidden="1" customHeight="1">
      <c r="A1328" s="34"/>
      <c r="B1328" s="35"/>
      <c r="C1328" s="35"/>
      <c r="F1328" s="29"/>
      <c r="I1328" s="24"/>
      <c r="K1328" s="28"/>
      <c r="P1328" s="29"/>
      <c r="S1328" s="24"/>
    </row>
    <row r="1329" ht="15.75" hidden="1" customHeight="1">
      <c r="A1329" s="34"/>
      <c r="B1329" s="35"/>
      <c r="C1329" s="35"/>
      <c r="F1329" s="29"/>
      <c r="I1329" s="24"/>
      <c r="K1329" s="28"/>
      <c r="P1329" s="29"/>
      <c r="S1329" s="24"/>
    </row>
    <row r="1330" ht="15.75" hidden="1" customHeight="1">
      <c r="A1330" s="34"/>
      <c r="B1330" s="36"/>
      <c r="C1330" s="36"/>
      <c r="F1330" s="29"/>
      <c r="I1330" s="24"/>
      <c r="K1330" s="28"/>
      <c r="P1330" s="29"/>
      <c r="S1330" s="24"/>
    </row>
    <row r="1331" ht="15.75" hidden="1" customHeight="1">
      <c r="A1331" s="34"/>
      <c r="B1331" s="36"/>
      <c r="C1331" s="36"/>
      <c r="F1331" s="29"/>
      <c r="I1331" s="24"/>
      <c r="K1331" s="28"/>
      <c r="P1331" s="29"/>
      <c r="S1331" s="24"/>
    </row>
    <row r="1332" ht="15.75" hidden="1" customHeight="1">
      <c r="A1332" s="34"/>
      <c r="B1332" s="35"/>
      <c r="C1332" s="35"/>
      <c r="F1332" s="29"/>
      <c r="I1332" s="24"/>
      <c r="K1332" s="28"/>
      <c r="P1332" s="29"/>
      <c r="S1332" s="24"/>
    </row>
    <row r="1333" ht="15.75" hidden="1" customHeight="1">
      <c r="A1333" s="34"/>
      <c r="B1333" s="35"/>
      <c r="C1333" s="35"/>
      <c r="F1333" s="29"/>
      <c r="I1333" s="24"/>
      <c r="K1333" s="28"/>
      <c r="P1333" s="29"/>
      <c r="S1333" s="24"/>
    </row>
    <row r="1334" ht="15.75" hidden="1" customHeight="1">
      <c r="A1334" s="34"/>
      <c r="B1334" s="35"/>
      <c r="C1334" s="35"/>
      <c r="F1334" s="29"/>
      <c r="I1334" s="24"/>
      <c r="K1334" s="28"/>
      <c r="P1334" s="29"/>
      <c r="S1334" s="24"/>
    </row>
    <row r="1335" ht="15.75" hidden="1" customHeight="1">
      <c r="A1335" s="34"/>
      <c r="B1335" s="35"/>
      <c r="C1335" s="35"/>
      <c r="F1335" s="29"/>
      <c r="I1335" s="24"/>
      <c r="K1335" s="28"/>
      <c r="P1335" s="29"/>
      <c r="S1335" s="24"/>
    </row>
    <row r="1336" ht="15.75" hidden="1" customHeight="1">
      <c r="A1336" s="34"/>
      <c r="B1336" s="35"/>
      <c r="C1336" s="35"/>
      <c r="F1336" s="29"/>
      <c r="I1336" s="24"/>
      <c r="K1336" s="28"/>
      <c r="P1336" s="29"/>
      <c r="S1336" s="24"/>
    </row>
    <row r="1337" ht="15.75" hidden="1" customHeight="1">
      <c r="A1337" s="34"/>
      <c r="B1337" s="36"/>
      <c r="C1337" s="36"/>
      <c r="F1337" s="29"/>
      <c r="I1337" s="24"/>
      <c r="K1337" s="28"/>
      <c r="P1337" s="29"/>
      <c r="S1337" s="24"/>
    </row>
    <row r="1338" ht="15.75" hidden="1" customHeight="1">
      <c r="A1338" s="34"/>
      <c r="B1338" s="36"/>
      <c r="C1338" s="36"/>
      <c r="F1338" s="29"/>
      <c r="I1338" s="24"/>
      <c r="K1338" s="28"/>
      <c r="P1338" s="29"/>
      <c r="S1338" s="24"/>
    </row>
    <row r="1339" ht="15.75" hidden="1" customHeight="1">
      <c r="A1339" s="34"/>
      <c r="B1339" s="35"/>
      <c r="C1339" s="35"/>
      <c r="F1339" s="29"/>
      <c r="I1339" s="24"/>
      <c r="K1339" s="28"/>
      <c r="P1339" s="29"/>
      <c r="S1339" s="24"/>
    </row>
    <row r="1340" ht="15.75" hidden="1" customHeight="1">
      <c r="A1340" s="34"/>
      <c r="B1340" s="35"/>
      <c r="C1340" s="35"/>
      <c r="F1340" s="29"/>
      <c r="I1340" s="24"/>
      <c r="K1340" s="28"/>
      <c r="P1340" s="29"/>
      <c r="S1340" s="24"/>
    </row>
    <row r="1341" ht="15.75" hidden="1" customHeight="1">
      <c r="A1341" s="34"/>
      <c r="B1341" s="35"/>
      <c r="C1341" s="35"/>
      <c r="F1341" s="29"/>
      <c r="I1341" s="24"/>
      <c r="K1341" s="28"/>
      <c r="P1341" s="29"/>
      <c r="S1341" s="24"/>
    </row>
    <row r="1342" ht="15.75" hidden="1" customHeight="1">
      <c r="A1342" s="34"/>
      <c r="B1342" s="35"/>
      <c r="C1342" s="35"/>
      <c r="F1342" s="29"/>
      <c r="I1342" s="24"/>
      <c r="K1342" s="28"/>
      <c r="P1342" s="29"/>
      <c r="S1342" s="24"/>
    </row>
    <row r="1343" ht="15.75" hidden="1" customHeight="1">
      <c r="A1343" s="34"/>
      <c r="B1343" s="35"/>
      <c r="C1343" s="35"/>
      <c r="F1343" s="29"/>
      <c r="I1343" s="24"/>
      <c r="K1343" s="28"/>
      <c r="P1343" s="29"/>
      <c r="S1343" s="24"/>
    </row>
    <row r="1344" ht="15.75" hidden="1" customHeight="1">
      <c r="A1344" s="34"/>
      <c r="B1344" s="36"/>
      <c r="C1344" s="36"/>
      <c r="F1344" s="29"/>
      <c r="I1344" s="24"/>
      <c r="K1344" s="28"/>
      <c r="P1344" s="29"/>
      <c r="S1344" s="24"/>
    </row>
    <row r="1345" ht="15.75" hidden="1" customHeight="1">
      <c r="A1345" s="34"/>
      <c r="B1345" s="36"/>
      <c r="C1345" s="36"/>
      <c r="F1345" s="29"/>
      <c r="I1345" s="24"/>
      <c r="K1345" s="28"/>
      <c r="P1345" s="29"/>
      <c r="S1345" s="24"/>
    </row>
    <row r="1346" ht="15.75" hidden="1" customHeight="1">
      <c r="A1346" s="34"/>
      <c r="B1346" s="35"/>
      <c r="C1346" s="35"/>
      <c r="F1346" s="29"/>
      <c r="I1346" s="24"/>
      <c r="K1346" s="28"/>
      <c r="P1346" s="29"/>
      <c r="S1346" s="24"/>
    </row>
    <row r="1347" ht="15.75" hidden="1" customHeight="1">
      <c r="A1347" s="34"/>
      <c r="B1347" s="35"/>
      <c r="C1347" s="35"/>
      <c r="F1347" s="29"/>
      <c r="I1347" s="24"/>
      <c r="K1347" s="28"/>
      <c r="P1347" s="29"/>
      <c r="S1347" s="24"/>
    </row>
    <row r="1348" ht="15.75" hidden="1" customHeight="1">
      <c r="A1348" s="34"/>
      <c r="B1348" s="35"/>
      <c r="C1348" s="35"/>
      <c r="F1348" s="29"/>
      <c r="I1348" s="24"/>
      <c r="K1348" s="28"/>
      <c r="P1348" s="29"/>
      <c r="S1348" s="24"/>
    </row>
    <row r="1349" ht="15.75" hidden="1" customHeight="1">
      <c r="A1349" s="34"/>
      <c r="B1349" s="35"/>
      <c r="C1349" s="35"/>
      <c r="F1349" s="29"/>
      <c r="I1349" s="24"/>
      <c r="K1349" s="28"/>
      <c r="P1349" s="29"/>
      <c r="S1349" s="24"/>
    </row>
    <row r="1350" ht="15.75" hidden="1" customHeight="1">
      <c r="A1350" s="34"/>
      <c r="B1350" s="35"/>
      <c r="C1350" s="35"/>
      <c r="F1350" s="29"/>
      <c r="I1350" s="24"/>
      <c r="K1350" s="28"/>
      <c r="P1350" s="29"/>
      <c r="S1350" s="24"/>
    </row>
    <row r="1351" ht="15.75" hidden="1" customHeight="1">
      <c r="A1351" s="34"/>
      <c r="B1351" s="36"/>
      <c r="C1351" s="36"/>
      <c r="F1351" s="29"/>
      <c r="I1351" s="24"/>
      <c r="K1351" s="28"/>
      <c r="P1351" s="29"/>
      <c r="S1351" s="24"/>
    </row>
    <row r="1352" ht="15.75" hidden="1" customHeight="1">
      <c r="A1352" s="34"/>
      <c r="B1352" s="36"/>
      <c r="C1352" s="36"/>
      <c r="F1352" s="29"/>
      <c r="I1352" s="24"/>
      <c r="K1352" s="28"/>
      <c r="P1352" s="29"/>
      <c r="S1352" s="24"/>
    </row>
    <row r="1353" ht="15.75" hidden="1" customHeight="1">
      <c r="A1353" s="34"/>
      <c r="B1353" s="35"/>
      <c r="C1353" s="35"/>
      <c r="F1353" s="29"/>
      <c r="I1353" s="24"/>
      <c r="K1353" s="28"/>
      <c r="P1353" s="29"/>
      <c r="S1353" s="24"/>
    </row>
    <row r="1354" ht="15.75" hidden="1" customHeight="1">
      <c r="A1354" s="34"/>
      <c r="B1354" s="35"/>
      <c r="C1354" s="35"/>
      <c r="F1354" s="29"/>
      <c r="I1354" s="24"/>
      <c r="K1354" s="28"/>
      <c r="P1354" s="29"/>
      <c r="S1354" s="24"/>
    </row>
    <row r="1355" ht="15.75" hidden="1" customHeight="1">
      <c r="A1355" s="34"/>
      <c r="B1355" s="35"/>
      <c r="C1355" s="35"/>
      <c r="F1355" s="29"/>
      <c r="I1355" s="24"/>
      <c r="K1355" s="28"/>
      <c r="P1355" s="29"/>
      <c r="S1355" s="24"/>
    </row>
    <row r="1356" ht="15.75" hidden="1" customHeight="1">
      <c r="A1356" s="34"/>
      <c r="B1356" s="35"/>
      <c r="C1356" s="35"/>
      <c r="F1356" s="29"/>
      <c r="I1356" s="24"/>
      <c r="K1356" s="28"/>
      <c r="P1356" s="29"/>
      <c r="S1356" s="24"/>
    </row>
    <row r="1357" ht="15.75" hidden="1" customHeight="1">
      <c r="A1357" s="34"/>
      <c r="B1357" s="35"/>
      <c r="C1357" s="35"/>
      <c r="F1357" s="29"/>
      <c r="I1357" s="24"/>
      <c r="K1357" s="28"/>
      <c r="P1357" s="29"/>
      <c r="S1357" s="24"/>
    </row>
    <row r="1358" ht="15.75" hidden="1" customHeight="1">
      <c r="A1358" s="34"/>
      <c r="B1358" s="36"/>
      <c r="C1358" s="36"/>
      <c r="F1358" s="29"/>
      <c r="I1358" s="24"/>
      <c r="K1358" s="28"/>
      <c r="P1358" s="29"/>
      <c r="S1358" s="24"/>
    </row>
    <row r="1359" ht="15.75" hidden="1" customHeight="1">
      <c r="A1359" s="34"/>
      <c r="B1359" s="36"/>
      <c r="C1359" s="36"/>
      <c r="F1359" s="29"/>
      <c r="I1359" s="24"/>
      <c r="K1359" s="28"/>
      <c r="P1359" s="29"/>
      <c r="S1359" s="24"/>
    </row>
    <row r="1360" ht="15.75" hidden="1" customHeight="1">
      <c r="A1360" s="34"/>
      <c r="B1360" s="35"/>
      <c r="C1360" s="35"/>
      <c r="F1360" s="29"/>
      <c r="I1360" s="24"/>
      <c r="K1360" s="28"/>
      <c r="P1360" s="29"/>
      <c r="S1360" s="24"/>
    </row>
    <row r="1361" ht="15.75" hidden="1" customHeight="1">
      <c r="A1361" s="34"/>
      <c r="B1361" s="35"/>
      <c r="C1361" s="35"/>
      <c r="F1361" s="29"/>
      <c r="I1361" s="24"/>
      <c r="K1361" s="28"/>
      <c r="P1361" s="29"/>
      <c r="S1361" s="24"/>
    </row>
    <row r="1362" ht="15.75" hidden="1" customHeight="1">
      <c r="A1362" s="34"/>
      <c r="B1362" s="35"/>
      <c r="C1362" s="35"/>
      <c r="F1362" s="29"/>
      <c r="I1362" s="24"/>
      <c r="K1362" s="28"/>
      <c r="P1362" s="29"/>
      <c r="S1362" s="24"/>
    </row>
    <row r="1363" ht="15.75" hidden="1" customHeight="1">
      <c r="A1363" s="34"/>
      <c r="B1363" s="35"/>
      <c r="C1363" s="35"/>
      <c r="F1363" s="29"/>
      <c r="I1363" s="24"/>
      <c r="K1363" s="28"/>
      <c r="P1363" s="29"/>
      <c r="S1363" s="24"/>
    </row>
    <row r="1364" ht="15.75" hidden="1" customHeight="1">
      <c r="A1364" s="34"/>
      <c r="B1364" s="35"/>
      <c r="C1364" s="35"/>
      <c r="F1364" s="29"/>
      <c r="I1364" s="24"/>
      <c r="K1364" s="28"/>
      <c r="P1364" s="29"/>
      <c r="S1364" s="24"/>
    </row>
    <row r="1365" ht="15.75" hidden="1" customHeight="1">
      <c r="A1365" s="34"/>
      <c r="B1365" s="36"/>
      <c r="C1365" s="36"/>
      <c r="F1365" s="29"/>
      <c r="I1365" s="24"/>
      <c r="K1365" s="28"/>
      <c r="P1365" s="29"/>
      <c r="S1365" s="24"/>
    </row>
    <row r="1366" ht="15.75" hidden="1" customHeight="1">
      <c r="A1366" s="34"/>
      <c r="B1366" s="36"/>
      <c r="C1366" s="36"/>
      <c r="F1366" s="29"/>
      <c r="I1366" s="24"/>
      <c r="K1366" s="28"/>
      <c r="P1366" s="29"/>
      <c r="S1366" s="24"/>
    </row>
    <row r="1367" ht="15.75" hidden="1" customHeight="1">
      <c r="A1367" s="34"/>
      <c r="B1367" s="35"/>
      <c r="C1367" s="35"/>
      <c r="F1367" s="29"/>
      <c r="I1367" s="24"/>
      <c r="K1367" s="28"/>
      <c r="P1367" s="29"/>
      <c r="S1367" s="24"/>
    </row>
    <row r="1368" ht="15.75" hidden="1" customHeight="1">
      <c r="A1368" s="34"/>
      <c r="B1368" s="35"/>
      <c r="C1368" s="35"/>
      <c r="F1368" s="29"/>
      <c r="I1368" s="24"/>
      <c r="K1368" s="28"/>
      <c r="P1368" s="29"/>
      <c r="S1368" s="24"/>
    </row>
    <row r="1369" ht="15.75" hidden="1" customHeight="1">
      <c r="A1369" s="34"/>
      <c r="B1369" s="35"/>
      <c r="C1369" s="35"/>
      <c r="F1369" s="29"/>
      <c r="I1369" s="24"/>
      <c r="K1369" s="28"/>
      <c r="P1369" s="29"/>
      <c r="S1369" s="24"/>
    </row>
    <row r="1370" ht="15.75" hidden="1" customHeight="1">
      <c r="A1370" s="34"/>
      <c r="B1370" s="35"/>
      <c r="F1370" s="29"/>
      <c r="I1370" s="24"/>
      <c r="K1370" s="28"/>
      <c r="P1370" s="29"/>
      <c r="S1370" s="24"/>
    </row>
    <row r="1371" ht="15.75" hidden="1" customHeight="1">
      <c r="A1371" s="34"/>
      <c r="B1371" s="36"/>
      <c r="C1371" s="36"/>
      <c r="F1371" s="29"/>
      <c r="I1371" s="24"/>
      <c r="K1371" s="28"/>
      <c r="P1371" s="29"/>
      <c r="S1371" s="24"/>
    </row>
    <row r="1372" ht="15.75" hidden="1" customHeight="1">
      <c r="A1372" s="34"/>
      <c r="B1372" s="36"/>
      <c r="C1372" s="36"/>
      <c r="F1372" s="29"/>
      <c r="I1372" s="24"/>
      <c r="K1372" s="28"/>
      <c r="P1372" s="29"/>
      <c r="S1372" s="24"/>
    </row>
    <row r="1373" ht="15.75" hidden="1" customHeight="1">
      <c r="A1373" s="34"/>
      <c r="B1373" s="36"/>
      <c r="C1373" s="36"/>
      <c r="F1373" s="29"/>
      <c r="I1373" s="24"/>
      <c r="K1373" s="28"/>
      <c r="P1373" s="29"/>
      <c r="S1373" s="24"/>
    </row>
    <row r="1374" ht="15.75" hidden="1" customHeight="1">
      <c r="A1374" s="34"/>
      <c r="C1374" s="35"/>
      <c r="F1374" s="29"/>
      <c r="I1374" s="24"/>
      <c r="K1374" s="28"/>
      <c r="P1374" s="29"/>
      <c r="S1374" s="24"/>
    </row>
    <row r="1375" ht="15.75" hidden="1" customHeight="1">
      <c r="A1375" s="34"/>
      <c r="B1375" s="35"/>
      <c r="C1375" s="35"/>
      <c r="F1375" s="29"/>
      <c r="I1375" s="24"/>
      <c r="K1375" s="28"/>
      <c r="P1375" s="29"/>
      <c r="S1375" s="24"/>
    </row>
    <row r="1376" ht="15.75" hidden="1" customHeight="1">
      <c r="A1376" s="34"/>
      <c r="B1376" s="35"/>
      <c r="C1376" s="35"/>
      <c r="F1376" s="29"/>
      <c r="I1376" s="24"/>
      <c r="K1376" s="28"/>
      <c r="P1376" s="29"/>
      <c r="S1376" s="24"/>
    </row>
    <row r="1377" ht="15.75" hidden="1" customHeight="1">
      <c r="A1377" s="34"/>
      <c r="B1377" s="35"/>
      <c r="C1377" s="35"/>
      <c r="F1377" s="29"/>
      <c r="I1377" s="24"/>
      <c r="K1377" s="28"/>
      <c r="P1377" s="29"/>
      <c r="S1377" s="24"/>
    </row>
    <row r="1378" ht="15.75" hidden="1" customHeight="1">
      <c r="A1378" s="34"/>
      <c r="B1378" s="35"/>
      <c r="C1378" s="35"/>
      <c r="F1378" s="29"/>
      <c r="I1378" s="24"/>
      <c r="K1378" s="28"/>
      <c r="P1378" s="29"/>
      <c r="S1378" s="24"/>
    </row>
    <row r="1379" ht="15.75" hidden="1" customHeight="1">
      <c r="A1379" s="34"/>
      <c r="B1379" s="36"/>
      <c r="C1379" s="36"/>
      <c r="F1379" s="29"/>
      <c r="I1379" s="24"/>
      <c r="K1379" s="28"/>
      <c r="P1379" s="29"/>
      <c r="S1379" s="24"/>
    </row>
    <row r="1380" ht="15.75" hidden="1" customHeight="1">
      <c r="A1380" s="34"/>
      <c r="B1380" s="36"/>
      <c r="C1380" s="36"/>
      <c r="F1380" s="29"/>
      <c r="I1380" s="24"/>
      <c r="K1380" s="28"/>
      <c r="P1380" s="29"/>
      <c r="S1380" s="24"/>
    </row>
    <row r="1381" ht="15.75" hidden="1" customHeight="1">
      <c r="A1381" s="34"/>
      <c r="B1381" s="35"/>
      <c r="C1381" s="35"/>
      <c r="F1381" s="29"/>
      <c r="I1381" s="24"/>
      <c r="K1381" s="28"/>
      <c r="P1381" s="29"/>
      <c r="S1381" s="24"/>
    </row>
    <row r="1382" ht="15.75" hidden="1" customHeight="1">
      <c r="A1382" s="34"/>
      <c r="B1382" s="35"/>
      <c r="C1382" s="35"/>
      <c r="F1382" s="29"/>
      <c r="I1382" s="24"/>
      <c r="K1382" s="28"/>
      <c r="P1382" s="29"/>
      <c r="S1382" s="24"/>
    </row>
    <row r="1383" ht="15.75" hidden="1" customHeight="1">
      <c r="A1383" s="34"/>
      <c r="B1383" s="35"/>
      <c r="C1383" s="35"/>
      <c r="F1383" s="29"/>
      <c r="I1383" s="24"/>
      <c r="K1383" s="28"/>
      <c r="P1383" s="29"/>
      <c r="S1383" s="24"/>
    </row>
    <row r="1384" ht="15.75" hidden="1" customHeight="1">
      <c r="A1384" s="34"/>
      <c r="B1384" s="35"/>
      <c r="C1384" s="35"/>
      <c r="F1384" s="29"/>
      <c r="I1384" s="24"/>
      <c r="K1384" s="28"/>
      <c r="P1384" s="29"/>
      <c r="S1384" s="24"/>
    </row>
    <row r="1385" ht="15.75" hidden="1" customHeight="1">
      <c r="A1385" s="34"/>
      <c r="B1385" s="35"/>
      <c r="C1385" s="35"/>
      <c r="F1385" s="29"/>
      <c r="I1385" s="24"/>
      <c r="K1385" s="28"/>
      <c r="P1385" s="29"/>
      <c r="S1385" s="24"/>
    </row>
    <row r="1386" ht="15.75" hidden="1" customHeight="1">
      <c r="A1386" s="34"/>
      <c r="B1386" s="36"/>
      <c r="C1386" s="36"/>
      <c r="F1386" s="29"/>
      <c r="I1386" s="24"/>
      <c r="K1386" s="28"/>
      <c r="P1386" s="29"/>
      <c r="S1386" s="24"/>
    </row>
    <row r="1387" ht="15.75" hidden="1" customHeight="1">
      <c r="A1387" s="34"/>
      <c r="B1387" s="36"/>
      <c r="C1387" s="36"/>
      <c r="F1387" s="29"/>
      <c r="I1387" s="24"/>
      <c r="K1387" s="28"/>
      <c r="P1387" s="29"/>
      <c r="S1387" s="24"/>
    </row>
    <row r="1388" ht="15.75" hidden="1" customHeight="1">
      <c r="A1388" s="34"/>
      <c r="B1388" s="36"/>
      <c r="C1388" s="36"/>
      <c r="F1388" s="29"/>
      <c r="I1388" s="24"/>
      <c r="K1388" s="28"/>
      <c r="P1388" s="29"/>
      <c r="S1388" s="24"/>
    </row>
    <row r="1389" ht="15.75" hidden="1" customHeight="1">
      <c r="A1389" s="34"/>
      <c r="B1389" s="35"/>
      <c r="C1389" s="35"/>
      <c r="F1389" s="29"/>
      <c r="I1389" s="24"/>
      <c r="K1389" s="28"/>
      <c r="P1389" s="29"/>
      <c r="S1389" s="24"/>
    </row>
    <row r="1390" ht="15.75" hidden="1" customHeight="1">
      <c r="A1390" s="34"/>
      <c r="B1390" s="35"/>
      <c r="C1390" s="35"/>
      <c r="F1390" s="29"/>
      <c r="I1390" s="24"/>
      <c r="K1390" s="28"/>
      <c r="P1390" s="29"/>
      <c r="S1390" s="24"/>
    </row>
    <row r="1391" ht="15.75" hidden="1" customHeight="1">
      <c r="A1391" s="34"/>
      <c r="B1391" s="35"/>
      <c r="C1391" s="35"/>
      <c r="F1391" s="29"/>
      <c r="I1391" s="24"/>
      <c r="K1391" s="28"/>
      <c r="P1391" s="29"/>
      <c r="S1391" s="24"/>
    </row>
    <row r="1392" ht="15.75" hidden="1" customHeight="1">
      <c r="A1392" s="34"/>
      <c r="B1392" s="35"/>
      <c r="C1392" s="35"/>
      <c r="F1392" s="29"/>
      <c r="I1392" s="24"/>
      <c r="K1392" s="28"/>
      <c r="P1392" s="29"/>
      <c r="S1392" s="24"/>
    </row>
    <row r="1393" ht="15.75" hidden="1" customHeight="1">
      <c r="A1393" s="34"/>
      <c r="B1393" s="36"/>
      <c r="C1393" s="36"/>
      <c r="F1393" s="29"/>
      <c r="I1393" s="24"/>
      <c r="K1393" s="28"/>
      <c r="P1393" s="29"/>
      <c r="S1393" s="24"/>
    </row>
    <row r="1394" ht="15.75" hidden="1" customHeight="1">
      <c r="A1394" s="34"/>
      <c r="B1394" s="36"/>
      <c r="C1394" s="36"/>
      <c r="F1394" s="29"/>
      <c r="I1394" s="24"/>
      <c r="K1394" s="28"/>
      <c r="P1394" s="29"/>
      <c r="S1394" s="24"/>
    </row>
    <row r="1395" ht="15.75" hidden="1" customHeight="1">
      <c r="A1395" s="34"/>
      <c r="B1395" s="35"/>
      <c r="C1395" s="35"/>
      <c r="F1395" s="29"/>
      <c r="I1395" s="24"/>
      <c r="K1395" s="28"/>
      <c r="P1395" s="29"/>
      <c r="S1395" s="24"/>
    </row>
    <row r="1396" ht="15.75" hidden="1" customHeight="1">
      <c r="A1396" s="34"/>
      <c r="B1396" s="35"/>
      <c r="C1396" s="35"/>
      <c r="F1396" s="29"/>
      <c r="I1396" s="24"/>
      <c r="K1396" s="28"/>
      <c r="P1396" s="29"/>
      <c r="S1396" s="24"/>
    </row>
    <row r="1397" ht="15.75" hidden="1" customHeight="1">
      <c r="A1397" s="34"/>
      <c r="B1397" s="35"/>
      <c r="C1397" s="35"/>
      <c r="F1397" s="29"/>
      <c r="I1397" s="24"/>
      <c r="K1397" s="28"/>
      <c r="P1397" s="29"/>
      <c r="S1397" s="24"/>
    </row>
    <row r="1398" ht="15.75" hidden="1" customHeight="1">
      <c r="A1398" s="34"/>
      <c r="B1398" s="35"/>
      <c r="C1398" s="35"/>
      <c r="F1398" s="29"/>
      <c r="I1398" s="24"/>
      <c r="K1398" s="28"/>
      <c r="P1398" s="29"/>
      <c r="S1398" s="24"/>
    </row>
    <row r="1399" ht="15.75" hidden="1" customHeight="1">
      <c r="A1399" s="34"/>
      <c r="B1399" s="35"/>
      <c r="C1399" s="35"/>
      <c r="F1399" s="29"/>
      <c r="I1399" s="24"/>
      <c r="K1399" s="28"/>
      <c r="P1399" s="29"/>
      <c r="S1399" s="24"/>
    </row>
    <row r="1400" ht="15.75" hidden="1" customHeight="1">
      <c r="A1400" s="34"/>
      <c r="B1400" s="36"/>
      <c r="C1400" s="36"/>
      <c r="F1400" s="29"/>
      <c r="I1400" s="24"/>
      <c r="K1400" s="28"/>
      <c r="P1400" s="29"/>
      <c r="S1400" s="24"/>
    </row>
    <row r="1401" ht="15.75" hidden="1" customHeight="1">
      <c r="A1401" s="34"/>
      <c r="B1401" s="36"/>
      <c r="C1401" s="36"/>
      <c r="F1401" s="29"/>
      <c r="I1401" s="24"/>
      <c r="K1401" s="28"/>
      <c r="P1401" s="29"/>
      <c r="S1401" s="24"/>
    </row>
    <row r="1402" ht="15.75" hidden="1" customHeight="1">
      <c r="A1402" s="34"/>
      <c r="B1402" s="35"/>
      <c r="C1402" s="35"/>
      <c r="F1402" s="29"/>
      <c r="I1402" s="24"/>
      <c r="K1402" s="28"/>
      <c r="P1402" s="29"/>
      <c r="S1402" s="24"/>
    </row>
    <row r="1403" ht="15.75" hidden="1" customHeight="1">
      <c r="A1403" s="34"/>
      <c r="B1403" s="35"/>
      <c r="C1403" s="35"/>
      <c r="F1403" s="29"/>
      <c r="I1403" s="24"/>
      <c r="K1403" s="28"/>
      <c r="P1403" s="29"/>
      <c r="S1403" s="24"/>
    </row>
    <row r="1404" ht="15.75" hidden="1" customHeight="1">
      <c r="A1404" s="34"/>
      <c r="B1404" s="35"/>
      <c r="C1404" s="35"/>
      <c r="F1404" s="29"/>
      <c r="I1404" s="24"/>
      <c r="K1404" s="28"/>
      <c r="P1404" s="29"/>
      <c r="S1404" s="24"/>
    </row>
    <row r="1405" ht="15.75" hidden="1" customHeight="1">
      <c r="A1405" s="34"/>
      <c r="B1405" s="35"/>
      <c r="C1405" s="35"/>
      <c r="F1405" s="29"/>
      <c r="I1405" s="24"/>
      <c r="K1405" s="28"/>
      <c r="P1405" s="29"/>
      <c r="S1405" s="24"/>
    </row>
    <row r="1406" ht="15.75" hidden="1" customHeight="1">
      <c r="A1406" s="34"/>
      <c r="B1406" s="35"/>
      <c r="C1406" s="35"/>
      <c r="F1406" s="29"/>
      <c r="I1406" s="24"/>
      <c r="K1406" s="28"/>
      <c r="P1406" s="29"/>
      <c r="S1406" s="24"/>
    </row>
    <row r="1407" ht="15.75" hidden="1" customHeight="1">
      <c r="A1407" s="34"/>
      <c r="B1407" s="36"/>
      <c r="C1407" s="36"/>
      <c r="F1407" s="29"/>
      <c r="I1407" s="24"/>
      <c r="K1407" s="28"/>
      <c r="P1407" s="29"/>
      <c r="S1407" s="24"/>
    </row>
    <row r="1408" ht="15.75" hidden="1" customHeight="1">
      <c r="A1408" s="34"/>
      <c r="B1408" s="36"/>
      <c r="C1408" s="36"/>
      <c r="F1408" s="29"/>
      <c r="I1408" s="24"/>
      <c r="K1408" s="28"/>
      <c r="P1408" s="29"/>
      <c r="S1408" s="24"/>
    </row>
    <row r="1409" ht="15.75" hidden="1" customHeight="1">
      <c r="A1409" s="34"/>
      <c r="B1409" s="35"/>
      <c r="C1409" s="35"/>
      <c r="F1409" s="29"/>
      <c r="I1409" s="24"/>
      <c r="K1409" s="28"/>
      <c r="P1409" s="29"/>
      <c r="S1409" s="24"/>
    </row>
    <row r="1410" ht="15.75" hidden="1" customHeight="1">
      <c r="A1410" s="34"/>
      <c r="B1410" s="35"/>
      <c r="C1410" s="35"/>
      <c r="F1410" s="29"/>
      <c r="I1410" s="24"/>
      <c r="K1410" s="28"/>
      <c r="P1410" s="29"/>
      <c r="S1410" s="24"/>
    </row>
    <row r="1411" ht="15.75" hidden="1" customHeight="1">
      <c r="A1411" s="34"/>
      <c r="B1411" s="35"/>
      <c r="C1411" s="35"/>
      <c r="F1411" s="29"/>
      <c r="I1411" s="24"/>
      <c r="K1411" s="28"/>
      <c r="P1411" s="29"/>
      <c r="S1411" s="24"/>
    </row>
    <row r="1412" ht="15.75" hidden="1" customHeight="1">
      <c r="A1412" s="34"/>
      <c r="B1412" s="35"/>
      <c r="C1412" s="35"/>
      <c r="F1412" s="29"/>
      <c r="I1412" s="24"/>
      <c r="K1412" s="28"/>
      <c r="P1412" s="29"/>
      <c r="S1412" s="24"/>
    </row>
    <row r="1413" ht="15.75" hidden="1" customHeight="1">
      <c r="A1413" s="34"/>
      <c r="B1413" s="36"/>
      <c r="C1413" s="36"/>
      <c r="F1413" s="29"/>
      <c r="I1413" s="24"/>
      <c r="K1413" s="28"/>
      <c r="P1413" s="29"/>
      <c r="S1413" s="24"/>
    </row>
    <row r="1414" ht="15.75" hidden="1" customHeight="1">
      <c r="A1414" s="34"/>
      <c r="B1414" s="36"/>
      <c r="C1414" s="36"/>
      <c r="F1414" s="29"/>
      <c r="I1414" s="24"/>
      <c r="K1414" s="28"/>
      <c r="P1414" s="29"/>
      <c r="S1414" s="24"/>
    </row>
    <row r="1415" ht="15.75" hidden="1" customHeight="1">
      <c r="A1415" s="34"/>
      <c r="B1415" s="36"/>
      <c r="C1415" s="36"/>
      <c r="F1415" s="29"/>
      <c r="I1415" s="24"/>
      <c r="K1415" s="28"/>
      <c r="P1415" s="29"/>
      <c r="S1415" s="24"/>
    </row>
    <row r="1416" ht="15.75" hidden="1" customHeight="1">
      <c r="A1416" s="34"/>
      <c r="B1416" s="36"/>
      <c r="C1416" s="36"/>
      <c r="F1416" s="29"/>
      <c r="I1416" s="24"/>
      <c r="K1416" s="28"/>
      <c r="P1416" s="29"/>
      <c r="S1416" s="24"/>
    </row>
    <row r="1417" ht="15.75" hidden="1" customHeight="1">
      <c r="A1417" s="34"/>
      <c r="B1417" s="35"/>
      <c r="C1417" s="35"/>
      <c r="F1417" s="29"/>
      <c r="I1417" s="24"/>
      <c r="K1417" s="28"/>
      <c r="P1417" s="29"/>
      <c r="S1417" s="24"/>
    </row>
    <row r="1418" ht="15.75" hidden="1" customHeight="1">
      <c r="A1418" s="34"/>
      <c r="B1418" s="35"/>
      <c r="C1418" s="35"/>
      <c r="F1418" s="29"/>
      <c r="I1418" s="24"/>
      <c r="K1418" s="28"/>
      <c r="P1418" s="29"/>
      <c r="S1418" s="24"/>
    </row>
    <row r="1419" ht="15.75" hidden="1" customHeight="1">
      <c r="A1419" s="34"/>
      <c r="B1419" s="35"/>
      <c r="C1419" s="35"/>
      <c r="F1419" s="29"/>
      <c r="I1419" s="24"/>
      <c r="K1419" s="28"/>
      <c r="P1419" s="29"/>
      <c r="S1419" s="24"/>
    </row>
    <row r="1420" ht="15.75" hidden="1" customHeight="1">
      <c r="A1420" s="34"/>
      <c r="B1420" s="35"/>
      <c r="C1420" s="35"/>
      <c r="F1420" s="29"/>
      <c r="I1420" s="24"/>
      <c r="K1420" s="28"/>
      <c r="P1420" s="29"/>
      <c r="S1420" s="24"/>
    </row>
    <row r="1421" ht="15.75" hidden="1" customHeight="1">
      <c r="A1421" s="34"/>
      <c r="B1421" s="36"/>
      <c r="C1421" s="36"/>
      <c r="F1421" s="29"/>
      <c r="I1421" s="24"/>
      <c r="K1421" s="28"/>
      <c r="P1421" s="29"/>
      <c r="S1421" s="24"/>
    </row>
    <row r="1422" ht="15.75" hidden="1" customHeight="1">
      <c r="A1422" s="34"/>
      <c r="B1422" s="36"/>
      <c r="C1422" s="36"/>
      <c r="F1422" s="29"/>
      <c r="I1422" s="24"/>
      <c r="K1422" s="28"/>
      <c r="P1422" s="29"/>
      <c r="S1422" s="24"/>
    </row>
    <row r="1423" ht="15.75" hidden="1" customHeight="1">
      <c r="A1423" s="34"/>
      <c r="B1423" s="35"/>
      <c r="C1423" s="35"/>
      <c r="F1423" s="29"/>
      <c r="I1423" s="24"/>
      <c r="K1423" s="28"/>
      <c r="P1423" s="29"/>
      <c r="S1423" s="24"/>
    </row>
    <row r="1424" ht="15.75" hidden="1" customHeight="1">
      <c r="A1424" s="34"/>
      <c r="B1424" s="35"/>
      <c r="C1424" s="35"/>
      <c r="F1424" s="29"/>
      <c r="I1424" s="24"/>
      <c r="K1424" s="28"/>
      <c r="P1424" s="29"/>
      <c r="S1424" s="24"/>
    </row>
    <row r="1425" ht="15.75" hidden="1" customHeight="1">
      <c r="A1425" s="34"/>
      <c r="B1425" s="35"/>
      <c r="C1425" s="35"/>
      <c r="F1425" s="29"/>
      <c r="I1425" s="24"/>
      <c r="K1425" s="28"/>
      <c r="P1425" s="29"/>
      <c r="S1425" s="24"/>
    </row>
    <row r="1426" ht="15.75" hidden="1" customHeight="1">
      <c r="A1426" s="34"/>
      <c r="B1426" s="35"/>
      <c r="C1426" s="35"/>
      <c r="F1426" s="29"/>
      <c r="I1426" s="24"/>
      <c r="K1426" s="28"/>
      <c r="P1426" s="29"/>
      <c r="S1426" s="24"/>
    </row>
    <row r="1427" ht="15.75" hidden="1" customHeight="1">
      <c r="A1427" s="34"/>
      <c r="B1427" s="35"/>
      <c r="C1427" s="35"/>
      <c r="F1427" s="29"/>
      <c r="I1427" s="24"/>
      <c r="K1427" s="28"/>
      <c r="P1427" s="29"/>
      <c r="S1427" s="24"/>
    </row>
    <row r="1428" ht="15.75" hidden="1" customHeight="1">
      <c r="A1428" s="34"/>
      <c r="B1428" s="36"/>
      <c r="C1428" s="36"/>
      <c r="F1428" s="29"/>
      <c r="I1428" s="24"/>
      <c r="K1428" s="28"/>
      <c r="P1428" s="29"/>
      <c r="S1428" s="24"/>
    </row>
    <row r="1429" ht="15.75" hidden="1" customHeight="1">
      <c r="A1429" s="34"/>
      <c r="B1429" s="36"/>
      <c r="C1429" s="36"/>
      <c r="F1429" s="29"/>
      <c r="I1429" s="24"/>
      <c r="K1429" s="28"/>
      <c r="P1429" s="29"/>
      <c r="S1429" s="24"/>
    </row>
    <row r="1430" ht="15.75" hidden="1" customHeight="1">
      <c r="A1430" s="34"/>
      <c r="B1430" s="35"/>
      <c r="C1430" s="35"/>
      <c r="F1430" s="29"/>
      <c r="I1430" s="24"/>
      <c r="K1430" s="28"/>
      <c r="P1430" s="29"/>
      <c r="S1430" s="24"/>
    </row>
    <row r="1431" ht="15.75" hidden="1" customHeight="1">
      <c r="A1431" s="34"/>
      <c r="B1431" s="35"/>
      <c r="C1431" s="35"/>
      <c r="F1431" s="29"/>
      <c r="I1431" s="24"/>
      <c r="K1431" s="28"/>
      <c r="P1431" s="29"/>
      <c r="S1431" s="24"/>
    </row>
    <row r="1432" ht="15.75" hidden="1" customHeight="1">
      <c r="A1432" s="34"/>
      <c r="B1432" s="35"/>
      <c r="C1432" s="35"/>
      <c r="F1432" s="29"/>
      <c r="I1432" s="24"/>
      <c r="K1432" s="28"/>
      <c r="P1432" s="29"/>
      <c r="S1432" s="24"/>
    </row>
    <row r="1433" ht="15.75" hidden="1" customHeight="1">
      <c r="A1433" s="34"/>
      <c r="B1433" s="35"/>
      <c r="C1433" s="35"/>
      <c r="F1433" s="29"/>
      <c r="I1433" s="24"/>
      <c r="K1433" s="28"/>
      <c r="P1433" s="29"/>
      <c r="S1433" s="24"/>
    </row>
    <row r="1434" ht="15.75" hidden="1" customHeight="1">
      <c r="A1434" s="34"/>
      <c r="B1434" s="35"/>
      <c r="C1434" s="35"/>
      <c r="F1434" s="29"/>
      <c r="I1434" s="24"/>
      <c r="K1434" s="28"/>
      <c r="P1434" s="29"/>
      <c r="S1434" s="24"/>
    </row>
    <row r="1435" ht="15.75" hidden="1" customHeight="1">
      <c r="A1435" s="34"/>
      <c r="B1435" s="36"/>
      <c r="C1435" s="36"/>
      <c r="F1435" s="29"/>
      <c r="I1435" s="24"/>
      <c r="K1435" s="28"/>
      <c r="P1435" s="29"/>
      <c r="S1435" s="24"/>
    </row>
    <row r="1436" ht="15.75" hidden="1" customHeight="1">
      <c r="A1436" s="34"/>
      <c r="B1436" s="36"/>
      <c r="C1436" s="36"/>
      <c r="F1436" s="29"/>
      <c r="I1436" s="24"/>
      <c r="K1436" s="28"/>
      <c r="P1436" s="29"/>
      <c r="S1436" s="24"/>
    </row>
    <row r="1437" ht="15.75" hidden="1" customHeight="1">
      <c r="A1437" s="34"/>
      <c r="B1437" s="35"/>
      <c r="C1437" s="35"/>
      <c r="F1437" s="29"/>
      <c r="I1437" s="24"/>
      <c r="K1437" s="28"/>
      <c r="P1437" s="29"/>
      <c r="S1437" s="24"/>
    </row>
    <row r="1438" ht="15.75" hidden="1" customHeight="1">
      <c r="A1438" s="34"/>
      <c r="B1438" s="35"/>
      <c r="C1438" s="35"/>
      <c r="F1438" s="29"/>
      <c r="I1438" s="24"/>
      <c r="K1438" s="28"/>
      <c r="P1438" s="29"/>
      <c r="S1438" s="24"/>
    </row>
    <row r="1439" ht="15.75" hidden="1" customHeight="1">
      <c r="A1439" s="34"/>
      <c r="B1439" s="35"/>
      <c r="C1439" s="35"/>
      <c r="F1439" s="29"/>
      <c r="I1439" s="24"/>
      <c r="K1439" s="28"/>
      <c r="P1439" s="29"/>
      <c r="S1439" s="24"/>
    </row>
    <row r="1440" ht="15.75" hidden="1" customHeight="1">
      <c r="A1440" s="34"/>
      <c r="B1440" s="35"/>
      <c r="C1440" s="35"/>
      <c r="F1440" s="29"/>
      <c r="I1440" s="24"/>
      <c r="K1440" s="28"/>
      <c r="P1440" s="29"/>
      <c r="S1440" s="24"/>
    </row>
    <row r="1441" ht="15.75" hidden="1" customHeight="1">
      <c r="A1441" s="34"/>
      <c r="B1441" s="35"/>
      <c r="C1441" s="35"/>
      <c r="F1441" s="29"/>
      <c r="I1441" s="24"/>
      <c r="K1441" s="28"/>
      <c r="P1441" s="29"/>
      <c r="S1441" s="24"/>
    </row>
    <row r="1442" ht="15.75" hidden="1" customHeight="1">
      <c r="A1442" s="34"/>
      <c r="B1442" s="36"/>
      <c r="C1442" s="36"/>
      <c r="F1442" s="29"/>
      <c r="I1442" s="24"/>
      <c r="K1442" s="28"/>
      <c r="P1442" s="29"/>
      <c r="S1442" s="24"/>
    </row>
    <row r="1443" ht="15.75" hidden="1" customHeight="1">
      <c r="A1443" s="34"/>
      <c r="B1443" s="36"/>
      <c r="C1443" s="36"/>
      <c r="F1443" s="29"/>
      <c r="I1443" s="24"/>
      <c r="K1443" s="28"/>
      <c r="P1443" s="29"/>
      <c r="S1443" s="24"/>
    </row>
    <row r="1444" ht="15.75" hidden="1" customHeight="1">
      <c r="A1444" s="34"/>
      <c r="B1444" s="35"/>
      <c r="C1444" s="35"/>
      <c r="F1444" s="29"/>
      <c r="I1444" s="24"/>
      <c r="K1444" s="28"/>
      <c r="P1444" s="29"/>
      <c r="S1444" s="24"/>
    </row>
    <row r="1445" ht="15.75" hidden="1" customHeight="1">
      <c r="A1445" s="34"/>
      <c r="B1445" s="35"/>
      <c r="C1445" s="35"/>
      <c r="F1445" s="29"/>
      <c r="I1445" s="24"/>
      <c r="K1445" s="28"/>
      <c r="P1445" s="29"/>
      <c r="S1445" s="24"/>
    </row>
    <row r="1446" ht="15.75" hidden="1" customHeight="1">
      <c r="A1446" s="34"/>
      <c r="B1446" s="35"/>
      <c r="C1446" s="35"/>
      <c r="F1446" s="29"/>
      <c r="I1446" s="24"/>
      <c r="K1446" s="28"/>
      <c r="P1446" s="29"/>
      <c r="S1446" s="24"/>
    </row>
    <row r="1447" ht="15.75" hidden="1" customHeight="1">
      <c r="A1447" s="34"/>
      <c r="B1447" s="35"/>
      <c r="C1447" s="35"/>
      <c r="F1447" s="29"/>
      <c r="I1447" s="24"/>
      <c r="K1447" s="28"/>
      <c r="P1447" s="29"/>
      <c r="S1447" s="24"/>
    </row>
    <row r="1448" ht="15.75" hidden="1" customHeight="1">
      <c r="A1448" s="34"/>
      <c r="B1448" s="35"/>
      <c r="C1448" s="35"/>
      <c r="F1448" s="29"/>
      <c r="I1448" s="24"/>
      <c r="K1448" s="28"/>
      <c r="P1448" s="29"/>
      <c r="S1448" s="24"/>
    </row>
    <row r="1449" ht="15.75" hidden="1" customHeight="1">
      <c r="A1449" s="34"/>
      <c r="B1449" s="36"/>
      <c r="C1449" s="36"/>
      <c r="F1449" s="29"/>
      <c r="I1449" s="24"/>
      <c r="K1449" s="28"/>
      <c r="P1449" s="29"/>
      <c r="S1449" s="24"/>
    </row>
    <row r="1450" ht="15.75" hidden="1" customHeight="1">
      <c r="A1450" s="34"/>
      <c r="B1450" s="36"/>
      <c r="C1450" s="36"/>
      <c r="F1450" s="29"/>
      <c r="I1450" s="24"/>
      <c r="K1450" s="28"/>
      <c r="P1450" s="29"/>
      <c r="S1450" s="24"/>
    </row>
    <row r="1451" ht="15.75" hidden="1" customHeight="1">
      <c r="A1451" s="34"/>
      <c r="B1451" s="35"/>
      <c r="C1451" s="35"/>
      <c r="F1451" s="29"/>
      <c r="I1451" s="24"/>
      <c r="K1451" s="28"/>
      <c r="P1451" s="29"/>
      <c r="S1451" s="24"/>
    </row>
    <row r="1452" ht="15.75" hidden="1" customHeight="1">
      <c r="A1452" s="34"/>
      <c r="B1452" s="35"/>
      <c r="C1452" s="35"/>
      <c r="F1452" s="29"/>
      <c r="I1452" s="24"/>
      <c r="K1452" s="28"/>
      <c r="P1452" s="29"/>
      <c r="S1452" s="24"/>
    </row>
    <row r="1453" ht="15.75" hidden="1" customHeight="1">
      <c r="A1453" s="34"/>
      <c r="B1453" s="35"/>
      <c r="C1453" s="35"/>
      <c r="F1453" s="29"/>
      <c r="I1453" s="24"/>
      <c r="K1453" s="28"/>
      <c r="P1453" s="29"/>
      <c r="S1453" s="24"/>
    </row>
    <row r="1454" ht="15.75" hidden="1" customHeight="1">
      <c r="A1454" s="34"/>
      <c r="B1454" s="35"/>
      <c r="C1454" s="35"/>
      <c r="F1454" s="29"/>
      <c r="I1454" s="24"/>
      <c r="K1454" s="28"/>
      <c r="P1454" s="29"/>
      <c r="S1454" s="24"/>
    </row>
    <row r="1455" ht="15.75" hidden="1" customHeight="1">
      <c r="A1455" s="34"/>
      <c r="B1455" s="35"/>
      <c r="C1455" s="35"/>
      <c r="F1455" s="29"/>
      <c r="I1455" s="24"/>
      <c r="K1455" s="28"/>
      <c r="P1455" s="29"/>
      <c r="S1455" s="24"/>
    </row>
    <row r="1456" ht="15.75" hidden="1" customHeight="1">
      <c r="A1456" s="34"/>
      <c r="B1456" s="36"/>
      <c r="C1456" s="36"/>
      <c r="F1456" s="29"/>
      <c r="I1456" s="24"/>
      <c r="K1456" s="28"/>
      <c r="P1456" s="29"/>
      <c r="S1456" s="24"/>
    </row>
    <row r="1457" ht="15.75" hidden="1" customHeight="1">
      <c r="A1457" s="34"/>
      <c r="B1457" s="36"/>
      <c r="C1457" s="36"/>
      <c r="F1457" s="29"/>
      <c r="I1457" s="24"/>
      <c r="K1457" s="28"/>
      <c r="P1457" s="29"/>
      <c r="S1457" s="24"/>
    </row>
    <row r="1458" ht="15.75" hidden="1" customHeight="1">
      <c r="A1458" s="34"/>
      <c r="B1458" s="35"/>
      <c r="C1458" s="35"/>
      <c r="F1458" s="29"/>
      <c r="I1458" s="24"/>
      <c r="K1458" s="28"/>
      <c r="P1458" s="29"/>
      <c r="S1458" s="24"/>
    </row>
    <row r="1459" ht="15.75" hidden="1" customHeight="1">
      <c r="A1459" s="34"/>
      <c r="B1459" s="35"/>
      <c r="C1459" s="35"/>
      <c r="F1459" s="29"/>
      <c r="I1459" s="24"/>
      <c r="K1459" s="28"/>
      <c r="P1459" s="29"/>
      <c r="S1459" s="24"/>
    </row>
    <row r="1460" ht="15.75" hidden="1" customHeight="1">
      <c r="A1460" s="34"/>
      <c r="B1460" s="35"/>
      <c r="C1460" s="35"/>
      <c r="F1460" s="29"/>
      <c r="I1460" s="24"/>
      <c r="K1460" s="28"/>
      <c r="P1460" s="29"/>
      <c r="S1460" s="24"/>
    </row>
    <row r="1461" ht="15.75" hidden="1" customHeight="1">
      <c r="A1461" s="34"/>
      <c r="B1461" s="35"/>
      <c r="C1461" s="35"/>
      <c r="F1461" s="29"/>
      <c r="I1461" s="24"/>
      <c r="K1461" s="28"/>
      <c r="P1461" s="29"/>
      <c r="S1461" s="24"/>
    </row>
    <row r="1462" ht="15.75" hidden="1" customHeight="1">
      <c r="A1462" s="34"/>
      <c r="B1462" s="35"/>
      <c r="C1462" s="35"/>
      <c r="F1462" s="29"/>
      <c r="I1462" s="24"/>
      <c r="K1462" s="28"/>
      <c r="P1462" s="29"/>
      <c r="S1462" s="24"/>
    </row>
    <row r="1463" ht="15.75" hidden="1" customHeight="1">
      <c r="A1463" s="34"/>
      <c r="B1463" s="36"/>
      <c r="C1463" s="36"/>
      <c r="F1463" s="29"/>
      <c r="I1463" s="24"/>
      <c r="K1463" s="28"/>
      <c r="P1463" s="29"/>
      <c r="S1463" s="24"/>
    </row>
    <row r="1464" ht="15.75" hidden="1" customHeight="1">
      <c r="A1464" s="34"/>
      <c r="B1464" s="36"/>
      <c r="C1464" s="36"/>
      <c r="F1464" s="29"/>
      <c r="I1464" s="24"/>
      <c r="K1464" s="28"/>
      <c r="P1464" s="29"/>
      <c r="S1464" s="24"/>
    </row>
    <row r="1465" ht="15.75" hidden="1" customHeight="1">
      <c r="A1465" s="34"/>
      <c r="B1465" s="35"/>
      <c r="C1465" s="35"/>
      <c r="F1465" s="29"/>
      <c r="I1465" s="24"/>
      <c r="K1465" s="28"/>
      <c r="P1465" s="29"/>
      <c r="S1465" s="24"/>
    </row>
    <row r="1466" ht="15.75" hidden="1" customHeight="1">
      <c r="A1466" s="34"/>
      <c r="B1466" s="35"/>
      <c r="C1466" s="35"/>
      <c r="F1466" s="29"/>
      <c r="I1466" s="24"/>
      <c r="K1466" s="28"/>
      <c r="P1466" s="29"/>
      <c r="S1466" s="24"/>
    </row>
    <row r="1467" ht="15.75" hidden="1" customHeight="1">
      <c r="A1467" s="34"/>
      <c r="B1467" s="35"/>
      <c r="C1467" s="35"/>
      <c r="F1467" s="29"/>
      <c r="I1467" s="24"/>
      <c r="K1467" s="28"/>
      <c r="P1467" s="29"/>
      <c r="S1467" s="24"/>
    </row>
    <row r="1468" ht="15.75" hidden="1" customHeight="1">
      <c r="A1468" s="34"/>
      <c r="B1468" s="35"/>
      <c r="C1468" s="35"/>
      <c r="F1468" s="29"/>
      <c r="I1468" s="24"/>
      <c r="K1468" s="28"/>
      <c r="P1468" s="29"/>
      <c r="S1468" s="24"/>
    </row>
    <row r="1469" ht="15.75" hidden="1" customHeight="1">
      <c r="A1469" s="34"/>
      <c r="B1469" s="35"/>
      <c r="C1469" s="35"/>
      <c r="F1469" s="29"/>
      <c r="I1469" s="24"/>
      <c r="K1469" s="28"/>
      <c r="P1469" s="29"/>
      <c r="S1469" s="24"/>
    </row>
    <row r="1470" ht="15.75" hidden="1" customHeight="1">
      <c r="A1470" s="34"/>
      <c r="B1470" s="36"/>
      <c r="C1470" s="36"/>
      <c r="F1470" s="29"/>
      <c r="I1470" s="24"/>
      <c r="K1470" s="28"/>
      <c r="P1470" s="29"/>
      <c r="S1470" s="24"/>
    </row>
    <row r="1471" ht="15.75" hidden="1" customHeight="1">
      <c r="A1471" s="34"/>
      <c r="B1471" s="36"/>
      <c r="C1471" s="36"/>
      <c r="F1471" s="29"/>
      <c r="I1471" s="24"/>
      <c r="K1471" s="28"/>
      <c r="P1471" s="29"/>
      <c r="S1471" s="24"/>
    </row>
    <row r="1472" ht="15.75" hidden="1" customHeight="1">
      <c r="A1472" s="34"/>
      <c r="B1472" s="35"/>
      <c r="C1472" s="35"/>
      <c r="F1472" s="29"/>
      <c r="I1472" s="24"/>
      <c r="K1472" s="28"/>
      <c r="P1472" s="29"/>
      <c r="S1472" s="24"/>
    </row>
    <row r="1473" ht="15.75" hidden="1" customHeight="1">
      <c r="A1473" s="34"/>
      <c r="B1473" s="35"/>
      <c r="C1473" s="35"/>
      <c r="F1473" s="29"/>
      <c r="I1473" s="24"/>
      <c r="K1473" s="28"/>
      <c r="P1473" s="29"/>
      <c r="S1473" s="24"/>
    </row>
    <row r="1474" ht="15.75" hidden="1" customHeight="1">
      <c r="A1474" s="34"/>
      <c r="B1474" s="35"/>
      <c r="C1474" s="35"/>
      <c r="F1474" s="29"/>
      <c r="I1474" s="24"/>
      <c r="K1474" s="28"/>
      <c r="P1474" s="29"/>
      <c r="S1474" s="24"/>
    </row>
    <row r="1475" ht="15.75" hidden="1" customHeight="1">
      <c r="A1475" s="34"/>
      <c r="B1475" s="35"/>
      <c r="C1475" s="35"/>
      <c r="F1475" s="29"/>
      <c r="I1475" s="24"/>
      <c r="K1475" s="28"/>
      <c r="P1475" s="29"/>
      <c r="S1475" s="24"/>
    </row>
    <row r="1476" ht="15.75" hidden="1" customHeight="1">
      <c r="A1476" s="34"/>
      <c r="B1476" s="35"/>
      <c r="C1476" s="35"/>
      <c r="F1476" s="29"/>
      <c r="I1476" s="24"/>
      <c r="K1476" s="28"/>
      <c r="P1476" s="29"/>
      <c r="S1476" s="24"/>
    </row>
    <row r="1477" ht="15.75" hidden="1" customHeight="1">
      <c r="A1477" s="34"/>
      <c r="B1477" s="36"/>
      <c r="C1477" s="36"/>
      <c r="F1477" s="29"/>
      <c r="I1477" s="24"/>
      <c r="K1477" s="28"/>
      <c r="P1477" s="29"/>
      <c r="S1477" s="24"/>
    </row>
    <row r="1478" ht="15.75" hidden="1" customHeight="1">
      <c r="A1478" s="34"/>
      <c r="B1478" s="36"/>
      <c r="C1478" s="36"/>
      <c r="F1478" s="29"/>
      <c r="I1478" s="24"/>
      <c r="K1478" s="28"/>
      <c r="P1478" s="29"/>
      <c r="S1478" s="24"/>
    </row>
    <row r="1479" ht="15.75" hidden="1" customHeight="1">
      <c r="A1479" s="34"/>
      <c r="B1479" s="35"/>
      <c r="C1479" s="35"/>
      <c r="F1479" s="29"/>
      <c r="I1479" s="24"/>
      <c r="K1479" s="28"/>
      <c r="P1479" s="29"/>
      <c r="S1479" s="24"/>
    </row>
    <row r="1480" ht="15.75" hidden="1" customHeight="1">
      <c r="A1480" s="34"/>
      <c r="B1480" s="35"/>
      <c r="C1480" s="35"/>
      <c r="F1480" s="29"/>
      <c r="I1480" s="24"/>
      <c r="K1480" s="28"/>
      <c r="P1480" s="29"/>
      <c r="S1480" s="24"/>
    </row>
    <row r="1481" ht="15.75" hidden="1" customHeight="1">
      <c r="A1481" s="34"/>
      <c r="B1481" s="35"/>
      <c r="C1481" s="35"/>
      <c r="F1481" s="29"/>
      <c r="I1481" s="24"/>
      <c r="K1481" s="28"/>
      <c r="P1481" s="29"/>
      <c r="S1481" s="24"/>
    </row>
    <row r="1482" ht="15.75" hidden="1" customHeight="1">
      <c r="A1482" s="34"/>
      <c r="B1482" s="35"/>
      <c r="C1482" s="35"/>
      <c r="F1482" s="29"/>
      <c r="I1482" s="24"/>
      <c r="K1482" s="28"/>
      <c r="P1482" s="29"/>
      <c r="S1482" s="24"/>
    </row>
    <row r="1483" ht="15.75" hidden="1" customHeight="1">
      <c r="A1483" s="34"/>
      <c r="B1483" s="35"/>
      <c r="C1483" s="35"/>
      <c r="F1483" s="29"/>
      <c r="I1483" s="24"/>
      <c r="K1483" s="28"/>
      <c r="P1483" s="29"/>
      <c r="S1483" s="24"/>
    </row>
    <row r="1484" ht="15.75" hidden="1" customHeight="1">
      <c r="A1484" s="34"/>
      <c r="B1484" s="36"/>
      <c r="C1484" s="36"/>
      <c r="F1484" s="29"/>
      <c r="I1484" s="24"/>
      <c r="K1484" s="28"/>
      <c r="P1484" s="29"/>
      <c r="S1484" s="24"/>
    </row>
    <row r="1485" ht="15.75" hidden="1" customHeight="1">
      <c r="A1485" s="34"/>
      <c r="B1485" s="36"/>
      <c r="C1485" s="36"/>
      <c r="F1485" s="29"/>
      <c r="I1485" s="24"/>
      <c r="K1485" s="28"/>
      <c r="P1485" s="29"/>
      <c r="S1485" s="24"/>
    </row>
    <row r="1486" ht="15.75" hidden="1" customHeight="1">
      <c r="A1486" s="34"/>
      <c r="B1486" s="35"/>
      <c r="C1486" s="35"/>
      <c r="F1486" s="29"/>
      <c r="I1486" s="24"/>
      <c r="K1486" s="28"/>
      <c r="P1486" s="29"/>
      <c r="S1486" s="24"/>
    </row>
    <row r="1487" ht="15.75" hidden="1" customHeight="1">
      <c r="A1487" s="34"/>
      <c r="B1487" s="35"/>
      <c r="C1487" s="35"/>
      <c r="F1487" s="29"/>
      <c r="I1487" s="24"/>
      <c r="K1487" s="28"/>
      <c r="P1487" s="29"/>
      <c r="S1487" s="24"/>
    </row>
    <row r="1488" ht="15.75" hidden="1" customHeight="1">
      <c r="A1488" s="34"/>
      <c r="B1488" s="35"/>
      <c r="C1488" s="35"/>
      <c r="F1488" s="29"/>
      <c r="I1488" s="24"/>
      <c r="K1488" s="28"/>
      <c r="P1488" s="29"/>
      <c r="S1488" s="24"/>
    </row>
    <row r="1489" ht="15.75" hidden="1" customHeight="1">
      <c r="A1489" s="34"/>
      <c r="B1489" s="35"/>
      <c r="C1489" s="35"/>
      <c r="F1489" s="29"/>
      <c r="I1489" s="24"/>
      <c r="K1489" s="28"/>
      <c r="P1489" s="29"/>
      <c r="S1489" s="24"/>
    </row>
    <row r="1490" ht="15.75" hidden="1" customHeight="1">
      <c r="A1490" s="34"/>
      <c r="B1490" s="35"/>
      <c r="C1490" s="35"/>
      <c r="F1490" s="29"/>
      <c r="I1490" s="24"/>
      <c r="K1490" s="28"/>
      <c r="P1490" s="29"/>
      <c r="S1490" s="24"/>
    </row>
    <row r="1491" ht="15.75" hidden="1" customHeight="1">
      <c r="A1491" s="34"/>
      <c r="B1491" s="36"/>
      <c r="C1491" s="36"/>
      <c r="F1491" s="29"/>
      <c r="I1491" s="24"/>
      <c r="K1491" s="28"/>
      <c r="P1491" s="29"/>
      <c r="S1491" s="24"/>
    </row>
    <row r="1492" ht="15.75" hidden="1" customHeight="1">
      <c r="A1492" s="34"/>
      <c r="B1492" s="36"/>
      <c r="C1492" s="36"/>
      <c r="F1492" s="29"/>
      <c r="I1492" s="24"/>
      <c r="K1492" s="28"/>
      <c r="P1492" s="29"/>
      <c r="S1492" s="24"/>
    </row>
    <row r="1493" ht="15.75" hidden="1" customHeight="1">
      <c r="A1493" s="34"/>
      <c r="B1493" s="35"/>
      <c r="C1493" s="35"/>
      <c r="F1493" s="29"/>
      <c r="I1493" s="24"/>
      <c r="K1493" s="28"/>
      <c r="P1493" s="29"/>
      <c r="S1493" s="24"/>
    </row>
    <row r="1494" ht="15.75" hidden="1" customHeight="1">
      <c r="A1494" s="34"/>
      <c r="B1494" s="35"/>
      <c r="C1494" s="35"/>
      <c r="F1494" s="29"/>
      <c r="I1494" s="24"/>
      <c r="K1494" s="28"/>
      <c r="P1494" s="29"/>
      <c r="S1494" s="24"/>
    </row>
    <row r="1495" ht="15.75" hidden="1" customHeight="1">
      <c r="A1495" s="34"/>
      <c r="B1495" s="35"/>
      <c r="C1495" s="35"/>
      <c r="F1495" s="29"/>
      <c r="I1495" s="24"/>
      <c r="K1495" s="28"/>
      <c r="P1495" s="29"/>
      <c r="S1495" s="24"/>
    </row>
    <row r="1496" ht="15.75" hidden="1" customHeight="1">
      <c r="A1496" s="34"/>
      <c r="B1496" s="35"/>
      <c r="C1496" s="35"/>
      <c r="F1496" s="29"/>
      <c r="I1496" s="24"/>
      <c r="K1496" s="28"/>
      <c r="P1496" s="29"/>
      <c r="S1496" s="24"/>
    </row>
    <row r="1497" ht="15.75" hidden="1" customHeight="1">
      <c r="A1497" s="34"/>
      <c r="B1497" s="35"/>
      <c r="C1497" s="35"/>
      <c r="F1497" s="29"/>
      <c r="I1497" s="24"/>
      <c r="K1497" s="28"/>
      <c r="P1497" s="29"/>
      <c r="S1497" s="24"/>
    </row>
    <row r="1498" ht="15.75" hidden="1" customHeight="1">
      <c r="A1498" s="34"/>
      <c r="B1498" s="36"/>
      <c r="C1498" s="36"/>
      <c r="F1498" s="29"/>
      <c r="I1498" s="24"/>
      <c r="K1498" s="28"/>
      <c r="P1498" s="29"/>
      <c r="S1498" s="24"/>
    </row>
    <row r="1499" ht="15.75" hidden="1" customHeight="1">
      <c r="A1499" s="34"/>
      <c r="B1499" s="36"/>
      <c r="C1499" s="36"/>
      <c r="F1499" s="29"/>
      <c r="I1499" s="24"/>
      <c r="K1499" s="28"/>
      <c r="P1499" s="29"/>
      <c r="S1499" s="24"/>
    </row>
    <row r="1500" ht="15.75" hidden="1" customHeight="1">
      <c r="A1500" s="34"/>
      <c r="B1500" s="35"/>
      <c r="C1500" s="35"/>
      <c r="F1500" s="29"/>
      <c r="I1500" s="24"/>
      <c r="K1500" s="28"/>
      <c r="P1500" s="29"/>
      <c r="S1500" s="24"/>
    </row>
    <row r="1501" ht="15.75" hidden="1" customHeight="1">
      <c r="A1501" s="34"/>
      <c r="B1501" s="35"/>
      <c r="C1501" s="35"/>
      <c r="F1501" s="29"/>
      <c r="I1501" s="24"/>
      <c r="K1501" s="28"/>
      <c r="P1501" s="29"/>
      <c r="S1501" s="24"/>
    </row>
    <row r="1502" ht="15.75" hidden="1" customHeight="1">
      <c r="A1502" s="34"/>
      <c r="B1502" s="35"/>
      <c r="C1502" s="35"/>
      <c r="F1502" s="29"/>
      <c r="I1502" s="24"/>
      <c r="K1502" s="28"/>
      <c r="P1502" s="29"/>
      <c r="S1502" s="24"/>
    </row>
    <row r="1503" ht="15.75" hidden="1" customHeight="1">
      <c r="A1503" s="34"/>
      <c r="B1503" s="35"/>
      <c r="C1503" s="35"/>
      <c r="F1503" s="29"/>
      <c r="I1503" s="24"/>
      <c r="K1503" s="28"/>
      <c r="P1503" s="29"/>
      <c r="S1503" s="24"/>
    </row>
    <row r="1504" ht="15.75" hidden="1" customHeight="1">
      <c r="A1504" s="34"/>
      <c r="B1504" s="35"/>
      <c r="C1504" s="35"/>
      <c r="F1504" s="29"/>
      <c r="I1504" s="24"/>
      <c r="K1504" s="28"/>
      <c r="P1504" s="29"/>
      <c r="S1504" s="24"/>
    </row>
    <row r="1505" ht="15.75" hidden="1" customHeight="1">
      <c r="A1505" s="34"/>
      <c r="B1505" s="36"/>
      <c r="C1505" s="36"/>
      <c r="F1505" s="29"/>
      <c r="I1505" s="24"/>
      <c r="K1505" s="28"/>
      <c r="P1505" s="29"/>
      <c r="S1505" s="24"/>
    </row>
    <row r="1506" ht="15.75" hidden="1" customHeight="1">
      <c r="A1506" s="34"/>
      <c r="B1506" s="36"/>
      <c r="C1506" s="36"/>
      <c r="F1506" s="29"/>
      <c r="I1506" s="24"/>
      <c r="K1506" s="28"/>
      <c r="P1506" s="29"/>
      <c r="S1506" s="24"/>
    </row>
    <row r="1507" ht="15.75" hidden="1" customHeight="1">
      <c r="A1507" s="34"/>
      <c r="B1507" s="35"/>
      <c r="C1507" s="35"/>
      <c r="F1507" s="29"/>
      <c r="I1507" s="24"/>
      <c r="K1507" s="28"/>
      <c r="P1507" s="29"/>
      <c r="S1507" s="24"/>
    </row>
    <row r="1508" ht="15.75" hidden="1" customHeight="1">
      <c r="A1508" s="34"/>
      <c r="B1508" s="35"/>
      <c r="C1508" s="35"/>
      <c r="F1508" s="29"/>
      <c r="I1508" s="24"/>
      <c r="K1508" s="28"/>
      <c r="P1508" s="29"/>
      <c r="S1508" s="24"/>
    </row>
    <row r="1509" ht="15.75" hidden="1" customHeight="1">
      <c r="A1509" s="34"/>
      <c r="B1509" s="35"/>
      <c r="C1509" s="35"/>
      <c r="F1509" s="29"/>
      <c r="I1509" s="24"/>
      <c r="K1509" s="28"/>
      <c r="P1509" s="29"/>
      <c r="S1509" s="24"/>
    </row>
    <row r="1510" ht="15.75" hidden="1" customHeight="1">
      <c r="A1510" s="34"/>
      <c r="B1510" s="35"/>
      <c r="C1510" s="35"/>
      <c r="F1510" s="29"/>
      <c r="I1510" s="24"/>
      <c r="K1510" s="28"/>
      <c r="P1510" s="29"/>
      <c r="S1510" s="24"/>
    </row>
    <row r="1511" ht="15.75" hidden="1" customHeight="1">
      <c r="A1511" s="34"/>
      <c r="B1511" s="35"/>
      <c r="C1511" s="35"/>
      <c r="F1511" s="29"/>
      <c r="I1511" s="24"/>
      <c r="K1511" s="28"/>
      <c r="P1511" s="29"/>
      <c r="S1511" s="24"/>
    </row>
    <row r="1512" ht="15.75" hidden="1" customHeight="1">
      <c r="A1512" s="34"/>
      <c r="B1512" s="36"/>
      <c r="C1512" s="36"/>
      <c r="F1512" s="29"/>
      <c r="I1512" s="24"/>
      <c r="K1512" s="28"/>
      <c r="P1512" s="29"/>
      <c r="S1512" s="24"/>
    </row>
    <row r="1513" ht="15.75" hidden="1" customHeight="1">
      <c r="A1513" s="34"/>
      <c r="B1513" s="36"/>
      <c r="C1513" s="36"/>
      <c r="F1513" s="29"/>
      <c r="I1513" s="24"/>
      <c r="K1513" s="28"/>
      <c r="P1513" s="29"/>
      <c r="S1513" s="24"/>
    </row>
    <row r="1514" ht="15.75" hidden="1" customHeight="1">
      <c r="A1514" s="34"/>
      <c r="B1514" s="35"/>
      <c r="C1514" s="35"/>
      <c r="F1514" s="29"/>
      <c r="I1514" s="24"/>
      <c r="K1514" s="28"/>
      <c r="P1514" s="29"/>
      <c r="S1514" s="24"/>
    </row>
    <row r="1515" ht="15.75" hidden="1" customHeight="1">
      <c r="A1515" s="34"/>
      <c r="B1515" s="35"/>
      <c r="C1515" s="35"/>
      <c r="F1515" s="29"/>
      <c r="I1515" s="24"/>
      <c r="K1515" s="28"/>
      <c r="P1515" s="29"/>
      <c r="S1515" s="24"/>
    </row>
    <row r="1516" ht="15.75" hidden="1" customHeight="1">
      <c r="A1516" s="34"/>
      <c r="B1516" s="36"/>
      <c r="C1516" s="36"/>
      <c r="F1516" s="29"/>
      <c r="I1516" s="24"/>
      <c r="K1516" s="28"/>
      <c r="P1516" s="29"/>
      <c r="S1516" s="24"/>
    </row>
    <row r="1517" ht="15.75" hidden="1" customHeight="1">
      <c r="A1517" s="34"/>
      <c r="B1517" s="35"/>
      <c r="C1517" s="35"/>
      <c r="F1517" s="29"/>
      <c r="I1517" s="24"/>
      <c r="K1517" s="28"/>
      <c r="P1517" s="29"/>
      <c r="S1517" s="24"/>
    </row>
    <row r="1518" ht="15.75" hidden="1" customHeight="1">
      <c r="A1518" s="34"/>
      <c r="B1518" s="35"/>
      <c r="C1518" s="35"/>
      <c r="F1518" s="29"/>
      <c r="I1518" s="24"/>
      <c r="K1518" s="28"/>
      <c r="P1518" s="29"/>
      <c r="S1518" s="24"/>
    </row>
    <row r="1519" ht="15.75" hidden="1" customHeight="1">
      <c r="A1519" s="34"/>
      <c r="B1519" s="36"/>
      <c r="C1519" s="36"/>
      <c r="F1519" s="29"/>
      <c r="I1519" s="24"/>
      <c r="K1519" s="28"/>
      <c r="P1519" s="29"/>
      <c r="S1519" s="24"/>
    </row>
    <row r="1520" ht="15.75" hidden="1" customHeight="1">
      <c r="A1520" s="34"/>
      <c r="B1520" s="36"/>
      <c r="C1520" s="36"/>
      <c r="F1520" s="29"/>
      <c r="I1520" s="24"/>
      <c r="K1520" s="28"/>
      <c r="P1520" s="29"/>
      <c r="S1520" s="24"/>
    </row>
    <row r="1521" ht="15.75" hidden="1" customHeight="1">
      <c r="A1521" s="34"/>
      <c r="B1521" s="35"/>
      <c r="C1521" s="35"/>
      <c r="F1521" s="29"/>
      <c r="I1521" s="24"/>
      <c r="K1521" s="28"/>
      <c r="P1521" s="29"/>
      <c r="S1521" s="24"/>
    </row>
    <row r="1522" ht="15.75" hidden="1" customHeight="1">
      <c r="A1522" s="34"/>
      <c r="B1522" s="36"/>
      <c r="C1522" s="36"/>
      <c r="F1522" s="29"/>
      <c r="I1522" s="24"/>
      <c r="K1522" s="28"/>
      <c r="P1522" s="29"/>
      <c r="S1522" s="24"/>
    </row>
    <row r="1523" ht="15.75" hidden="1" customHeight="1">
      <c r="A1523" s="34"/>
      <c r="B1523" s="36"/>
      <c r="C1523" s="36"/>
      <c r="F1523" s="29"/>
      <c r="I1523" s="24"/>
      <c r="K1523" s="28"/>
      <c r="P1523" s="29"/>
      <c r="S1523" s="24"/>
    </row>
    <row r="1524" ht="15.75" hidden="1" customHeight="1">
      <c r="A1524" s="34"/>
      <c r="B1524" s="35"/>
      <c r="C1524" s="35"/>
      <c r="F1524" s="29"/>
      <c r="I1524" s="24"/>
      <c r="K1524" s="28"/>
      <c r="P1524" s="29"/>
      <c r="S1524" s="24"/>
    </row>
    <row r="1525" ht="15.75" hidden="1" customHeight="1">
      <c r="A1525" s="34"/>
      <c r="B1525" s="35"/>
      <c r="C1525" s="35"/>
      <c r="F1525" s="29"/>
      <c r="I1525" s="24"/>
      <c r="K1525" s="28"/>
      <c r="P1525" s="29"/>
      <c r="S1525" s="24"/>
    </row>
    <row r="1526" ht="15.75" hidden="1" customHeight="1">
      <c r="A1526" s="34"/>
      <c r="B1526" s="36"/>
      <c r="C1526" s="36"/>
      <c r="F1526" s="29"/>
      <c r="I1526" s="24"/>
      <c r="K1526" s="28"/>
      <c r="P1526" s="29"/>
      <c r="S1526" s="24"/>
    </row>
    <row r="1527" ht="15.75" hidden="1" customHeight="1">
      <c r="A1527" s="34"/>
      <c r="B1527" s="36"/>
      <c r="C1527" s="36"/>
      <c r="F1527" s="29"/>
      <c r="I1527" s="24"/>
      <c r="K1527" s="28"/>
      <c r="P1527" s="29"/>
      <c r="S1527" s="24"/>
    </row>
    <row r="1528" ht="15.75" hidden="1" customHeight="1">
      <c r="A1528" s="34"/>
      <c r="B1528" s="35"/>
      <c r="C1528" s="35"/>
      <c r="F1528" s="29"/>
      <c r="I1528" s="24"/>
      <c r="K1528" s="28"/>
      <c r="P1528" s="29"/>
      <c r="S1528" s="24"/>
    </row>
    <row r="1529" ht="15.75" hidden="1" customHeight="1">
      <c r="A1529" s="34"/>
      <c r="B1529" s="35"/>
      <c r="C1529" s="35"/>
      <c r="F1529" s="29"/>
      <c r="I1529" s="24"/>
      <c r="K1529" s="28"/>
      <c r="P1529" s="29"/>
      <c r="S1529" s="24"/>
    </row>
    <row r="1530" ht="15.75" hidden="1" customHeight="1">
      <c r="A1530" s="34"/>
      <c r="B1530" s="35"/>
      <c r="C1530" s="35"/>
      <c r="F1530" s="29"/>
      <c r="I1530" s="24"/>
      <c r="K1530" s="28"/>
      <c r="P1530" s="29"/>
      <c r="S1530" s="24"/>
    </row>
    <row r="1531" ht="15.75" hidden="1" customHeight="1">
      <c r="A1531" s="34"/>
      <c r="B1531" s="35"/>
      <c r="C1531" s="35"/>
      <c r="F1531" s="29"/>
      <c r="I1531" s="24"/>
      <c r="K1531" s="28"/>
      <c r="P1531" s="29"/>
      <c r="S1531" s="24"/>
    </row>
    <row r="1532" ht="15.75" hidden="1" customHeight="1">
      <c r="A1532" s="34"/>
      <c r="B1532" s="35"/>
      <c r="C1532" s="35"/>
      <c r="F1532" s="29"/>
      <c r="I1532" s="24"/>
      <c r="K1532" s="28"/>
      <c r="P1532" s="29"/>
      <c r="S1532" s="24"/>
    </row>
    <row r="1533" ht="15.75" hidden="1" customHeight="1">
      <c r="A1533" s="34"/>
      <c r="B1533" s="36"/>
      <c r="C1533" s="36"/>
      <c r="F1533" s="29"/>
      <c r="I1533" s="24"/>
      <c r="K1533" s="28"/>
      <c r="P1533" s="29"/>
      <c r="S1533" s="24"/>
    </row>
    <row r="1534" ht="15.75" hidden="1" customHeight="1">
      <c r="A1534" s="34"/>
      <c r="B1534" s="36"/>
      <c r="C1534" s="36"/>
      <c r="F1534" s="29"/>
      <c r="I1534" s="24"/>
      <c r="K1534" s="28"/>
      <c r="P1534" s="29"/>
      <c r="S1534" s="24"/>
    </row>
    <row r="1535" ht="15.75" hidden="1" customHeight="1">
      <c r="A1535" s="34"/>
      <c r="B1535" s="35"/>
      <c r="C1535" s="35"/>
      <c r="F1535" s="29"/>
      <c r="I1535" s="24"/>
      <c r="K1535" s="28"/>
      <c r="P1535" s="29"/>
      <c r="S1535" s="24"/>
    </row>
    <row r="1536" ht="15.75" hidden="1" customHeight="1">
      <c r="A1536" s="34"/>
      <c r="B1536" s="35"/>
      <c r="C1536" s="35"/>
      <c r="F1536" s="29"/>
      <c r="I1536" s="24"/>
      <c r="K1536" s="28"/>
      <c r="P1536" s="29"/>
      <c r="S1536" s="24"/>
    </row>
    <row r="1537" ht="15.75" hidden="1" customHeight="1">
      <c r="A1537" s="34"/>
      <c r="B1537" s="35"/>
      <c r="C1537" s="35"/>
      <c r="F1537" s="29"/>
      <c r="I1537" s="24"/>
      <c r="K1537" s="28"/>
      <c r="P1537" s="29"/>
      <c r="S1537" s="24"/>
    </row>
    <row r="1538" ht="15.75" hidden="1" customHeight="1">
      <c r="A1538" s="34"/>
      <c r="B1538" s="35"/>
      <c r="C1538" s="35"/>
      <c r="F1538" s="29"/>
      <c r="I1538" s="24"/>
      <c r="K1538" s="28"/>
      <c r="P1538" s="29"/>
      <c r="S1538" s="24"/>
    </row>
    <row r="1539" ht="15.75" hidden="1" customHeight="1">
      <c r="A1539" s="34"/>
      <c r="B1539" s="35"/>
      <c r="C1539" s="35"/>
      <c r="F1539" s="29"/>
      <c r="I1539" s="24"/>
      <c r="K1539" s="28"/>
      <c r="P1539" s="29"/>
      <c r="S1539" s="24"/>
    </row>
    <row r="1540" ht="15.75" hidden="1" customHeight="1">
      <c r="A1540" s="34"/>
      <c r="B1540" s="36"/>
      <c r="C1540" s="36"/>
      <c r="F1540" s="29"/>
      <c r="I1540" s="24"/>
      <c r="K1540" s="28"/>
      <c r="P1540" s="29"/>
      <c r="S1540" s="24"/>
    </row>
    <row r="1541" ht="15.75" hidden="1" customHeight="1">
      <c r="A1541" s="34"/>
      <c r="B1541" s="36"/>
      <c r="C1541" s="36"/>
      <c r="F1541" s="29"/>
      <c r="I1541" s="24"/>
      <c r="K1541" s="28"/>
      <c r="P1541" s="29"/>
      <c r="S1541" s="24"/>
    </row>
    <row r="1542" ht="15.75" hidden="1" customHeight="1">
      <c r="A1542" s="34"/>
      <c r="B1542" s="35"/>
      <c r="C1542" s="35"/>
      <c r="F1542" s="29"/>
      <c r="I1542" s="24"/>
      <c r="K1542" s="28"/>
      <c r="P1542" s="29"/>
      <c r="S1542" s="24"/>
    </row>
    <row r="1543" ht="15.75" hidden="1" customHeight="1">
      <c r="A1543" s="34"/>
      <c r="B1543" s="35"/>
      <c r="C1543" s="35"/>
      <c r="F1543" s="29"/>
      <c r="I1543" s="24"/>
      <c r="K1543" s="28"/>
      <c r="P1543" s="29"/>
      <c r="S1543" s="24"/>
    </row>
    <row r="1544" ht="15.75" hidden="1" customHeight="1">
      <c r="A1544" s="34"/>
      <c r="B1544" s="35"/>
      <c r="C1544" s="35"/>
      <c r="F1544" s="29"/>
      <c r="I1544" s="24"/>
      <c r="K1544" s="28"/>
      <c r="P1544" s="29"/>
      <c r="S1544" s="24"/>
    </row>
    <row r="1545" ht="15.75" hidden="1" customHeight="1">
      <c r="A1545" s="34"/>
      <c r="B1545" s="35"/>
      <c r="C1545" s="35"/>
      <c r="F1545" s="29"/>
      <c r="I1545" s="24"/>
      <c r="K1545" s="28"/>
      <c r="P1545" s="29"/>
      <c r="S1545" s="24"/>
    </row>
    <row r="1546" ht="15.75" hidden="1" customHeight="1">
      <c r="A1546" s="34"/>
      <c r="B1546" s="35"/>
      <c r="C1546" s="35"/>
      <c r="F1546" s="29"/>
      <c r="I1546" s="24"/>
      <c r="K1546" s="28"/>
      <c r="P1546" s="29"/>
      <c r="S1546" s="24"/>
    </row>
    <row r="1547" ht="15.75" hidden="1" customHeight="1">
      <c r="A1547" s="34"/>
      <c r="B1547" s="36"/>
      <c r="C1547" s="36"/>
      <c r="F1547" s="29"/>
      <c r="I1547" s="24"/>
      <c r="K1547" s="28"/>
      <c r="P1547" s="29"/>
      <c r="S1547" s="24"/>
    </row>
    <row r="1548" ht="15.75" hidden="1" customHeight="1">
      <c r="A1548" s="34"/>
      <c r="B1548" s="36"/>
      <c r="C1548" s="36"/>
      <c r="F1548" s="29"/>
      <c r="I1548" s="24"/>
      <c r="K1548" s="28"/>
      <c r="P1548" s="29"/>
      <c r="S1548" s="24"/>
    </row>
    <row r="1549" ht="15.75" hidden="1" customHeight="1">
      <c r="A1549" s="34"/>
      <c r="B1549" s="35"/>
      <c r="C1549" s="35"/>
      <c r="F1549" s="29"/>
      <c r="I1549" s="24"/>
      <c r="K1549" s="28"/>
      <c r="P1549" s="29"/>
      <c r="S1549" s="24"/>
    </row>
    <row r="1550" ht="15.75" hidden="1" customHeight="1">
      <c r="A1550" s="34"/>
      <c r="B1550" s="35"/>
      <c r="C1550" s="35"/>
      <c r="F1550" s="29"/>
      <c r="I1550" s="24"/>
      <c r="K1550" s="28"/>
      <c r="P1550" s="29"/>
      <c r="S1550" s="24"/>
    </row>
    <row r="1551" ht="15.75" hidden="1" customHeight="1">
      <c r="A1551" s="34"/>
      <c r="B1551" s="35"/>
      <c r="C1551" s="35"/>
      <c r="F1551" s="29"/>
      <c r="I1551" s="24"/>
      <c r="K1551" s="28"/>
      <c r="P1551" s="29"/>
      <c r="S1551" s="24"/>
    </row>
    <row r="1552" ht="15.75" hidden="1" customHeight="1">
      <c r="A1552" s="34"/>
      <c r="B1552" s="35"/>
      <c r="C1552" s="35"/>
      <c r="F1552" s="29"/>
      <c r="I1552" s="24"/>
      <c r="K1552" s="28"/>
      <c r="P1552" s="29"/>
      <c r="S1552" s="24"/>
    </row>
    <row r="1553" ht="15.75" hidden="1" customHeight="1">
      <c r="A1553" s="34"/>
      <c r="B1553" s="35"/>
      <c r="C1553" s="35"/>
      <c r="F1553" s="29"/>
      <c r="I1553" s="24"/>
      <c r="K1553" s="28"/>
      <c r="P1553" s="29"/>
      <c r="S1553" s="24"/>
    </row>
    <row r="1554" ht="15.75" hidden="1" customHeight="1">
      <c r="A1554" s="34"/>
      <c r="B1554" s="36"/>
      <c r="C1554" s="36"/>
      <c r="F1554" s="29"/>
      <c r="I1554" s="24"/>
      <c r="K1554" s="28"/>
      <c r="P1554" s="29"/>
      <c r="S1554" s="24"/>
    </row>
    <row r="1555" ht="15.75" hidden="1" customHeight="1">
      <c r="A1555" s="34"/>
      <c r="B1555" s="36"/>
      <c r="C1555" s="36"/>
      <c r="F1555" s="29"/>
      <c r="I1555" s="24"/>
      <c r="K1555" s="28"/>
      <c r="P1555" s="29"/>
      <c r="S1555" s="24"/>
    </row>
    <row r="1556" ht="15.75" hidden="1" customHeight="1">
      <c r="A1556" s="34"/>
      <c r="B1556" s="35"/>
      <c r="C1556" s="35"/>
      <c r="F1556" s="29"/>
      <c r="I1556" s="24"/>
      <c r="K1556" s="28"/>
      <c r="P1556" s="29"/>
      <c r="S1556" s="24"/>
    </row>
    <row r="1557" ht="15.75" hidden="1" customHeight="1">
      <c r="A1557" s="34"/>
      <c r="B1557" s="35"/>
      <c r="C1557" s="35"/>
      <c r="F1557" s="29"/>
      <c r="I1557" s="24"/>
      <c r="K1557" s="28"/>
      <c r="P1557" s="29"/>
      <c r="S1557" s="24"/>
    </row>
    <row r="1558" ht="15.75" hidden="1" customHeight="1">
      <c r="A1558" s="34"/>
      <c r="B1558" s="35"/>
      <c r="C1558" s="35"/>
      <c r="F1558" s="29"/>
      <c r="I1558" s="24"/>
      <c r="K1558" s="28"/>
      <c r="P1558" s="29"/>
      <c r="S1558" s="24"/>
    </row>
    <row r="1559" ht="15.75" hidden="1" customHeight="1">
      <c r="A1559" s="34"/>
      <c r="B1559" s="35"/>
      <c r="C1559" s="35"/>
      <c r="F1559" s="29"/>
      <c r="I1559" s="24"/>
      <c r="K1559" s="28"/>
      <c r="P1559" s="29"/>
      <c r="S1559" s="24"/>
    </row>
    <row r="1560" ht="15.75" hidden="1" customHeight="1">
      <c r="A1560" s="34"/>
      <c r="B1560" s="35"/>
      <c r="C1560" s="35"/>
      <c r="F1560" s="29"/>
      <c r="I1560" s="24"/>
      <c r="K1560" s="28"/>
      <c r="P1560" s="29"/>
      <c r="S1560" s="24"/>
    </row>
    <row r="1561" ht="15.75" hidden="1" customHeight="1">
      <c r="A1561" s="34"/>
      <c r="B1561" s="36"/>
      <c r="C1561" s="36"/>
      <c r="F1561" s="29"/>
      <c r="I1561" s="24"/>
      <c r="K1561" s="28"/>
      <c r="P1561" s="29"/>
      <c r="S1561" s="24"/>
    </row>
    <row r="1562" ht="15.75" hidden="1" customHeight="1">
      <c r="A1562" s="34"/>
      <c r="B1562" s="36"/>
      <c r="C1562" s="36"/>
      <c r="F1562" s="29"/>
      <c r="I1562" s="24"/>
      <c r="K1562" s="28"/>
      <c r="P1562" s="29"/>
      <c r="S1562" s="24"/>
    </row>
    <row r="1563" ht="15.75" hidden="1" customHeight="1">
      <c r="A1563" s="34"/>
      <c r="B1563" s="35"/>
      <c r="C1563" s="35"/>
      <c r="F1563" s="29"/>
      <c r="I1563" s="24"/>
      <c r="K1563" s="28"/>
      <c r="P1563" s="29"/>
      <c r="S1563" s="24"/>
    </row>
    <row r="1564" ht="15.75" hidden="1" customHeight="1">
      <c r="A1564" s="34"/>
      <c r="B1564" s="35"/>
      <c r="C1564" s="35"/>
      <c r="F1564" s="29"/>
      <c r="I1564" s="24"/>
      <c r="K1564" s="28"/>
      <c r="P1564" s="29"/>
      <c r="S1564" s="24"/>
    </row>
    <row r="1565" ht="15.75" hidden="1" customHeight="1">
      <c r="A1565" s="34"/>
      <c r="B1565" s="35"/>
      <c r="C1565" s="35"/>
      <c r="F1565" s="29"/>
      <c r="I1565" s="24"/>
      <c r="K1565" s="28"/>
      <c r="P1565" s="29"/>
      <c r="S1565" s="24"/>
    </row>
    <row r="1566" ht="15.75" hidden="1" customHeight="1">
      <c r="A1566" s="34"/>
      <c r="B1566" s="35"/>
      <c r="C1566" s="35"/>
      <c r="F1566" s="29"/>
      <c r="I1566" s="24"/>
      <c r="K1566" s="28"/>
      <c r="P1566" s="29"/>
      <c r="S1566" s="24"/>
    </row>
    <row r="1567" ht="15.75" hidden="1" customHeight="1">
      <c r="A1567" s="34"/>
      <c r="B1567" s="35"/>
      <c r="C1567" s="35"/>
      <c r="F1567" s="29"/>
      <c r="I1567" s="24"/>
      <c r="K1567" s="28"/>
      <c r="P1567" s="29"/>
      <c r="S1567" s="24"/>
    </row>
    <row r="1568" ht="15.75" hidden="1" customHeight="1">
      <c r="A1568" s="34"/>
      <c r="B1568" s="36"/>
      <c r="C1568" s="36"/>
      <c r="F1568" s="29"/>
      <c r="I1568" s="24"/>
      <c r="K1568" s="28"/>
      <c r="P1568" s="29"/>
      <c r="S1568" s="24"/>
    </row>
    <row r="1569" ht="15.75" hidden="1" customHeight="1">
      <c r="A1569" s="34"/>
      <c r="B1569" s="36"/>
      <c r="C1569" s="36"/>
      <c r="F1569" s="29"/>
      <c r="I1569" s="24"/>
      <c r="K1569" s="28"/>
      <c r="P1569" s="29"/>
      <c r="S1569" s="24"/>
    </row>
    <row r="1570" ht="15.75" hidden="1" customHeight="1">
      <c r="A1570" s="34"/>
      <c r="B1570" s="35"/>
      <c r="C1570" s="35"/>
      <c r="F1570" s="29"/>
      <c r="I1570" s="24"/>
      <c r="K1570" s="28"/>
      <c r="P1570" s="29"/>
      <c r="S1570" s="24"/>
    </row>
    <row r="1571" ht="15.75" hidden="1" customHeight="1">
      <c r="A1571" s="34"/>
      <c r="B1571" s="35"/>
      <c r="C1571" s="35"/>
      <c r="F1571" s="29"/>
      <c r="I1571" s="24"/>
      <c r="K1571" s="28"/>
      <c r="P1571" s="29"/>
      <c r="S1571" s="24"/>
    </row>
    <row r="1572" ht="15.75" hidden="1" customHeight="1">
      <c r="A1572" s="34"/>
      <c r="B1572" s="35"/>
      <c r="C1572" s="35"/>
      <c r="F1572" s="29"/>
      <c r="I1572" s="24"/>
      <c r="K1572" s="28"/>
      <c r="P1572" s="29"/>
      <c r="S1572" s="24"/>
    </row>
    <row r="1573" ht="15.75" hidden="1" customHeight="1">
      <c r="A1573" s="34"/>
      <c r="B1573" s="35"/>
      <c r="C1573" s="35"/>
      <c r="F1573" s="29"/>
      <c r="I1573" s="24"/>
      <c r="K1573" s="28"/>
      <c r="P1573" s="29"/>
      <c r="S1573" s="24"/>
    </row>
    <row r="1574" ht="15.75" hidden="1" customHeight="1">
      <c r="A1574" s="34"/>
      <c r="B1574" s="35"/>
      <c r="C1574" s="35"/>
      <c r="F1574" s="29"/>
      <c r="I1574" s="24"/>
      <c r="K1574" s="28"/>
      <c r="P1574" s="29"/>
      <c r="S1574" s="24"/>
    </row>
    <row r="1575" ht="15.75" hidden="1" customHeight="1">
      <c r="A1575" s="34"/>
      <c r="B1575" s="36"/>
      <c r="C1575" s="36"/>
      <c r="F1575" s="29"/>
      <c r="I1575" s="24"/>
      <c r="K1575" s="28"/>
      <c r="P1575" s="29"/>
      <c r="S1575" s="24"/>
    </row>
    <row r="1576" ht="15.75" hidden="1" customHeight="1">
      <c r="A1576" s="34"/>
      <c r="B1576" s="36"/>
      <c r="C1576" s="36"/>
      <c r="F1576" s="29"/>
      <c r="I1576" s="24"/>
      <c r="K1576" s="28"/>
      <c r="P1576" s="29"/>
      <c r="S1576" s="24"/>
    </row>
    <row r="1577" ht="15.75" hidden="1" customHeight="1">
      <c r="A1577" s="34"/>
      <c r="B1577" s="35"/>
      <c r="C1577" s="35"/>
      <c r="F1577" s="29"/>
      <c r="I1577" s="24"/>
      <c r="K1577" s="28"/>
      <c r="P1577" s="29"/>
      <c r="S1577" s="24"/>
    </row>
    <row r="1578" ht="15.75" hidden="1" customHeight="1">
      <c r="A1578" s="34"/>
      <c r="B1578" s="35"/>
      <c r="C1578" s="35"/>
      <c r="F1578" s="29"/>
      <c r="I1578" s="24"/>
      <c r="K1578" s="28"/>
      <c r="P1578" s="29"/>
      <c r="S1578" s="24"/>
    </row>
    <row r="1579" ht="15.75" hidden="1" customHeight="1">
      <c r="A1579" s="34"/>
      <c r="B1579" s="35"/>
      <c r="C1579" s="35"/>
      <c r="F1579" s="29"/>
      <c r="I1579" s="24"/>
      <c r="K1579" s="28"/>
      <c r="P1579" s="29"/>
      <c r="S1579" s="24"/>
    </row>
    <row r="1580" ht="15.75" hidden="1" customHeight="1">
      <c r="A1580" s="34"/>
      <c r="B1580" s="35"/>
      <c r="C1580" s="35"/>
      <c r="F1580" s="29"/>
      <c r="I1580" s="24"/>
      <c r="K1580" s="28"/>
      <c r="P1580" s="29"/>
      <c r="S1580" s="24"/>
    </row>
    <row r="1581" ht="15.75" hidden="1" customHeight="1">
      <c r="A1581" s="34"/>
      <c r="B1581" s="35"/>
      <c r="C1581" s="35"/>
      <c r="F1581" s="29"/>
      <c r="I1581" s="24"/>
      <c r="K1581" s="28"/>
      <c r="P1581" s="29"/>
      <c r="S1581" s="24"/>
    </row>
    <row r="1582" ht="15.75" hidden="1" customHeight="1">
      <c r="A1582" s="34"/>
      <c r="B1582" s="36"/>
      <c r="C1582" s="36"/>
      <c r="F1582" s="29"/>
      <c r="I1582" s="24"/>
      <c r="K1582" s="28"/>
      <c r="P1582" s="29"/>
      <c r="S1582" s="24"/>
    </row>
    <row r="1583" ht="15.75" hidden="1" customHeight="1">
      <c r="A1583" s="34"/>
      <c r="B1583" s="36"/>
      <c r="C1583" s="36"/>
      <c r="F1583" s="29"/>
      <c r="I1583" s="24"/>
      <c r="K1583" s="28"/>
      <c r="P1583" s="29"/>
      <c r="S1583" s="24"/>
    </row>
    <row r="1584" ht="15.75" hidden="1" customHeight="1">
      <c r="A1584" s="34"/>
      <c r="B1584" s="35"/>
      <c r="C1584" s="35"/>
      <c r="F1584" s="29"/>
      <c r="I1584" s="24"/>
      <c r="K1584" s="28"/>
      <c r="P1584" s="29"/>
      <c r="S1584" s="24"/>
    </row>
    <row r="1585" ht="15.75" hidden="1" customHeight="1">
      <c r="A1585" s="34"/>
      <c r="B1585" s="35"/>
      <c r="C1585" s="35"/>
      <c r="F1585" s="29"/>
      <c r="I1585" s="24"/>
      <c r="K1585" s="28"/>
      <c r="P1585" s="29"/>
      <c r="S1585" s="24"/>
    </row>
    <row r="1586" ht="15.75" hidden="1" customHeight="1">
      <c r="A1586" s="34"/>
      <c r="B1586" s="35"/>
      <c r="C1586" s="35"/>
      <c r="F1586" s="29"/>
      <c r="I1586" s="24"/>
      <c r="K1586" s="28"/>
      <c r="P1586" s="29"/>
      <c r="S1586" s="24"/>
    </row>
    <row r="1587" ht="15.75" hidden="1" customHeight="1">
      <c r="A1587" s="34"/>
      <c r="B1587" s="35"/>
      <c r="C1587" s="35"/>
      <c r="F1587" s="29"/>
      <c r="I1587" s="24"/>
      <c r="K1587" s="28"/>
      <c r="P1587" s="29"/>
      <c r="S1587" s="24"/>
    </row>
    <row r="1588" ht="15.75" hidden="1" customHeight="1">
      <c r="A1588" s="34"/>
      <c r="B1588" s="35"/>
      <c r="C1588" s="35"/>
      <c r="F1588" s="29"/>
      <c r="I1588" s="24"/>
      <c r="K1588" s="28"/>
      <c r="P1588" s="29"/>
      <c r="S1588" s="24"/>
    </row>
    <row r="1589" ht="15.75" hidden="1" customHeight="1">
      <c r="A1589" s="34"/>
      <c r="B1589" s="36"/>
      <c r="C1589" s="36"/>
      <c r="F1589" s="29"/>
      <c r="I1589" s="24"/>
      <c r="K1589" s="28"/>
      <c r="P1589" s="29"/>
      <c r="S1589" s="24"/>
    </row>
    <row r="1590" ht="15.75" hidden="1" customHeight="1">
      <c r="A1590" s="34"/>
      <c r="B1590" s="36"/>
      <c r="C1590" s="36"/>
      <c r="F1590" s="29"/>
      <c r="I1590" s="24"/>
      <c r="K1590" s="28"/>
      <c r="P1590" s="29"/>
      <c r="S1590" s="24"/>
    </row>
    <row r="1591" ht="15.75" hidden="1" customHeight="1">
      <c r="A1591" s="34"/>
      <c r="B1591" s="35"/>
      <c r="C1591" s="35"/>
      <c r="F1591" s="29"/>
      <c r="I1591" s="24"/>
      <c r="K1591" s="28"/>
      <c r="P1591" s="29"/>
      <c r="S1591" s="24"/>
    </row>
    <row r="1592" ht="15.75" hidden="1" customHeight="1">
      <c r="A1592" s="34"/>
      <c r="B1592" s="35"/>
      <c r="C1592" s="35"/>
      <c r="F1592" s="29"/>
      <c r="I1592" s="24"/>
      <c r="K1592" s="28"/>
      <c r="P1592" s="29"/>
      <c r="S1592" s="24"/>
    </row>
    <row r="1593" ht="15.75" hidden="1" customHeight="1">
      <c r="A1593" s="34"/>
      <c r="B1593" s="35"/>
      <c r="C1593" s="35"/>
      <c r="F1593" s="29"/>
      <c r="I1593" s="24"/>
      <c r="K1593" s="28"/>
      <c r="P1593" s="29"/>
      <c r="S1593" s="24"/>
    </row>
    <row r="1594" ht="15.75" hidden="1" customHeight="1">
      <c r="A1594" s="34"/>
      <c r="B1594" s="35"/>
      <c r="C1594" s="35"/>
      <c r="F1594" s="29"/>
      <c r="I1594" s="24"/>
      <c r="K1594" s="28"/>
      <c r="P1594" s="29"/>
      <c r="S1594" s="24"/>
    </row>
    <row r="1595" ht="15.75" hidden="1" customHeight="1">
      <c r="A1595" s="34"/>
      <c r="B1595" s="35"/>
      <c r="C1595" s="35"/>
      <c r="F1595" s="29"/>
      <c r="I1595" s="24"/>
      <c r="K1595" s="28"/>
      <c r="P1595" s="29"/>
      <c r="S1595" s="24"/>
    </row>
    <row r="1596" ht="15.75" hidden="1" customHeight="1">
      <c r="A1596" s="34"/>
      <c r="B1596" s="36"/>
      <c r="C1596" s="36"/>
      <c r="F1596" s="29"/>
      <c r="I1596" s="24"/>
      <c r="K1596" s="28"/>
      <c r="P1596" s="29"/>
      <c r="S1596" s="24"/>
    </row>
    <row r="1597" ht="15.75" hidden="1" customHeight="1">
      <c r="A1597" s="34"/>
      <c r="B1597" s="36"/>
      <c r="C1597" s="36"/>
      <c r="F1597" s="29"/>
      <c r="I1597" s="24"/>
      <c r="K1597" s="28"/>
      <c r="P1597" s="29"/>
      <c r="S1597" s="24"/>
    </row>
    <row r="1598" ht="15.75" hidden="1" customHeight="1">
      <c r="A1598" s="34"/>
      <c r="B1598" s="35"/>
      <c r="C1598" s="35"/>
      <c r="F1598" s="29"/>
      <c r="I1598" s="24"/>
      <c r="K1598" s="28"/>
      <c r="P1598" s="29"/>
      <c r="S1598" s="24"/>
    </row>
    <row r="1599" ht="15.75" hidden="1" customHeight="1">
      <c r="A1599" s="34"/>
      <c r="B1599" s="35"/>
      <c r="C1599" s="35"/>
      <c r="F1599" s="29"/>
      <c r="I1599" s="24"/>
      <c r="K1599" s="28"/>
      <c r="P1599" s="29"/>
      <c r="S1599" s="24"/>
    </row>
    <row r="1600" ht="15.75" hidden="1" customHeight="1">
      <c r="A1600" s="34"/>
      <c r="B1600" s="35"/>
      <c r="C1600" s="35"/>
      <c r="F1600" s="29"/>
      <c r="I1600" s="24"/>
      <c r="K1600" s="28"/>
      <c r="P1600" s="29"/>
      <c r="S1600" s="24"/>
    </row>
    <row r="1601" ht="15.75" hidden="1" customHeight="1">
      <c r="A1601" s="34"/>
      <c r="B1601" s="35"/>
      <c r="C1601" s="35"/>
      <c r="F1601" s="29"/>
      <c r="I1601" s="24"/>
      <c r="K1601" s="28"/>
      <c r="P1601" s="29"/>
      <c r="S1601" s="24"/>
    </row>
    <row r="1602" ht="15.75" hidden="1" customHeight="1">
      <c r="A1602" s="34"/>
      <c r="B1602" s="35"/>
      <c r="C1602" s="35"/>
      <c r="F1602" s="29"/>
      <c r="I1602" s="24"/>
      <c r="K1602" s="28"/>
      <c r="P1602" s="29"/>
      <c r="S1602" s="24"/>
    </row>
    <row r="1603" ht="15.75" hidden="1" customHeight="1">
      <c r="A1603" s="34"/>
      <c r="B1603" s="36"/>
      <c r="C1603" s="36"/>
      <c r="F1603" s="29"/>
      <c r="I1603" s="24"/>
      <c r="K1603" s="28"/>
      <c r="P1603" s="29"/>
      <c r="S1603" s="24"/>
    </row>
    <row r="1604" ht="15.75" hidden="1" customHeight="1">
      <c r="A1604" s="34"/>
      <c r="B1604" s="36"/>
      <c r="C1604" s="36"/>
      <c r="F1604" s="29"/>
      <c r="I1604" s="24"/>
      <c r="K1604" s="28"/>
      <c r="P1604" s="29"/>
      <c r="S1604" s="24"/>
    </row>
    <row r="1605" ht="15.75" hidden="1" customHeight="1">
      <c r="A1605" s="34"/>
      <c r="B1605" s="35"/>
      <c r="C1605" s="35"/>
      <c r="F1605" s="29"/>
      <c r="I1605" s="24"/>
      <c r="K1605" s="28"/>
      <c r="P1605" s="29"/>
      <c r="S1605" s="24"/>
    </row>
    <row r="1606" ht="15.75" hidden="1" customHeight="1">
      <c r="A1606" s="34"/>
      <c r="B1606" s="35"/>
      <c r="C1606" s="35"/>
      <c r="F1606" s="29"/>
      <c r="I1606" s="24"/>
      <c r="K1606" s="28"/>
      <c r="P1606" s="29"/>
      <c r="S1606" s="24"/>
    </row>
    <row r="1607" ht="15.75" hidden="1" customHeight="1">
      <c r="A1607" s="34"/>
      <c r="B1607" s="35"/>
      <c r="C1607" s="35"/>
      <c r="F1607" s="29"/>
      <c r="I1607" s="24"/>
      <c r="K1607" s="28"/>
      <c r="P1607" s="29"/>
      <c r="S1607" s="24"/>
    </row>
    <row r="1608" ht="15.75" hidden="1" customHeight="1">
      <c r="A1608" s="34"/>
      <c r="B1608" s="35"/>
      <c r="C1608" s="35"/>
      <c r="F1608" s="29"/>
      <c r="I1608" s="24"/>
      <c r="K1608" s="28"/>
      <c r="P1608" s="29"/>
      <c r="S1608" s="24"/>
    </row>
    <row r="1609" ht="15.75" hidden="1" customHeight="1">
      <c r="A1609" s="34"/>
      <c r="B1609" s="35"/>
      <c r="C1609" s="35"/>
      <c r="F1609" s="29"/>
      <c r="I1609" s="24"/>
      <c r="K1609" s="28"/>
      <c r="P1609" s="29"/>
      <c r="S1609" s="24"/>
    </row>
    <row r="1610" ht="15.75" hidden="1" customHeight="1">
      <c r="A1610" s="34"/>
      <c r="B1610" s="36"/>
      <c r="C1610" s="36"/>
      <c r="F1610" s="29"/>
      <c r="I1610" s="24"/>
      <c r="K1610" s="28"/>
      <c r="P1610" s="29"/>
      <c r="S1610" s="24"/>
    </row>
    <row r="1611" ht="15.75" hidden="1" customHeight="1">
      <c r="A1611" s="34"/>
      <c r="B1611" s="36"/>
      <c r="C1611" s="36"/>
      <c r="F1611" s="29"/>
      <c r="I1611" s="24"/>
      <c r="K1611" s="28"/>
      <c r="P1611" s="29"/>
      <c r="S1611" s="24"/>
    </row>
    <row r="1612" ht="15.75" hidden="1" customHeight="1">
      <c r="A1612" s="34"/>
      <c r="B1612" s="35"/>
      <c r="C1612" s="35"/>
      <c r="F1612" s="29"/>
      <c r="I1612" s="24"/>
      <c r="K1612" s="28"/>
      <c r="P1612" s="29"/>
      <c r="S1612" s="24"/>
    </row>
    <row r="1613" ht="15.75" hidden="1" customHeight="1">
      <c r="A1613" s="34"/>
      <c r="B1613" s="35"/>
      <c r="C1613" s="35"/>
      <c r="F1613" s="29"/>
      <c r="I1613" s="24"/>
      <c r="K1613" s="28"/>
      <c r="P1613" s="29"/>
      <c r="S1613" s="24"/>
    </row>
    <row r="1614" ht="15.75" hidden="1" customHeight="1">
      <c r="A1614" s="34"/>
      <c r="B1614" s="35"/>
      <c r="C1614" s="35"/>
      <c r="F1614" s="29"/>
      <c r="I1614" s="24"/>
      <c r="K1614" s="28"/>
      <c r="P1614" s="29"/>
      <c r="S1614" s="24"/>
    </row>
    <row r="1615" ht="15.75" hidden="1" customHeight="1">
      <c r="A1615" s="34"/>
      <c r="B1615" s="35"/>
      <c r="C1615" s="35"/>
      <c r="F1615" s="29"/>
      <c r="I1615" s="24"/>
      <c r="K1615" s="28"/>
      <c r="P1615" s="29"/>
      <c r="S1615" s="24"/>
    </row>
    <row r="1616" ht="15.75" hidden="1" customHeight="1">
      <c r="A1616" s="34"/>
      <c r="B1616" s="35"/>
      <c r="C1616" s="35"/>
      <c r="F1616" s="29"/>
      <c r="I1616" s="24"/>
      <c r="K1616" s="28"/>
      <c r="P1616" s="29"/>
      <c r="S1616" s="24"/>
    </row>
    <row r="1617" ht="15.75" hidden="1" customHeight="1">
      <c r="A1617" s="34"/>
      <c r="B1617" s="36"/>
      <c r="C1617" s="36"/>
      <c r="F1617" s="29"/>
      <c r="I1617" s="24"/>
      <c r="K1617" s="28"/>
      <c r="P1617" s="29"/>
      <c r="S1617" s="24"/>
    </row>
    <row r="1618" ht="15.75" hidden="1" customHeight="1">
      <c r="A1618" s="34"/>
      <c r="B1618" s="36"/>
      <c r="C1618" s="36"/>
      <c r="F1618" s="29"/>
      <c r="I1618" s="24"/>
      <c r="K1618" s="28"/>
      <c r="P1618" s="29"/>
      <c r="S1618" s="24"/>
    </row>
    <row r="1619" ht="15.75" hidden="1" customHeight="1">
      <c r="A1619" s="34"/>
      <c r="B1619" s="35"/>
      <c r="C1619" s="35"/>
      <c r="F1619" s="29"/>
      <c r="I1619" s="24"/>
      <c r="K1619" s="28"/>
      <c r="P1619" s="29"/>
      <c r="S1619" s="24"/>
    </row>
    <row r="1620" ht="15.75" hidden="1" customHeight="1">
      <c r="A1620" s="34"/>
      <c r="B1620" s="35"/>
      <c r="C1620" s="35"/>
      <c r="F1620" s="29"/>
      <c r="I1620" s="24"/>
      <c r="K1620" s="28"/>
      <c r="P1620" s="29"/>
      <c r="S1620" s="24"/>
    </row>
    <row r="1621" ht="15.75" hidden="1" customHeight="1">
      <c r="A1621" s="34"/>
      <c r="B1621" s="35"/>
      <c r="C1621" s="35"/>
      <c r="F1621" s="29"/>
      <c r="I1621" s="24"/>
      <c r="K1621" s="28"/>
      <c r="P1621" s="29"/>
      <c r="S1621" s="24"/>
    </row>
    <row r="1622" ht="15.75" hidden="1" customHeight="1">
      <c r="A1622" s="34"/>
      <c r="B1622" s="35"/>
      <c r="C1622" s="35"/>
      <c r="F1622" s="29"/>
      <c r="I1622" s="24"/>
      <c r="K1622" s="28"/>
      <c r="P1622" s="29"/>
      <c r="S1622" s="24"/>
    </row>
    <row r="1623" ht="15.75" hidden="1" customHeight="1">
      <c r="A1623" s="34"/>
      <c r="B1623" s="35"/>
      <c r="C1623" s="35"/>
      <c r="F1623" s="29"/>
      <c r="I1623" s="24"/>
      <c r="K1623" s="28"/>
      <c r="P1623" s="29"/>
      <c r="S1623" s="24"/>
    </row>
    <row r="1624" ht="15.75" hidden="1" customHeight="1">
      <c r="A1624" s="34"/>
      <c r="B1624" s="36"/>
      <c r="C1624" s="36"/>
      <c r="F1624" s="29"/>
      <c r="I1624" s="24"/>
      <c r="K1624" s="28"/>
      <c r="P1624" s="29"/>
      <c r="S1624" s="24"/>
    </row>
    <row r="1625" ht="15.75" hidden="1" customHeight="1">
      <c r="A1625" s="34"/>
      <c r="B1625" s="36"/>
      <c r="C1625" s="36"/>
      <c r="F1625" s="29"/>
      <c r="I1625" s="24"/>
      <c r="K1625" s="28"/>
      <c r="P1625" s="29"/>
      <c r="S1625" s="24"/>
    </row>
    <row r="1626" ht="15.75" hidden="1" customHeight="1">
      <c r="A1626" s="34"/>
      <c r="B1626" s="35"/>
      <c r="C1626" s="35"/>
      <c r="F1626" s="29"/>
      <c r="I1626" s="24"/>
      <c r="K1626" s="28"/>
      <c r="P1626" s="29"/>
      <c r="S1626" s="24"/>
    </row>
    <row r="1627" ht="15.75" hidden="1" customHeight="1">
      <c r="A1627" s="34"/>
      <c r="B1627" s="35"/>
      <c r="C1627" s="35"/>
      <c r="F1627" s="29"/>
      <c r="I1627" s="24"/>
      <c r="K1627" s="28"/>
      <c r="P1627" s="29"/>
      <c r="S1627" s="24"/>
    </row>
    <row r="1628" ht="15.75" hidden="1" customHeight="1">
      <c r="A1628" s="34"/>
      <c r="B1628" s="35"/>
      <c r="C1628" s="35"/>
      <c r="F1628" s="29"/>
      <c r="I1628" s="24"/>
      <c r="K1628" s="28"/>
      <c r="P1628" s="29"/>
      <c r="S1628" s="24"/>
    </row>
    <row r="1629" ht="15.75" hidden="1" customHeight="1">
      <c r="A1629" s="34"/>
      <c r="B1629" s="35"/>
      <c r="C1629" s="35"/>
      <c r="F1629" s="29"/>
      <c r="I1629" s="24"/>
      <c r="K1629" s="28"/>
      <c r="P1629" s="29"/>
      <c r="S1629" s="24"/>
    </row>
    <row r="1630" ht="15.75" hidden="1" customHeight="1">
      <c r="A1630" s="34"/>
      <c r="B1630" s="35"/>
      <c r="C1630" s="35"/>
      <c r="F1630" s="29"/>
      <c r="I1630" s="24"/>
      <c r="K1630" s="28"/>
      <c r="P1630" s="29"/>
      <c r="S1630" s="24"/>
    </row>
    <row r="1631" ht="15.75" hidden="1" customHeight="1">
      <c r="A1631" s="34"/>
      <c r="B1631" s="36"/>
      <c r="C1631" s="36"/>
      <c r="F1631" s="29"/>
      <c r="I1631" s="24"/>
      <c r="K1631" s="28"/>
      <c r="P1631" s="29"/>
      <c r="S1631" s="24"/>
    </row>
    <row r="1632" ht="15.75" hidden="1" customHeight="1">
      <c r="A1632" s="34"/>
      <c r="B1632" s="36"/>
      <c r="C1632" s="36"/>
      <c r="F1632" s="29"/>
      <c r="I1632" s="24"/>
      <c r="K1632" s="28"/>
      <c r="P1632" s="29"/>
      <c r="S1632" s="24"/>
    </row>
    <row r="1633" ht="15.75" hidden="1" customHeight="1">
      <c r="A1633" s="34"/>
      <c r="B1633" s="35"/>
      <c r="C1633" s="35"/>
      <c r="F1633" s="29"/>
      <c r="I1633" s="24"/>
      <c r="K1633" s="28"/>
      <c r="P1633" s="29"/>
      <c r="S1633" s="24"/>
    </row>
    <row r="1634" ht="15.75" hidden="1" customHeight="1">
      <c r="A1634" s="34"/>
      <c r="B1634" s="35"/>
      <c r="C1634" s="35"/>
      <c r="F1634" s="29"/>
      <c r="I1634" s="24"/>
      <c r="K1634" s="28"/>
      <c r="P1634" s="29"/>
      <c r="S1634" s="24"/>
    </row>
    <row r="1635" ht="15.75" hidden="1" customHeight="1">
      <c r="A1635" s="34"/>
      <c r="B1635" s="35"/>
      <c r="C1635" s="35"/>
      <c r="F1635" s="29"/>
      <c r="I1635" s="24"/>
      <c r="K1635" s="28"/>
      <c r="P1635" s="29"/>
      <c r="S1635" s="24"/>
    </row>
    <row r="1636" ht="15.75" hidden="1" customHeight="1">
      <c r="A1636" s="34"/>
      <c r="B1636" s="35"/>
      <c r="C1636" s="35"/>
      <c r="F1636" s="29"/>
      <c r="I1636" s="24"/>
      <c r="K1636" s="28"/>
      <c r="P1636" s="29"/>
      <c r="S1636" s="24"/>
    </row>
    <row r="1637" ht="15.75" hidden="1" customHeight="1">
      <c r="A1637" s="34"/>
      <c r="B1637" s="35"/>
      <c r="C1637" s="35"/>
      <c r="F1637" s="29"/>
      <c r="I1637" s="24"/>
      <c r="K1637" s="28"/>
      <c r="P1637" s="29"/>
      <c r="S1637" s="24"/>
    </row>
    <row r="1638" ht="15.75" hidden="1" customHeight="1">
      <c r="A1638" s="34"/>
      <c r="B1638" s="36"/>
      <c r="C1638" s="36"/>
      <c r="F1638" s="29"/>
      <c r="I1638" s="24"/>
      <c r="K1638" s="28"/>
      <c r="P1638" s="29"/>
      <c r="S1638" s="24"/>
    </row>
    <row r="1639" ht="15.75" hidden="1" customHeight="1">
      <c r="A1639" s="34"/>
      <c r="B1639" s="36"/>
      <c r="C1639" s="36"/>
      <c r="F1639" s="29"/>
      <c r="I1639" s="24"/>
      <c r="K1639" s="28"/>
      <c r="P1639" s="29"/>
      <c r="S1639" s="24"/>
    </row>
    <row r="1640" ht="15.75" hidden="1" customHeight="1">
      <c r="A1640" s="34"/>
      <c r="B1640" s="35"/>
      <c r="C1640" s="35"/>
      <c r="F1640" s="29"/>
      <c r="I1640" s="24"/>
      <c r="K1640" s="28"/>
      <c r="P1640" s="29"/>
      <c r="S1640" s="24"/>
    </row>
    <row r="1641" ht="15.75" hidden="1" customHeight="1">
      <c r="A1641" s="34"/>
      <c r="B1641" s="35"/>
      <c r="C1641" s="35"/>
      <c r="F1641" s="29"/>
      <c r="I1641" s="24"/>
      <c r="K1641" s="28"/>
      <c r="P1641" s="29"/>
      <c r="S1641" s="24"/>
    </row>
    <row r="1642" ht="15.75" hidden="1" customHeight="1">
      <c r="A1642" s="34"/>
      <c r="B1642" s="35"/>
      <c r="C1642" s="35"/>
      <c r="F1642" s="29"/>
      <c r="I1642" s="24"/>
      <c r="K1642" s="28"/>
      <c r="P1642" s="29"/>
      <c r="S1642" s="24"/>
    </row>
    <row r="1643" ht="15.75" hidden="1" customHeight="1">
      <c r="A1643" s="34"/>
      <c r="B1643" s="35"/>
      <c r="C1643" s="35"/>
      <c r="F1643" s="29"/>
      <c r="I1643" s="24"/>
      <c r="K1643" s="28"/>
      <c r="P1643" s="29"/>
      <c r="S1643" s="24"/>
    </row>
    <row r="1644" ht="15.75" hidden="1" customHeight="1">
      <c r="A1644" s="34"/>
      <c r="B1644" s="36"/>
      <c r="C1644" s="36"/>
      <c r="F1644" s="29"/>
      <c r="I1644" s="24"/>
      <c r="K1644" s="28"/>
      <c r="P1644" s="29"/>
      <c r="S1644" s="24"/>
    </row>
    <row r="1645" ht="15.75" hidden="1" customHeight="1">
      <c r="A1645" s="34"/>
      <c r="B1645" s="36"/>
      <c r="C1645" s="36"/>
      <c r="F1645" s="29"/>
      <c r="I1645" s="24"/>
      <c r="K1645" s="28"/>
      <c r="P1645" s="29"/>
      <c r="S1645" s="24"/>
    </row>
    <row r="1646" ht="15.75" hidden="1" customHeight="1">
      <c r="A1646" s="34"/>
      <c r="B1646" s="36"/>
      <c r="C1646" s="36"/>
      <c r="F1646" s="29"/>
      <c r="I1646" s="24"/>
      <c r="K1646" s="28"/>
      <c r="P1646" s="29"/>
      <c r="S1646" s="24"/>
    </row>
    <row r="1647" ht="15.75" hidden="1" customHeight="1">
      <c r="A1647" s="34"/>
      <c r="B1647" s="35"/>
      <c r="C1647" s="35"/>
      <c r="F1647" s="29"/>
      <c r="I1647" s="24"/>
      <c r="K1647" s="28"/>
      <c r="P1647" s="29"/>
      <c r="S1647" s="24"/>
    </row>
    <row r="1648" ht="15.75" hidden="1" customHeight="1">
      <c r="A1648" s="34"/>
      <c r="B1648" s="35"/>
      <c r="C1648" s="35"/>
      <c r="F1648" s="29"/>
      <c r="I1648" s="24"/>
      <c r="K1648" s="28"/>
      <c r="P1648" s="29"/>
      <c r="S1648" s="24"/>
    </row>
    <row r="1649" ht="15.75" hidden="1" customHeight="1">
      <c r="A1649" s="34"/>
      <c r="B1649" s="35"/>
      <c r="C1649" s="35"/>
      <c r="F1649" s="29"/>
      <c r="I1649" s="24"/>
      <c r="K1649" s="28"/>
      <c r="P1649" s="29"/>
      <c r="S1649" s="24"/>
    </row>
    <row r="1650" ht="15.75" hidden="1" customHeight="1">
      <c r="A1650" s="34"/>
      <c r="B1650" s="35"/>
      <c r="C1650" s="35"/>
      <c r="F1650" s="29"/>
      <c r="I1650" s="24"/>
      <c r="K1650" s="28"/>
      <c r="P1650" s="29"/>
      <c r="S1650" s="24"/>
    </row>
    <row r="1651" ht="15.75" hidden="1" customHeight="1">
      <c r="A1651" s="34"/>
      <c r="B1651" s="35"/>
      <c r="C1651" s="35"/>
      <c r="F1651" s="29"/>
      <c r="I1651" s="24"/>
      <c r="K1651" s="28"/>
      <c r="P1651" s="29"/>
      <c r="S1651" s="24"/>
    </row>
    <row r="1652" ht="15.75" hidden="1" customHeight="1">
      <c r="A1652" s="34"/>
      <c r="B1652" s="36"/>
      <c r="C1652" s="36"/>
      <c r="F1652" s="29"/>
      <c r="I1652" s="24"/>
      <c r="K1652" s="28"/>
      <c r="P1652" s="29"/>
      <c r="S1652" s="24"/>
    </row>
    <row r="1653" ht="15.75" hidden="1" customHeight="1">
      <c r="A1653" s="34"/>
      <c r="B1653" s="36"/>
      <c r="C1653" s="36"/>
      <c r="F1653" s="29"/>
      <c r="I1653" s="24"/>
      <c r="K1653" s="28"/>
      <c r="P1653" s="29"/>
      <c r="S1653" s="24"/>
    </row>
    <row r="1654" ht="15.75" hidden="1" customHeight="1">
      <c r="A1654" s="34"/>
      <c r="B1654" s="35"/>
      <c r="C1654" s="35"/>
      <c r="F1654" s="29"/>
      <c r="I1654" s="24"/>
      <c r="K1654" s="28"/>
      <c r="P1654" s="29"/>
      <c r="S1654" s="24"/>
    </row>
    <row r="1655" ht="15.75" hidden="1" customHeight="1">
      <c r="A1655" s="34"/>
      <c r="B1655" s="35"/>
      <c r="C1655" s="35"/>
      <c r="F1655" s="29"/>
      <c r="I1655" s="24"/>
      <c r="K1655" s="28"/>
      <c r="P1655" s="29"/>
      <c r="S1655" s="24"/>
    </row>
    <row r="1656" ht="15.75" hidden="1" customHeight="1">
      <c r="A1656" s="34"/>
      <c r="B1656" s="35"/>
      <c r="C1656" s="35"/>
      <c r="F1656" s="29"/>
      <c r="I1656" s="24"/>
      <c r="K1656" s="28"/>
      <c r="P1656" s="29"/>
      <c r="S1656" s="24"/>
    </row>
    <row r="1657" ht="15.75" hidden="1" customHeight="1">
      <c r="A1657" s="34"/>
      <c r="B1657" s="35"/>
      <c r="C1657" s="35"/>
      <c r="F1657" s="29"/>
      <c r="I1657" s="24"/>
      <c r="K1657" s="28"/>
      <c r="P1657" s="29"/>
      <c r="S1657" s="24"/>
    </row>
    <row r="1658" ht="15.75" hidden="1" customHeight="1">
      <c r="A1658" s="34"/>
      <c r="B1658" s="35"/>
      <c r="C1658" s="35"/>
      <c r="F1658" s="29"/>
      <c r="I1658" s="24"/>
      <c r="K1658" s="28"/>
      <c r="P1658" s="29"/>
      <c r="S1658" s="24"/>
    </row>
    <row r="1659" ht="15.75" hidden="1" customHeight="1">
      <c r="A1659" s="34"/>
      <c r="B1659" s="36"/>
      <c r="C1659" s="36"/>
      <c r="F1659" s="29"/>
      <c r="I1659" s="24"/>
      <c r="K1659" s="28"/>
      <c r="P1659" s="29"/>
      <c r="S1659" s="24"/>
    </row>
    <row r="1660" ht="15.75" hidden="1" customHeight="1">
      <c r="A1660" s="34"/>
      <c r="B1660" s="36"/>
      <c r="C1660" s="36"/>
      <c r="F1660" s="29"/>
      <c r="I1660" s="24"/>
      <c r="K1660" s="28"/>
      <c r="P1660" s="29"/>
      <c r="S1660" s="24"/>
    </row>
    <row r="1661" ht="15.75" hidden="1" customHeight="1">
      <c r="A1661" s="34"/>
      <c r="B1661" s="35"/>
      <c r="C1661" s="35"/>
      <c r="F1661" s="29"/>
      <c r="I1661" s="24"/>
      <c r="K1661" s="28"/>
      <c r="P1661" s="29"/>
      <c r="S1661" s="24"/>
    </row>
    <row r="1662" ht="15.75" hidden="1" customHeight="1">
      <c r="A1662" s="34"/>
      <c r="B1662" s="35"/>
      <c r="C1662" s="35"/>
      <c r="F1662" s="29"/>
      <c r="I1662" s="24"/>
      <c r="K1662" s="28"/>
      <c r="P1662" s="29"/>
      <c r="S1662" s="24"/>
    </row>
    <row r="1663" ht="15.75" hidden="1" customHeight="1">
      <c r="A1663" s="34"/>
      <c r="B1663" s="35"/>
      <c r="C1663" s="35"/>
      <c r="F1663" s="29"/>
      <c r="I1663" s="24"/>
      <c r="K1663" s="28"/>
      <c r="P1663" s="29"/>
      <c r="S1663" s="24"/>
    </row>
    <row r="1664" ht="15.75" hidden="1" customHeight="1">
      <c r="A1664" s="34"/>
      <c r="B1664" s="35"/>
      <c r="C1664" s="35"/>
      <c r="F1664" s="29"/>
      <c r="I1664" s="24"/>
      <c r="K1664" s="28"/>
      <c r="P1664" s="29"/>
      <c r="S1664" s="24"/>
    </row>
    <row r="1665" ht="15.75" hidden="1" customHeight="1">
      <c r="A1665" s="34"/>
      <c r="B1665" s="35"/>
      <c r="C1665" s="35"/>
      <c r="F1665" s="29"/>
      <c r="I1665" s="24"/>
      <c r="K1665" s="28"/>
      <c r="P1665" s="29"/>
      <c r="S1665" s="24"/>
    </row>
    <row r="1666" ht="15.75" hidden="1" customHeight="1">
      <c r="A1666" s="34"/>
      <c r="B1666" s="36"/>
      <c r="C1666" s="36"/>
      <c r="F1666" s="29"/>
      <c r="I1666" s="24"/>
      <c r="K1666" s="28"/>
      <c r="P1666" s="29"/>
      <c r="S1666" s="24"/>
    </row>
    <row r="1667" ht="15.75" hidden="1" customHeight="1">
      <c r="A1667" s="34"/>
      <c r="B1667" s="36"/>
      <c r="C1667" s="36"/>
      <c r="F1667" s="29"/>
      <c r="I1667" s="24"/>
      <c r="K1667" s="28"/>
      <c r="P1667" s="29"/>
      <c r="S1667" s="24"/>
    </row>
    <row r="1668" ht="15.75" hidden="1" customHeight="1">
      <c r="A1668" s="34"/>
      <c r="B1668" s="35"/>
      <c r="C1668" s="35"/>
      <c r="F1668" s="29"/>
      <c r="I1668" s="24"/>
      <c r="K1668" s="28"/>
      <c r="P1668" s="29"/>
      <c r="S1668" s="24"/>
    </row>
    <row r="1669" ht="15.75" hidden="1" customHeight="1">
      <c r="A1669" s="34"/>
      <c r="B1669" s="35"/>
      <c r="C1669" s="35"/>
      <c r="F1669" s="29"/>
      <c r="I1669" s="24"/>
      <c r="K1669" s="28"/>
      <c r="P1669" s="29"/>
      <c r="S1669" s="24"/>
    </row>
    <row r="1670" ht="15.75" hidden="1" customHeight="1">
      <c r="A1670" s="34"/>
      <c r="B1670" s="35"/>
      <c r="C1670" s="35"/>
      <c r="F1670" s="29"/>
      <c r="I1670" s="24"/>
      <c r="K1670" s="28"/>
      <c r="P1670" s="29"/>
      <c r="S1670" s="24"/>
    </row>
    <row r="1671" ht="15.75" hidden="1" customHeight="1">
      <c r="A1671" s="34"/>
      <c r="B1671" s="35"/>
      <c r="C1671" s="35"/>
      <c r="F1671" s="29"/>
      <c r="I1671" s="24"/>
      <c r="K1671" s="28"/>
      <c r="P1671" s="29"/>
      <c r="S1671" s="24"/>
    </row>
    <row r="1672" ht="15.75" hidden="1" customHeight="1">
      <c r="A1672" s="34"/>
      <c r="B1672" s="35"/>
      <c r="C1672" s="35"/>
      <c r="F1672" s="29"/>
      <c r="I1672" s="24"/>
      <c r="K1672" s="28"/>
      <c r="P1672" s="29"/>
      <c r="S1672" s="24"/>
    </row>
    <row r="1673" ht="15.75" hidden="1" customHeight="1">
      <c r="A1673" s="34"/>
      <c r="B1673" s="36"/>
      <c r="C1673" s="36"/>
      <c r="F1673" s="29"/>
      <c r="I1673" s="24"/>
      <c r="K1673" s="28"/>
      <c r="P1673" s="29"/>
      <c r="S1673" s="24"/>
    </row>
    <row r="1674" ht="15.75" hidden="1" customHeight="1">
      <c r="A1674" s="34"/>
      <c r="B1674" s="36"/>
      <c r="C1674" s="36"/>
      <c r="F1674" s="29"/>
      <c r="I1674" s="24"/>
      <c r="K1674" s="28"/>
      <c r="P1674" s="29"/>
      <c r="S1674" s="24"/>
    </row>
    <row r="1675" ht="15.75" hidden="1" customHeight="1">
      <c r="A1675" s="34"/>
      <c r="B1675" s="35"/>
      <c r="C1675" s="35"/>
      <c r="F1675" s="29"/>
      <c r="I1675" s="24"/>
      <c r="K1675" s="28"/>
      <c r="P1675" s="29"/>
      <c r="S1675" s="24"/>
    </row>
    <row r="1676" ht="15.75" hidden="1" customHeight="1">
      <c r="A1676" s="34"/>
      <c r="B1676" s="35"/>
      <c r="C1676" s="35"/>
      <c r="F1676" s="29"/>
      <c r="I1676" s="24"/>
      <c r="K1676" s="28"/>
      <c r="P1676" s="29"/>
      <c r="S1676" s="24"/>
    </row>
    <row r="1677" ht="15.75" hidden="1" customHeight="1">
      <c r="A1677" s="34"/>
      <c r="B1677" s="35"/>
      <c r="C1677" s="35"/>
      <c r="F1677" s="29"/>
      <c r="I1677" s="24"/>
      <c r="K1677" s="28"/>
      <c r="P1677" s="29"/>
      <c r="S1677" s="24"/>
    </row>
    <row r="1678" ht="15.75" hidden="1" customHeight="1">
      <c r="A1678" s="34"/>
      <c r="B1678" s="35"/>
      <c r="C1678" s="35"/>
      <c r="F1678" s="29"/>
      <c r="I1678" s="24"/>
      <c r="K1678" s="28"/>
      <c r="P1678" s="29"/>
      <c r="S1678" s="24"/>
    </row>
    <row r="1679" ht="15.75" hidden="1" customHeight="1">
      <c r="A1679" s="34"/>
      <c r="B1679" s="35"/>
      <c r="C1679" s="35"/>
      <c r="F1679" s="29"/>
      <c r="I1679" s="24"/>
      <c r="K1679" s="28"/>
      <c r="P1679" s="29"/>
      <c r="S1679" s="24"/>
    </row>
    <row r="1680" ht="15.75" hidden="1" customHeight="1">
      <c r="A1680" s="34"/>
      <c r="B1680" s="36"/>
      <c r="C1680" s="36"/>
      <c r="F1680" s="29"/>
      <c r="I1680" s="24"/>
      <c r="K1680" s="28"/>
      <c r="P1680" s="29"/>
      <c r="S1680" s="24"/>
    </row>
    <row r="1681" ht="15.75" hidden="1" customHeight="1">
      <c r="A1681" s="34"/>
      <c r="B1681" s="36"/>
      <c r="C1681" s="36"/>
      <c r="F1681" s="29"/>
      <c r="I1681" s="24"/>
      <c r="K1681" s="28"/>
      <c r="P1681" s="29"/>
      <c r="S1681" s="24"/>
    </row>
    <row r="1682" ht="15.75" hidden="1" customHeight="1">
      <c r="A1682" s="34"/>
      <c r="B1682" s="35"/>
      <c r="C1682" s="35"/>
      <c r="F1682" s="29"/>
      <c r="I1682" s="24"/>
      <c r="K1682" s="28"/>
      <c r="P1682" s="29"/>
      <c r="S1682" s="24"/>
    </row>
    <row r="1683" ht="15.75" hidden="1" customHeight="1">
      <c r="A1683" s="34"/>
      <c r="B1683" s="35"/>
      <c r="C1683" s="35"/>
      <c r="F1683" s="29"/>
      <c r="I1683" s="24"/>
      <c r="K1683" s="28"/>
      <c r="P1683" s="29"/>
      <c r="S1683" s="24"/>
    </row>
    <row r="1684" ht="15.75" hidden="1" customHeight="1">
      <c r="A1684" s="34"/>
      <c r="B1684" s="35"/>
      <c r="C1684" s="35"/>
      <c r="F1684" s="29"/>
      <c r="I1684" s="24"/>
      <c r="K1684" s="28"/>
      <c r="P1684" s="29"/>
      <c r="S1684" s="24"/>
    </row>
    <row r="1685" ht="15.75" hidden="1" customHeight="1">
      <c r="A1685" s="34"/>
      <c r="B1685" s="35"/>
      <c r="C1685" s="35"/>
      <c r="F1685" s="29"/>
      <c r="I1685" s="24"/>
      <c r="K1685" s="28"/>
      <c r="P1685" s="29"/>
      <c r="S1685" s="24"/>
    </row>
    <row r="1686" ht="15.75" hidden="1" customHeight="1">
      <c r="A1686" s="34"/>
      <c r="B1686" s="35"/>
      <c r="C1686" s="35"/>
      <c r="F1686" s="29"/>
      <c r="I1686" s="24"/>
      <c r="K1686" s="28"/>
      <c r="P1686" s="29"/>
      <c r="S1686" s="24"/>
    </row>
    <row r="1687" ht="15.75" hidden="1" customHeight="1">
      <c r="A1687" s="34"/>
      <c r="B1687" s="36"/>
      <c r="C1687" s="36"/>
      <c r="F1687" s="29"/>
      <c r="I1687" s="24"/>
      <c r="K1687" s="28"/>
      <c r="P1687" s="29"/>
      <c r="S1687" s="24"/>
    </row>
    <row r="1688" ht="15.75" hidden="1" customHeight="1">
      <c r="A1688" s="34"/>
      <c r="B1688" s="36"/>
      <c r="C1688" s="36"/>
      <c r="F1688" s="29"/>
      <c r="I1688" s="24"/>
      <c r="K1688" s="28"/>
      <c r="P1688" s="29"/>
      <c r="S1688" s="24"/>
    </row>
    <row r="1689" ht="15.75" hidden="1" customHeight="1">
      <c r="A1689" s="34"/>
      <c r="B1689" s="35"/>
      <c r="C1689" s="35"/>
      <c r="F1689" s="29"/>
      <c r="I1689" s="24"/>
      <c r="K1689" s="28"/>
      <c r="P1689" s="29"/>
      <c r="S1689" s="24"/>
    </row>
    <row r="1690" ht="15.75" hidden="1" customHeight="1">
      <c r="A1690" s="34"/>
      <c r="B1690" s="35"/>
      <c r="C1690" s="35"/>
      <c r="F1690" s="29"/>
      <c r="I1690" s="24"/>
      <c r="K1690" s="28"/>
      <c r="P1690" s="29"/>
      <c r="S1690" s="24"/>
    </row>
    <row r="1691" ht="15.75" hidden="1" customHeight="1">
      <c r="A1691" s="34"/>
      <c r="B1691" s="35"/>
      <c r="C1691" s="35"/>
      <c r="F1691" s="29"/>
      <c r="I1691" s="24"/>
      <c r="K1691" s="28"/>
      <c r="P1691" s="29"/>
      <c r="S1691" s="24"/>
    </row>
    <row r="1692" ht="15.75" hidden="1" customHeight="1">
      <c r="A1692" s="34"/>
      <c r="B1692" s="35"/>
      <c r="C1692" s="35"/>
      <c r="F1692" s="29"/>
      <c r="I1692" s="24"/>
      <c r="K1692" s="28"/>
      <c r="P1692" s="29"/>
      <c r="S1692" s="24"/>
    </row>
    <row r="1693" ht="15.75" hidden="1" customHeight="1">
      <c r="A1693" s="34"/>
      <c r="B1693" s="35"/>
      <c r="C1693" s="35"/>
      <c r="F1693" s="29"/>
      <c r="I1693" s="24"/>
      <c r="K1693" s="28"/>
      <c r="P1693" s="29"/>
      <c r="S1693" s="24"/>
    </row>
    <row r="1694" ht="15.75" hidden="1" customHeight="1">
      <c r="A1694" s="34"/>
      <c r="B1694" s="36"/>
      <c r="C1694" s="36"/>
      <c r="F1694" s="29"/>
      <c r="I1694" s="24"/>
      <c r="K1694" s="28"/>
      <c r="P1694" s="29"/>
      <c r="S1694" s="24"/>
    </row>
    <row r="1695" ht="15.75" hidden="1" customHeight="1">
      <c r="A1695" s="34"/>
      <c r="B1695" s="36"/>
      <c r="C1695" s="36"/>
      <c r="F1695" s="29"/>
      <c r="I1695" s="24"/>
      <c r="K1695" s="28"/>
      <c r="P1695" s="29"/>
      <c r="S1695" s="24"/>
    </row>
    <row r="1696" ht="15.75" hidden="1" customHeight="1">
      <c r="A1696" s="34"/>
      <c r="B1696" s="35"/>
      <c r="C1696" s="35"/>
      <c r="F1696" s="29"/>
      <c r="I1696" s="24"/>
      <c r="K1696" s="28"/>
      <c r="P1696" s="29"/>
      <c r="S1696" s="24"/>
    </row>
    <row r="1697" ht="15.75" hidden="1" customHeight="1">
      <c r="A1697" s="34"/>
      <c r="B1697" s="35"/>
      <c r="C1697" s="35"/>
      <c r="F1697" s="29"/>
      <c r="I1697" s="24"/>
      <c r="K1697" s="28"/>
      <c r="P1697" s="29"/>
      <c r="S1697" s="24"/>
    </row>
    <row r="1698" ht="15.75" hidden="1" customHeight="1">
      <c r="A1698" s="34"/>
      <c r="B1698" s="35"/>
      <c r="C1698" s="35"/>
      <c r="F1698" s="29"/>
      <c r="I1698" s="24"/>
      <c r="K1698" s="28"/>
      <c r="P1698" s="29"/>
      <c r="S1698" s="24"/>
    </row>
    <row r="1699" ht="15.75" hidden="1" customHeight="1">
      <c r="A1699" s="34"/>
      <c r="B1699" s="35"/>
      <c r="C1699" s="35"/>
      <c r="F1699" s="29"/>
      <c r="I1699" s="24"/>
      <c r="K1699" s="28"/>
      <c r="P1699" s="29"/>
      <c r="S1699" s="24"/>
    </row>
    <row r="1700" ht="15.75" hidden="1" customHeight="1">
      <c r="A1700" s="34"/>
      <c r="B1700" s="35"/>
      <c r="C1700" s="35"/>
      <c r="F1700" s="29"/>
      <c r="I1700" s="24"/>
      <c r="K1700" s="28"/>
      <c r="P1700" s="29"/>
      <c r="S1700" s="24"/>
    </row>
    <row r="1701" ht="15.75" hidden="1" customHeight="1">
      <c r="A1701" s="34"/>
      <c r="B1701" s="36"/>
      <c r="C1701" s="36"/>
      <c r="F1701" s="29"/>
      <c r="I1701" s="24"/>
      <c r="K1701" s="28"/>
      <c r="P1701" s="29"/>
      <c r="S1701" s="24"/>
    </row>
    <row r="1702" ht="15.75" hidden="1" customHeight="1">
      <c r="A1702" s="34"/>
      <c r="B1702" s="36"/>
      <c r="C1702" s="36"/>
      <c r="F1702" s="29"/>
      <c r="I1702" s="24"/>
      <c r="K1702" s="28"/>
      <c r="P1702" s="29"/>
      <c r="S1702" s="24"/>
    </row>
    <row r="1703" ht="15.75" hidden="1" customHeight="1">
      <c r="A1703" s="34"/>
      <c r="B1703" s="35"/>
      <c r="C1703" s="35"/>
      <c r="F1703" s="29"/>
      <c r="I1703" s="24"/>
      <c r="K1703" s="28"/>
      <c r="P1703" s="29"/>
      <c r="S1703" s="24"/>
    </row>
    <row r="1704" ht="15.75" hidden="1" customHeight="1">
      <c r="A1704" s="34"/>
      <c r="B1704" s="35"/>
      <c r="C1704" s="35"/>
      <c r="F1704" s="29"/>
      <c r="I1704" s="24"/>
      <c r="K1704" s="28"/>
      <c r="P1704" s="29"/>
      <c r="S1704" s="24"/>
    </row>
    <row r="1705" ht="15.75" hidden="1" customHeight="1">
      <c r="A1705" s="34"/>
      <c r="B1705" s="35"/>
      <c r="C1705" s="35"/>
      <c r="F1705" s="29"/>
      <c r="I1705" s="24"/>
      <c r="K1705" s="28"/>
      <c r="P1705" s="29"/>
      <c r="S1705" s="24"/>
    </row>
    <row r="1706" ht="15.75" hidden="1" customHeight="1">
      <c r="A1706" s="34"/>
      <c r="B1706" s="35"/>
      <c r="C1706" s="35"/>
      <c r="F1706" s="29"/>
      <c r="I1706" s="24"/>
      <c r="K1706" s="28"/>
      <c r="P1706" s="29"/>
      <c r="S1706" s="24"/>
    </row>
    <row r="1707" ht="15.75" hidden="1" customHeight="1">
      <c r="A1707" s="34"/>
      <c r="B1707" s="35"/>
      <c r="C1707" s="35"/>
      <c r="F1707" s="29"/>
      <c r="I1707" s="24"/>
      <c r="K1707" s="28"/>
      <c r="P1707" s="29"/>
      <c r="S1707" s="24"/>
    </row>
    <row r="1708" ht="15.75" hidden="1" customHeight="1">
      <c r="A1708" s="34"/>
      <c r="B1708" s="36"/>
      <c r="C1708" s="36"/>
      <c r="F1708" s="29"/>
      <c r="I1708" s="24"/>
      <c r="K1708" s="28"/>
      <c r="P1708" s="29"/>
      <c r="S1708" s="24"/>
    </row>
    <row r="1709" ht="15.75" hidden="1" customHeight="1">
      <c r="A1709" s="34"/>
      <c r="B1709" s="36"/>
      <c r="C1709" s="36"/>
      <c r="F1709" s="29"/>
      <c r="I1709" s="24"/>
      <c r="K1709" s="28"/>
      <c r="P1709" s="29"/>
      <c r="S1709" s="24"/>
    </row>
    <row r="1710" ht="15.75" hidden="1" customHeight="1">
      <c r="A1710" s="34"/>
      <c r="B1710" s="35"/>
      <c r="C1710" s="35"/>
      <c r="F1710" s="29"/>
      <c r="I1710" s="24"/>
      <c r="K1710" s="28"/>
      <c r="P1710" s="29"/>
      <c r="S1710" s="24"/>
    </row>
    <row r="1711" ht="15.75" hidden="1" customHeight="1">
      <c r="A1711" s="34"/>
      <c r="B1711" s="35"/>
      <c r="C1711" s="35"/>
      <c r="F1711" s="29"/>
      <c r="I1711" s="24"/>
      <c r="K1711" s="28"/>
      <c r="P1711" s="29"/>
      <c r="S1711" s="24"/>
    </row>
    <row r="1712" ht="15.75" hidden="1" customHeight="1">
      <c r="A1712" s="34"/>
      <c r="B1712" s="35"/>
      <c r="C1712" s="35"/>
      <c r="F1712" s="29"/>
      <c r="I1712" s="24"/>
      <c r="K1712" s="28"/>
      <c r="P1712" s="29"/>
      <c r="S1712" s="24"/>
    </row>
    <row r="1713" ht="15.75" hidden="1" customHeight="1">
      <c r="A1713" s="34"/>
      <c r="B1713" s="35"/>
      <c r="C1713" s="35"/>
      <c r="F1713" s="29"/>
      <c r="I1713" s="24"/>
      <c r="K1713" s="28"/>
      <c r="P1713" s="29"/>
      <c r="S1713" s="24"/>
    </row>
    <row r="1714" ht="15.75" hidden="1" customHeight="1">
      <c r="A1714" s="34"/>
      <c r="B1714" s="35"/>
      <c r="C1714" s="35"/>
      <c r="F1714" s="29"/>
      <c r="I1714" s="24"/>
      <c r="K1714" s="28"/>
      <c r="P1714" s="29"/>
      <c r="S1714" s="24"/>
    </row>
    <row r="1715" ht="15.75" hidden="1" customHeight="1">
      <c r="A1715" s="34"/>
      <c r="B1715" s="36"/>
      <c r="C1715" s="36"/>
      <c r="F1715" s="29"/>
      <c r="I1715" s="24"/>
      <c r="K1715" s="28"/>
      <c r="P1715" s="29"/>
      <c r="S1715" s="24"/>
    </row>
    <row r="1716" ht="15.75" hidden="1" customHeight="1">
      <c r="A1716" s="34"/>
      <c r="B1716" s="36"/>
      <c r="C1716" s="36"/>
      <c r="F1716" s="29"/>
      <c r="I1716" s="24"/>
      <c r="K1716" s="28"/>
      <c r="P1716" s="29"/>
      <c r="S1716" s="24"/>
    </row>
    <row r="1717" ht="15.75" hidden="1" customHeight="1">
      <c r="A1717" s="34"/>
      <c r="F1717" s="29"/>
      <c r="I1717" s="24"/>
      <c r="K1717" s="28"/>
      <c r="P1717" s="29"/>
      <c r="S1717" s="24"/>
    </row>
    <row r="1718" ht="15.75" hidden="1" customHeight="1">
      <c r="A1718" s="34"/>
      <c r="B1718" s="35"/>
      <c r="C1718" s="35"/>
      <c r="F1718" s="29"/>
      <c r="I1718" s="24"/>
      <c r="K1718" s="28"/>
      <c r="P1718" s="29"/>
      <c r="S1718" s="24"/>
    </row>
    <row r="1719" ht="15.75" hidden="1" customHeight="1">
      <c r="A1719" s="34"/>
      <c r="B1719" s="35"/>
      <c r="C1719" s="35"/>
      <c r="F1719" s="29"/>
      <c r="I1719" s="24"/>
      <c r="K1719" s="28"/>
      <c r="P1719" s="29"/>
      <c r="S1719" s="24"/>
    </row>
    <row r="1720" ht="15.75" hidden="1" customHeight="1">
      <c r="A1720" s="34"/>
      <c r="B1720" s="35"/>
      <c r="C1720" s="35"/>
      <c r="F1720" s="29"/>
      <c r="I1720" s="24"/>
      <c r="K1720" s="28"/>
      <c r="P1720" s="29"/>
      <c r="S1720" s="24"/>
    </row>
    <row r="1721" ht="15.75" hidden="1" customHeight="1">
      <c r="A1721" s="34"/>
      <c r="B1721" s="35"/>
      <c r="C1721" s="35"/>
      <c r="F1721" s="29"/>
      <c r="I1721" s="24"/>
      <c r="K1721" s="28"/>
      <c r="P1721" s="29"/>
      <c r="S1721" s="24"/>
    </row>
    <row r="1722" ht="15.75" hidden="1" customHeight="1">
      <c r="A1722" s="34"/>
      <c r="B1722" s="36"/>
      <c r="C1722" s="36"/>
      <c r="F1722" s="29"/>
      <c r="I1722" s="24"/>
      <c r="K1722" s="28"/>
      <c r="P1722" s="29"/>
      <c r="S1722" s="24"/>
    </row>
    <row r="1723" ht="15.75" hidden="1" customHeight="1">
      <c r="A1723" s="34"/>
      <c r="B1723" s="36"/>
      <c r="C1723" s="36"/>
      <c r="F1723" s="29"/>
      <c r="I1723" s="24"/>
      <c r="K1723" s="28"/>
      <c r="P1723" s="29"/>
      <c r="S1723" s="24"/>
    </row>
    <row r="1724" ht="15.75" hidden="1" customHeight="1">
      <c r="A1724" s="34"/>
      <c r="B1724" s="35"/>
      <c r="C1724" s="35"/>
      <c r="F1724" s="29"/>
      <c r="I1724" s="24"/>
      <c r="K1724" s="28"/>
      <c r="P1724" s="29"/>
      <c r="S1724" s="24"/>
    </row>
    <row r="1725" ht="15.75" hidden="1" customHeight="1">
      <c r="A1725" s="34"/>
      <c r="B1725" s="35"/>
      <c r="C1725" s="35"/>
      <c r="F1725" s="29"/>
      <c r="I1725" s="24"/>
      <c r="K1725" s="28"/>
      <c r="P1725" s="29"/>
      <c r="S1725" s="24"/>
    </row>
    <row r="1726" ht="15.75" hidden="1" customHeight="1">
      <c r="A1726" s="34"/>
      <c r="B1726" s="35"/>
      <c r="C1726" s="35"/>
      <c r="F1726" s="29"/>
      <c r="I1726" s="24"/>
      <c r="K1726" s="28"/>
      <c r="P1726" s="29"/>
      <c r="S1726" s="24"/>
    </row>
    <row r="1727" ht="15.75" hidden="1" customHeight="1">
      <c r="A1727" s="34"/>
      <c r="B1727" s="35"/>
      <c r="C1727" s="35"/>
      <c r="F1727" s="29"/>
      <c r="I1727" s="24"/>
      <c r="K1727" s="28"/>
      <c r="P1727" s="29"/>
      <c r="S1727" s="24"/>
    </row>
    <row r="1728" ht="15.75" hidden="1" customHeight="1">
      <c r="A1728" s="34"/>
      <c r="B1728" s="35"/>
      <c r="C1728" s="35"/>
      <c r="F1728" s="29"/>
      <c r="I1728" s="24"/>
      <c r="K1728" s="28"/>
      <c r="P1728" s="29"/>
      <c r="S1728" s="24"/>
    </row>
    <row r="1729" ht="15.75" hidden="1" customHeight="1">
      <c r="A1729" s="34"/>
      <c r="B1729" s="36"/>
      <c r="C1729" s="36"/>
      <c r="F1729" s="29"/>
      <c r="I1729" s="24"/>
      <c r="K1729" s="28"/>
      <c r="P1729" s="29"/>
      <c r="S1729" s="24"/>
    </row>
    <row r="1730" ht="15.75" hidden="1" customHeight="1">
      <c r="A1730" s="34"/>
      <c r="B1730" s="36"/>
      <c r="C1730" s="36"/>
      <c r="F1730" s="29"/>
      <c r="I1730" s="24"/>
      <c r="K1730" s="28"/>
      <c r="P1730" s="29"/>
      <c r="S1730" s="24"/>
    </row>
    <row r="1731" ht="15.75" hidden="1" customHeight="1">
      <c r="A1731" s="34"/>
      <c r="B1731" s="35"/>
      <c r="C1731" s="35"/>
      <c r="F1731" s="29"/>
      <c r="I1731" s="24"/>
      <c r="K1731" s="28"/>
      <c r="P1731" s="29"/>
      <c r="S1731" s="24"/>
    </row>
    <row r="1732" ht="15.75" hidden="1" customHeight="1">
      <c r="A1732" s="34"/>
      <c r="B1732" s="35"/>
      <c r="C1732" s="35"/>
      <c r="F1732" s="29"/>
      <c r="I1732" s="24"/>
      <c r="K1732" s="28"/>
      <c r="P1732" s="29"/>
      <c r="S1732" s="24"/>
    </row>
    <row r="1733" ht="15.75" hidden="1" customHeight="1">
      <c r="A1733" s="34"/>
      <c r="B1733" s="35"/>
      <c r="C1733" s="35"/>
      <c r="F1733" s="29"/>
      <c r="I1733" s="24"/>
      <c r="K1733" s="28"/>
      <c r="P1733" s="29"/>
      <c r="S1733" s="24"/>
    </row>
    <row r="1734" ht="15.75" hidden="1" customHeight="1">
      <c r="A1734" s="34"/>
      <c r="B1734" s="35"/>
      <c r="C1734" s="35"/>
      <c r="F1734" s="29"/>
      <c r="I1734" s="24"/>
      <c r="K1734" s="28"/>
      <c r="P1734" s="29"/>
      <c r="S1734" s="24"/>
    </row>
    <row r="1735" ht="15.75" hidden="1" customHeight="1">
      <c r="A1735" s="34"/>
      <c r="B1735" s="36"/>
      <c r="C1735" s="36"/>
      <c r="F1735" s="29"/>
      <c r="I1735" s="24"/>
      <c r="K1735" s="28"/>
      <c r="P1735" s="29"/>
      <c r="S1735" s="24"/>
    </row>
    <row r="1736" ht="15.75" hidden="1" customHeight="1">
      <c r="A1736" s="34"/>
      <c r="B1736" s="36"/>
      <c r="C1736" s="36"/>
      <c r="F1736" s="29"/>
      <c r="I1736" s="24"/>
      <c r="K1736" s="28"/>
      <c r="P1736" s="29"/>
      <c r="S1736" s="24"/>
    </row>
    <row r="1737" ht="15.75" hidden="1" customHeight="1">
      <c r="A1737" s="34"/>
      <c r="B1737" s="36"/>
      <c r="C1737" s="36"/>
      <c r="F1737" s="29"/>
      <c r="I1737" s="24"/>
      <c r="K1737" s="28"/>
      <c r="P1737" s="29"/>
      <c r="S1737" s="24"/>
    </row>
    <row r="1738" ht="15.75" hidden="1" customHeight="1">
      <c r="A1738" s="34"/>
      <c r="B1738" s="35"/>
      <c r="C1738" s="35"/>
      <c r="F1738" s="29"/>
      <c r="I1738" s="24"/>
      <c r="K1738" s="28"/>
      <c r="P1738" s="29"/>
      <c r="S1738" s="24"/>
    </row>
    <row r="1739" ht="15.75" hidden="1" customHeight="1">
      <c r="A1739" s="34"/>
      <c r="B1739" s="35"/>
      <c r="C1739" s="35"/>
      <c r="F1739" s="29"/>
      <c r="I1739" s="24"/>
      <c r="K1739" s="28"/>
      <c r="P1739" s="29"/>
      <c r="S1739" s="24"/>
    </row>
    <row r="1740" ht="15.75" hidden="1" customHeight="1">
      <c r="A1740" s="34"/>
      <c r="B1740" s="35"/>
      <c r="C1740" s="35"/>
      <c r="F1740" s="29"/>
      <c r="I1740" s="24"/>
      <c r="K1740" s="28"/>
      <c r="P1740" s="29"/>
      <c r="S1740" s="24"/>
    </row>
    <row r="1741" ht="15.75" hidden="1" customHeight="1">
      <c r="A1741" s="34"/>
      <c r="B1741" s="35"/>
      <c r="C1741" s="35"/>
      <c r="F1741" s="29"/>
      <c r="I1741" s="24"/>
      <c r="K1741" s="28"/>
      <c r="P1741" s="29"/>
      <c r="S1741" s="24"/>
    </row>
    <row r="1742" ht="15.75" hidden="1" customHeight="1">
      <c r="A1742" s="34"/>
      <c r="B1742" s="35"/>
      <c r="C1742" s="35"/>
      <c r="F1742" s="29"/>
      <c r="I1742" s="24"/>
      <c r="K1742" s="28"/>
      <c r="P1742" s="29"/>
      <c r="S1742" s="24"/>
    </row>
    <row r="1743" ht="15.75" hidden="1" customHeight="1">
      <c r="A1743" s="34"/>
      <c r="B1743" s="36"/>
      <c r="C1743" s="36"/>
      <c r="F1743" s="29"/>
      <c r="I1743" s="24"/>
      <c r="K1743" s="28"/>
      <c r="P1743" s="29"/>
      <c r="S1743" s="24"/>
    </row>
    <row r="1744" ht="15.75" hidden="1" customHeight="1">
      <c r="A1744" s="34"/>
      <c r="B1744" s="36"/>
      <c r="C1744" s="36"/>
      <c r="F1744" s="29"/>
      <c r="I1744" s="24"/>
      <c r="K1744" s="28"/>
      <c r="P1744" s="29"/>
      <c r="S1744" s="24"/>
    </row>
    <row r="1745" ht="15.75" hidden="1" customHeight="1">
      <c r="A1745" s="34"/>
      <c r="B1745" s="35"/>
      <c r="C1745" s="35"/>
      <c r="F1745" s="29"/>
      <c r="I1745" s="24"/>
      <c r="K1745" s="28"/>
      <c r="P1745" s="29"/>
      <c r="S1745" s="24"/>
    </row>
    <row r="1746" ht="15.75" hidden="1" customHeight="1">
      <c r="A1746" s="34"/>
      <c r="B1746" s="35"/>
      <c r="C1746" s="35"/>
      <c r="F1746" s="29"/>
      <c r="I1746" s="24"/>
      <c r="K1746" s="28"/>
      <c r="P1746" s="29"/>
      <c r="S1746" s="24"/>
    </row>
    <row r="1747" ht="15.75" hidden="1" customHeight="1">
      <c r="A1747" s="34"/>
      <c r="B1747" s="35"/>
      <c r="C1747" s="35"/>
      <c r="F1747" s="29"/>
      <c r="I1747" s="24"/>
      <c r="K1747" s="28"/>
      <c r="P1747" s="29"/>
      <c r="S1747" s="24"/>
    </row>
    <row r="1748" ht="15.75" hidden="1" customHeight="1">
      <c r="A1748" s="34"/>
      <c r="B1748" s="35"/>
      <c r="C1748" s="35"/>
      <c r="F1748" s="29"/>
      <c r="I1748" s="24"/>
      <c r="K1748" s="28"/>
      <c r="P1748" s="29"/>
      <c r="S1748" s="24"/>
    </row>
    <row r="1749" ht="15.75" hidden="1" customHeight="1">
      <c r="A1749" s="34"/>
      <c r="B1749" s="35"/>
      <c r="C1749" s="35"/>
      <c r="F1749" s="29"/>
      <c r="I1749" s="24"/>
      <c r="K1749" s="28"/>
      <c r="P1749" s="29"/>
      <c r="S1749" s="24"/>
    </row>
    <row r="1750" ht="15.75" hidden="1" customHeight="1">
      <c r="A1750" s="34"/>
      <c r="B1750" s="36"/>
      <c r="C1750" s="36"/>
      <c r="F1750" s="29"/>
      <c r="I1750" s="24"/>
      <c r="K1750" s="28"/>
      <c r="P1750" s="29"/>
      <c r="S1750" s="24"/>
    </row>
    <row r="1751" ht="15.75" hidden="1" customHeight="1">
      <c r="A1751" s="34"/>
      <c r="B1751" s="36"/>
      <c r="C1751" s="36"/>
      <c r="F1751" s="29"/>
      <c r="I1751" s="24"/>
      <c r="K1751" s="28"/>
      <c r="P1751" s="29"/>
      <c r="S1751" s="24"/>
    </row>
    <row r="1752" ht="15.75" hidden="1" customHeight="1">
      <c r="A1752" s="34"/>
      <c r="B1752" s="35"/>
      <c r="C1752" s="35"/>
      <c r="F1752" s="29"/>
      <c r="I1752" s="24"/>
      <c r="K1752" s="28"/>
      <c r="P1752" s="29"/>
      <c r="S1752" s="24"/>
    </row>
    <row r="1753" ht="15.75" hidden="1" customHeight="1">
      <c r="A1753" s="34"/>
      <c r="B1753" s="35"/>
      <c r="C1753" s="35"/>
      <c r="F1753" s="29"/>
      <c r="I1753" s="24"/>
      <c r="K1753" s="28"/>
      <c r="P1753" s="29"/>
      <c r="S1753" s="24"/>
    </row>
    <row r="1754" ht="15.75" hidden="1" customHeight="1">
      <c r="A1754" s="34"/>
      <c r="B1754" s="35"/>
      <c r="C1754" s="35"/>
      <c r="F1754" s="29"/>
      <c r="I1754" s="24"/>
      <c r="K1754" s="28"/>
      <c r="P1754" s="29"/>
      <c r="S1754" s="24"/>
    </row>
    <row r="1755" ht="15.75" hidden="1" customHeight="1">
      <c r="A1755" s="34"/>
      <c r="B1755" s="35"/>
      <c r="C1755" s="35"/>
      <c r="F1755" s="29"/>
      <c r="I1755" s="24"/>
      <c r="K1755" s="28"/>
      <c r="P1755" s="29"/>
      <c r="S1755" s="24"/>
    </row>
    <row r="1756" ht="15.75" hidden="1" customHeight="1">
      <c r="A1756" s="34"/>
      <c r="B1756" s="36"/>
      <c r="C1756" s="36"/>
      <c r="F1756" s="29"/>
      <c r="I1756" s="24"/>
      <c r="K1756" s="28"/>
      <c r="P1756" s="29"/>
      <c r="S1756" s="24"/>
    </row>
    <row r="1757" ht="15.75" hidden="1" customHeight="1">
      <c r="A1757" s="34"/>
      <c r="B1757" s="36"/>
      <c r="C1757" s="36"/>
      <c r="F1757" s="29"/>
      <c r="I1757" s="24"/>
      <c r="K1757" s="28"/>
      <c r="P1757" s="29"/>
      <c r="S1757" s="24"/>
    </row>
    <row r="1758" ht="15.75" hidden="1" customHeight="1">
      <c r="A1758" s="34"/>
      <c r="B1758" s="36"/>
      <c r="C1758" s="36"/>
      <c r="F1758" s="29"/>
      <c r="I1758" s="24"/>
      <c r="K1758" s="28"/>
      <c r="P1758" s="29"/>
      <c r="S1758" s="24"/>
    </row>
    <row r="1759" ht="15.75" hidden="1" customHeight="1">
      <c r="A1759" s="34"/>
      <c r="B1759" s="35"/>
      <c r="C1759" s="35"/>
      <c r="F1759" s="29"/>
      <c r="I1759" s="24"/>
      <c r="K1759" s="28"/>
      <c r="P1759" s="29"/>
      <c r="S1759" s="24"/>
    </row>
    <row r="1760" ht="15.75" hidden="1" customHeight="1">
      <c r="A1760" s="34"/>
      <c r="B1760" s="35"/>
      <c r="C1760" s="35"/>
      <c r="F1760" s="29"/>
      <c r="I1760" s="24"/>
      <c r="K1760" s="28"/>
      <c r="P1760" s="29"/>
      <c r="S1760" s="24"/>
    </row>
    <row r="1761" ht="15.75" hidden="1" customHeight="1">
      <c r="A1761" s="34"/>
      <c r="B1761" s="35"/>
      <c r="C1761" s="35"/>
      <c r="F1761" s="29"/>
      <c r="I1761" s="24"/>
      <c r="K1761" s="28"/>
      <c r="P1761" s="29"/>
      <c r="S1761" s="24"/>
    </row>
    <row r="1762" ht="15.75" hidden="1" customHeight="1">
      <c r="A1762" s="34"/>
      <c r="B1762" s="35"/>
      <c r="C1762" s="35"/>
      <c r="F1762" s="29"/>
      <c r="I1762" s="24"/>
      <c r="K1762" s="28"/>
      <c r="P1762" s="29"/>
      <c r="S1762" s="24"/>
    </row>
    <row r="1763" ht="15.75" hidden="1" customHeight="1">
      <c r="A1763" s="34"/>
      <c r="B1763" s="35"/>
      <c r="C1763" s="35"/>
      <c r="F1763" s="29"/>
      <c r="I1763" s="24"/>
      <c r="K1763" s="28"/>
      <c r="P1763" s="29"/>
      <c r="S1763" s="24"/>
    </row>
    <row r="1764" ht="15.75" hidden="1" customHeight="1">
      <c r="A1764" s="34"/>
      <c r="B1764" s="36"/>
      <c r="C1764" s="36"/>
      <c r="F1764" s="29"/>
      <c r="I1764" s="24"/>
      <c r="K1764" s="28"/>
      <c r="P1764" s="29"/>
      <c r="S1764" s="24"/>
    </row>
    <row r="1765" ht="15.75" hidden="1" customHeight="1">
      <c r="A1765" s="34"/>
      <c r="B1765" s="36"/>
      <c r="C1765" s="36"/>
      <c r="F1765" s="29"/>
      <c r="I1765" s="24"/>
      <c r="K1765" s="28"/>
      <c r="P1765" s="29"/>
      <c r="S1765" s="24"/>
    </row>
    <row r="1766" ht="15.75" hidden="1" customHeight="1">
      <c r="A1766" s="34"/>
      <c r="B1766" s="35"/>
      <c r="C1766" s="35"/>
      <c r="F1766" s="29"/>
      <c r="I1766" s="24"/>
      <c r="K1766" s="28"/>
      <c r="P1766" s="29"/>
      <c r="S1766" s="24"/>
    </row>
    <row r="1767" ht="15.75" hidden="1" customHeight="1">
      <c r="A1767" s="34"/>
      <c r="B1767" s="35"/>
      <c r="C1767" s="35"/>
      <c r="F1767" s="29"/>
      <c r="I1767" s="24"/>
      <c r="K1767" s="28"/>
      <c r="P1767" s="29"/>
      <c r="S1767" s="24"/>
    </row>
    <row r="1768" ht="15.75" hidden="1" customHeight="1">
      <c r="A1768" s="34"/>
      <c r="B1768" s="35"/>
      <c r="C1768" s="35"/>
      <c r="F1768" s="29"/>
      <c r="I1768" s="24"/>
      <c r="K1768" s="28"/>
      <c r="P1768" s="29"/>
      <c r="S1768" s="24"/>
    </row>
    <row r="1769" ht="15.75" hidden="1" customHeight="1">
      <c r="A1769" s="34"/>
      <c r="B1769" s="35"/>
      <c r="C1769" s="35"/>
      <c r="F1769" s="29"/>
      <c r="I1769" s="24"/>
      <c r="K1769" s="28"/>
      <c r="P1769" s="29"/>
      <c r="S1769" s="24"/>
    </row>
    <row r="1770" ht="15.75" hidden="1" customHeight="1">
      <c r="A1770" s="34"/>
      <c r="B1770" s="36"/>
      <c r="C1770" s="36"/>
      <c r="F1770" s="29"/>
      <c r="I1770" s="24"/>
      <c r="K1770" s="28"/>
      <c r="P1770" s="29"/>
      <c r="S1770" s="24"/>
    </row>
    <row r="1771" ht="15.75" hidden="1" customHeight="1">
      <c r="A1771" s="34"/>
      <c r="B1771" s="36"/>
      <c r="C1771" s="36"/>
      <c r="F1771" s="29"/>
      <c r="I1771" s="24"/>
      <c r="K1771" s="28"/>
      <c r="P1771" s="29"/>
      <c r="S1771" s="24"/>
    </row>
    <row r="1772" ht="15.75" hidden="1" customHeight="1">
      <c r="A1772" s="34"/>
      <c r="B1772" s="36"/>
      <c r="C1772" s="36"/>
      <c r="F1772" s="29"/>
      <c r="I1772" s="24"/>
      <c r="K1772" s="28"/>
      <c r="P1772" s="29"/>
      <c r="S1772" s="24"/>
    </row>
    <row r="1773" ht="15.75" hidden="1" customHeight="1">
      <c r="A1773" s="34"/>
      <c r="B1773" s="36"/>
      <c r="C1773" s="36"/>
      <c r="F1773" s="29"/>
      <c r="I1773" s="24"/>
      <c r="K1773" s="28"/>
      <c r="P1773" s="29"/>
      <c r="S1773" s="24"/>
    </row>
    <row r="1774" ht="15.75" hidden="1" customHeight="1">
      <c r="A1774" s="34"/>
      <c r="B1774" s="35"/>
      <c r="C1774" s="35"/>
      <c r="F1774" s="29"/>
      <c r="I1774" s="24"/>
      <c r="K1774" s="28"/>
      <c r="P1774" s="29"/>
      <c r="S1774" s="24"/>
    </row>
    <row r="1775" ht="15.75" hidden="1" customHeight="1">
      <c r="A1775" s="34"/>
      <c r="B1775" s="35"/>
      <c r="C1775" s="35"/>
      <c r="F1775" s="29"/>
      <c r="I1775" s="24"/>
      <c r="K1775" s="28"/>
      <c r="P1775" s="29"/>
      <c r="S1775" s="24"/>
    </row>
    <row r="1776" ht="15.75" hidden="1" customHeight="1">
      <c r="A1776" s="34"/>
      <c r="B1776" s="35"/>
      <c r="C1776" s="35"/>
      <c r="F1776" s="29"/>
      <c r="I1776" s="24"/>
      <c r="K1776" s="28"/>
      <c r="P1776" s="29"/>
      <c r="S1776" s="24"/>
    </row>
    <row r="1777" ht="15.75" hidden="1" customHeight="1">
      <c r="A1777" s="34"/>
      <c r="B1777" s="35"/>
      <c r="C1777" s="35"/>
      <c r="F1777" s="29"/>
      <c r="I1777" s="24"/>
      <c r="K1777" s="28"/>
      <c r="P1777" s="29"/>
      <c r="S1777" s="24"/>
    </row>
    <row r="1778" ht="15.75" hidden="1" customHeight="1">
      <c r="A1778" s="34"/>
      <c r="B1778" s="36"/>
      <c r="C1778" s="36"/>
      <c r="F1778" s="29"/>
      <c r="I1778" s="24"/>
      <c r="K1778" s="28"/>
      <c r="P1778" s="29"/>
      <c r="S1778" s="24"/>
    </row>
    <row r="1779" ht="15.75" hidden="1" customHeight="1">
      <c r="A1779" s="34"/>
      <c r="B1779" s="36"/>
      <c r="C1779" s="36"/>
      <c r="F1779" s="29"/>
      <c r="I1779" s="24"/>
      <c r="K1779" s="28"/>
      <c r="P1779" s="29"/>
      <c r="S1779" s="24"/>
    </row>
    <row r="1780" ht="15.75" hidden="1" customHeight="1">
      <c r="A1780" s="34"/>
      <c r="B1780" s="35"/>
      <c r="C1780" s="35"/>
      <c r="F1780" s="29"/>
      <c r="I1780" s="24"/>
      <c r="K1780" s="28"/>
      <c r="P1780" s="29"/>
      <c r="S1780" s="24"/>
    </row>
    <row r="1781" ht="15.75" hidden="1" customHeight="1">
      <c r="A1781" s="34"/>
      <c r="B1781" s="35"/>
      <c r="C1781" s="35"/>
      <c r="F1781" s="29"/>
      <c r="I1781" s="24"/>
      <c r="K1781" s="28"/>
      <c r="P1781" s="29"/>
      <c r="S1781" s="24"/>
    </row>
    <row r="1782" ht="15.75" hidden="1" customHeight="1">
      <c r="A1782" s="34"/>
      <c r="B1782" s="35"/>
      <c r="C1782" s="35"/>
      <c r="F1782" s="29"/>
      <c r="I1782" s="24"/>
      <c r="K1782" s="28"/>
      <c r="P1782" s="29"/>
      <c r="S1782" s="24"/>
    </row>
    <row r="1783" ht="15.75" hidden="1" customHeight="1">
      <c r="A1783" s="34"/>
      <c r="B1783" s="35"/>
      <c r="C1783" s="35"/>
      <c r="F1783" s="29"/>
      <c r="I1783" s="24"/>
      <c r="K1783" s="28"/>
      <c r="P1783" s="29"/>
      <c r="S1783" s="24"/>
    </row>
    <row r="1784" ht="15.75" hidden="1" customHeight="1">
      <c r="A1784" s="34"/>
      <c r="B1784" s="35"/>
      <c r="C1784" s="35"/>
      <c r="F1784" s="29"/>
      <c r="I1784" s="24"/>
      <c r="K1784" s="28"/>
      <c r="P1784" s="29"/>
      <c r="S1784" s="24"/>
    </row>
    <row r="1785" ht="15.75" hidden="1" customHeight="1">
      <c r="A1785" s="34"/>
      <c r="B1785" s="36"/>
      <c r="C1785" s="36"/>
      <c r="F1785" s="29"/>
      <c r="I1785" s="24"/>
      <c r="K1785" s="28"/>
      <c r="P1785" s="29"/>
      <c r="S1785" s="24"/>
    </row>
    <row r="1786" ht="15.75" hidden="1" customHeight="1">
      <c r="A1786" s="34"/>
      <c r="B1786" s="36"/>
      <c r="C1786" s="36"/>
      <c r="F1786" s="29"/>
      <c r="I1786" s="24"/>
      <c r="K1786" s="28"/>
      <c r="P1786" s="29"/>
      <c r="S1786" s="24"/>
    </row>
    <row r="1787" ht="15.75" hidden="1" customHeight="1">
      <c r="A1787" s="34"/>
      <c r="B1787" s="35"/>
      <c r="C1787" s="35"/>
      <c r="F1787" s="29"/>
      <c r="I1787" s="24"/>
      <c r="K1787" s="28"/>
      <c r="P1787" s="29"/>
      <c r="S1787" s="24"/>
    </row>
    <row r="1788" ht="15.75" hidden="1" customHeight="1">
      <c r="A1788" s="34"/>
      <c r="B1788" s="35"/>
      <c r="C1788" s="35"/>
      <c r="F1788" s="29"/>
      <c r="I1788" s="24"/>
      <c r="K1788" s="28"/>
      <c r="P1788" s="29"/>
      <c r="S1788" s="24"/>
    </row>
    <row r="1789" ht="15.75" hidden="1" customHeight="1">
      <c r="A1789" s="34"/>
      <c r="B1789" s="35"/>
      <c r="C1789" s="35"/>
      <c r="F1789" s="29"/>
      <c r="I1789" s="24"/>
      <c r="K1789" s="28"/>
      <c r="P1789" s="29"/>
      <c r="S1789" s="24"/>
    </row>
    <row r="1790" ht="15.75" hidden="1" customHeight="1">
      <c r="A1790" s="34"/>
      <c r="B1790" s="35"/>
      <c r="C1790" s="35"/>
      <c r="F1790" s="29"/>
      <c r="I1790" s="24"/>
      <c r="K1790" s="28"/>
      <c r="P1790" s="29"/>
      <c r="S1790" s="24"/>
    </row>
    <row r="1791" ht="15.75" hidden="1" customHeight="1">
      <c r="A1791" s="34"/>
      <c r="B1791" s="35"/>
      <c r="C1791" s="35"/>
      <c r="F1791" s="29"/>
      <c r="I1791" s="24"/>
      <c r="K1791" s="28"/>
      <c r="P1791" s="29"/>
      <c r="S1791" s="24"/>
    </row>
    <row r="1792" ht="15.75" hidden="1" customHeight="1">
      <c r="A1792" s="34"/>
      <c r="B1792" s="36"/>
      <c r="C1792" s="36"/>
      <c r="F1792" s="29"/>
      <c r="I1792" s="24"/>
      <c r="K1792" s="28"/>
      <c r="P1792" s="29"/>
      <c r="S1792" s="24"/>
    </row>
    <row r="1793" ht="15.75" hidden="1" customHeight="1">
      <c r="A1793" s="34"/>
      <c r="B1793" s="36"/>
      <c r="C1793" s="36"/>
      <c r="F1793" s="29"/>
      <c r="I1793" s="24"/>
      <c r="K1793" s="28"/>
      <c r="P1793" s="29"/>
      <c r="S1793" s="24"/>
    </row>
    <row r="1794" ht="15.75" hidden="1" customHeight="1">
      <c r="A1794" s="34"/>
      <c r="B1794" s="35"/>
      <c r="C1794" s="35"/>
      <c r="F1794" s="29"/>
      <c r="I1794" s="24"/>
      <c r="K1794" s="28"/>
      <c r="P1794" s="29"/>
      <c r="S1794" s="24"/>
    </row>
    <row r="1795" ht="15.75" hidden="1" customHeight="1">
      <c r="A1795" s="34"/>
      <c r="B1795" s="35"/>
      <c r="C1795" s="35"/>
      <c r="F1795" s="29"/>
      <c r="I1795" s="24"/>
      <c r="K1795" s="28"/>
      <c r="P1795" s="29"/>
      <c r="S1795" s="24"/>
    </row>
    <row r="1796" ht="15.75" hidden="1" customHeight="1">
      <c r="A1796" s="34"/>
      <c r="B1796" s="35"/>
      <c r="C1796" s="35"/>
      <c r="F1796" s="29"/>
      <c r="I1796" s="24"/>
      <c r="K1796" s="28"/>
      <c r="P1796" s="29"/>
      <c r="S1796" s="24"/>
    </row>
    <row r="1797" ht="15.75" hidden="1" customHeight="1">
      <c r="A1797" s="34"/>
      <c r="B1797" s="35"/>
      <c r="C1797" s="35"/>
      <c r="F1797" s="29"/>
      <c r="I1797" s="24"/>
      <c r="K1797" s="28"/>
      <c r="P1797" s="29"/>
      <c r="S1797" s="24"/>
    </row>
    <row r="1798" ht="15.75" hidden="1" customHeight="1">
      <c r="A1798" s="34"/>
      <c r="B1798" s="35"/>
      <c r="C1798" s="35"/>
      <c r="F1798" s="29"/>
      <c r="I1798" s="24"/>
      <c r="K1798" s="28"/>
      <c r="P1798" s="29"/>
      <c r="S1798" s="24"/>
    </row>
    <row r="1799" ht="15.75" hidden="1" customHeight="1">
      <c r="A1799" s="34"/>
      <c r="B1799" s="36"/>
      <c r="C1799" s="36"/>
      <c r="F1799" s="29"/>
      <c r="I1799" s="24"/>
      <c r="K1799" s="28"/>
      <c r="P1799" s="29"/>
      <c r="S1799" s="24"/>
    </row>
    <row r="1800" ht="15.75" hidden="1" customHeight="1">
      <c r="A1800" s="34"/>
      <c r="B1800" s="36"/>
      <c r="C1800" s="36"/>
      <c r="F1800" s="29"/>
      <c r="I1800" s="24"/>
      <c r="K1800" s="28"/>
      <c r="P1800" s="29"/>
      <c r="S1800" s="24"/>
    </row>
    <row r="1801" ht="15.75" hidden="1" customHeight="1">
      <c r="A1801" s="34"/>
      <c r="B1801" s="35"/>
      <c r="C1801" s="35"/>
      <c r="F1801" s="29"/>
      <c r="I1801" s="24"/>
      <c r="K1801" s="28"/>
      <c r="P1801" s="29"/>
      <c r="S1801" s="24"/>
    </row>
    <row r="1802" ht="15.75" hidden="1" customHeight="1">
      <c r="A1802" s="34"/>
      <c r="B1802" s="35"/>
      <c r="C1802" s="35"/>
      <c r="F1802" s="29"/>
      <c r="I1802" s="24"/>
      <c r="K1802" s="28"/>
      <c r="P1802" s="29"/>
      <c r="S1802" s="24"/>
    </row>
    <row r="1803" ht="15.75" hidden="1" customHeight="1">
      <c r="A1803" s="34"/>
      <c r="B1803" s="35"/>
      <c r="C1803" s="35"/>
      <c r="F1803" s="29"/>
      <c r="I1803" s="24"/>
      <c r="K1803" s="28"/>
      <c r="P1803" s="29"/>
      <c r="S1803" s="24"/>
    </row>
    <row r="1804" ht="15.75" hidden="1" customHeight="1">
      <c r="A1804" s="34"/>
      <c r="B1804" s="35"/>
      <c r="C1804" s="35"/>
      <c r="F1804" s="29"/>
      <c r="I1804" s="24"/>
      <c r="K1804" s="28"/>
      <c r="P1804" s="29"/>
      <c r="S1804" s="24"/>
    </row>
    <row r="1805" ht="15.75" hidden="1" customHeight="1">
      <c r="A1805" s="34"/>
      <c r="B1805" s="35"/>
      <c r="C1805" s="35"/>
      <c r="F1805" s="29"/>
      <c r="I1805" s="24"/>
      <c r="K1805" s="28"/>
      <c r="P1805" s="29"/>
      <c r="S1805" s="24"/>
    </row>
    <row r="1806" ht="15.75" hidden="1" customHeight="1">
      <c r="A1806" s="34"/>
      <c r="B1806" s="36"/>
      <c r="C1806" s="36"/>
      <c r="F1806" s="29"/>
      <c r="I1806" s="24"/>
      <c r="K1806" s="28"/>
      <c r="P1806" s="29"/>
      <c r="S1806" s="24"/>
    </row>
    <row r="1807" ht="15.75" hidden="1" customHeight="1">
      <c r="A1807" s="34"/>
      <c r="B1807" s="36"/>
      <c r="C1807" s="36"/>
      <c r="F1807" s="29"/>
      <c r="I1807" s="24"/>
      <c r="K1807" s="28"/>
      <c r="P1807" s="29"/>
      <c r="S1807" s="24"/>
    </row>
    <row r="1808" ht="15.75" hidden="1" customHeight="1">
      <c r="A1808" s="34"/>
      <c r="B1808" s="35"/>
      <c r="C1808" s="35"/>
      <c r="F1808" s="29"/>
      <c r="I1808" s="24"/>
      <c r="K1808" s="28"/>
      <c r="P1808" s="29"/>
      <c r="S1808" s="24"/>
    </row>
    <row r="1809" ht="15.75" hidden="1" customHeight="1">
      <c r="A1809" s="34"/>
      <c r="B1809" s="35"/>
      <c r="C1809" s="35"/>
      <c r="F1809" s="29"/>
      <c r="I1809" s="24"/>
      <c r="K1809" s="28"/>
      <c r="P1809" s="29"/>
      <c r="S1809" s="24"/>
    </row>
    <row r="1810" ht="15.75" hidden="1" customHeight="1">
      <c r="A1810" s="34"/>
      <c r="B1810" s="35"/>
      <c r="C1810" s="35"/>
      <c r="F1810" s="29"/>
      <c r="I1810" s="24"/>
      <c r="K1810" s="28"/>
      <c r="P1810" s="29"/>
      <c r="S1810" s="24"/>
    </row>
    <row r="1811" ht="15.75" hidden="1" customHeight="1">
      <c r="A1811" s="34"/>
      <c r="B1811" s="35"/>
      <c r="C1811" s="35"/>
      <c r="F1811" s="29"/>
      <c r="I1811" s="24"/>
      <c r="K1811" s="28"/>
      <c r="P1811" s="29"/>
      <c r="S1811" s="24"/>
    </row>
    <row r="1812" ht="15.75" hidden="1" customHeight="1">
      <c r="A1812" s="34"/>
      <c r="B1812" s="35"/>
      <c r="C1812" s="35"/>
      <c r="F1812" s="29"/>
      <c r="I1812" s="24"/>
      <c r="K1812" s="28"/>
      <c r="P1812" s="29"/>
      <c r="S1812" s="24"/>
    </row>
    <row r="1813" ht="15.75" hidden="1" customHeight="1">
      <c r="A1813" s="34"/>
      <c r="B1813" s="36"/>
      <c r="C1813" s="36"/>
      <c r="F1813" s="29"/>
      <c r="I1813" s="24"/>
      <c r="K1813" s="28"/>
      <c r="P1813" s="29"/>
      <c r="S1813" s="24"/>
    </row>
    <row r="1814" ht="15.75" hidden="1" customHeight="1">
      <c r="A1814" s="34"/>
      <c r="B1814" s="36"/>
      <c r="C1814" s="36"/>
      <c r="F1814" s="29"/>
      <c r="I1814" s="24"/>
      <c r="K1814" s="28"/>
      <c r="P1814" s="29"/>
      <c r="S1814" s="24"/>
    </row>
    <row r="1815" ht="15.75" hidden="1" customHeight="1">
      <c r="A1815" s="34"/>
      <c r="B1815" s="35"/>
      <c r="C1815" s="35"/>
      <c r="F1815" s="29"/>
      <c r="I1815" s="24"/>
      <c r="K1815" s="28"/>
      <c r="P1815" s="29"/>
      <c r="S1815" s="24"/>
    </row>
    <row r="1816" ht="15.75" hidden="1" customHeight="1">
      <c r="A1816" s="34"/>
      <c r="B1816" s="35"/>
      <c r="C1816" s="35"/>
      <c r="F1816" s="29"/>
      <c r="I1816" s="24"/>
      <c r="K1816" s="28"/>
      <c r="P1816" s="29"/>
      <c r="S1816" s="24"/>
    </row>
    <row r="1817" ht="15.75" hidden="1" customHeight="1">
      <c r="A1817" s="34"/>
      <c r="B1817" s="35"/>
      <c r="C1817" s="35"/>
      <c r="F1817" s="29"/>
      <c r="I1817" s="24"/>
      <c r="K1817" s="28"/>
      <c r="P1817" s="29"/>
      <c r="S1817" s="24"/>
    </row>
    <row r="1818" ht="15.75" hidden="1" customHeight="1">
      <c r="A1818" s="34"/>
      <c r="B1818" s="35"/>
      <c r="C1818" s="35"/>
      <c r="F1818" s="29"/>
      <c r="I1818" s="24"/>
      <c r="K1818" s="28"/>
      <c r="P1818" s="29"/>
      <c r="S1818" s="24"/>
    </row>
    <row r="1819" ht="15.75" hidden="1" customHeight="1">
      <c r="A1819" s="34"/>
      <c r="B1819" s="35"/>
      <c r="C1819" s="35"/>
      <c r="F1819" s="29"/>
      <c r="I1819" s="24"/>
      <c r="K1819" s="28"/>
      <c r="P1819" s="29"/>
      <c r="S1819" s="24"/>
    </row>
    <row r="1820" ht="15.75" hidden="1" customHeight="1">
      <c r="A1820" s="34"/>
      <c r="B1820" s="36"/>
      <c r="C1820" s="36"/>
      <c r="F1820" s="29"/>
      <c r="I1820" s="24"/>
      <c r="K1820" s="28"/>
      <c r="P1820" s="29"/>
      <c r="S1820" s="24"/>
    </row>
    <row r="1821" ht="15.75" hidden="1" customHeight="1">
      <c r="A1821" s="34"/>
      <c r="B1821" s="36"/>
      <c r="C1821" s="36"/>
      <c r="F1821" s="29"/>
      <c r="I1821" s="24"/>
      <c r="K1821" s="28"/>
      <c r="P1821" s="29"/>
      <c r="S1821" s="24"/>
    </row>
    <row r="1822" ht="15.75" hidden="1" customHeight="1">
      <c r="A1822" s="34"/>
      <c r="B1822" s="35"/>
      <c r="C1822" s="35"/>
      <c r="F1822" s="29"/>
      <c r="I1822" s="24"/>
      <c r="K1822" s="28"/>
      <c r="P1822" s="29"/>
      <c r="S1822" s="24"/>
    </row>
    <row r="1823" ht="15.75" hidden="1" customHeight="1">
      <c r="A1823" s="34"/>
      <c r="B1823" s="35"/>
      <c r="C1823" s="35"/>
      <c r="F1823" s="29"/>
      <c r="I1823" s="24"/>
      <c r="K1823" s="28"/>
      <c r="P1823" s="29"/>
      <c r="S1823" s="24"/>
    </row>
    <row r="1824" ht="15.75" hidden="1" customHeight="1">
      <c r="A1824" s="34"/>
      <c r="B1824" s="35"/>
      <c r="C1824" s="35"/>
      <c r="F1824" s="29"/>
      <c r="I1824" s="24"/>
      <c r="K1824" s="28"/>
      <c r="P1824" s="29"/>
      <c r="S1824" s="24"/>
    </row>
    <row r="1825" ht="15.75" hidden="1" customHeight="1">
      <c r="A1825" s="34"/>
      <c r="B1825" s="35"/>
      <c r="C1825" s="35"/>
      <c r="F1825" s="29"/>
      <c r="I1825" s="24"/>
      <c r="K1825" s="28"/>
      <c r="P1825" s="29"/>
      <c r="S1825" s="24"/>
    </row>
    <row r="1826" ht="15.75" hidden="1" customHeight="1">
      <c r="A1826" s="34"/>
      <c r="B1826" s="35"/>
      <c r="C1826" s="35"/>
      <c r="F1826" s="29"/>
      <c r="I1826" s="24"/>
      <c r="K1826" s="28"/>
      <c r="P1826" s="29"/>
      <c r="S1826" s="24"/>
    </row>
    <row r="1827" ht="15.75" hidden="1" customHeight="1">
      <c r="A1827" s="34"/>
      <c r="B1827" s="36"/>
      <c r="C1827" s="36"/>
      <c r="F1827" s="29"/>
      <c r="I1827" s="24"/>
      <c r="K1827" s="28"/>
      <c r="P1827" s="29"/>
      <c r="S1827" s="24"/>
    </row>
    <row r="1828" ht="15.75" hidden="1" customHeight="1">
      <c r="A1828" s="34"/>
      <c r="B1828" s="36"/>
      <c r="C1828" s="36"/>
      <c r="F1828" s="29"/>
      <c r="I1828" s="24"/>
      <c r="K1828" s="28"/>
      <c r="P1828" s="29"/>
      <c r="S1828" s="24"/>
    </row>
    <row r="1829" ht="15.75" hidden="1" customHeight="1">
      <c r="A1829" s="34"/>
      <c r="B1829" s="35"/>
      <c r="C1829" s="35"/>
      <c r="F1829" s="29"/>
      <c r="I1829" s="24"/>
      <c r="K1829" s="28"/>
      <c r="P1829" s="29"/>
      <c r="S1829" s="24"/>
    </row>
    <row r="1830" ht="15.75" hidden="1" customHeight="1">
      <c r="A1830" s="34"/>
      <c r="B1830" s="35"/>
      <c r="C1830" s="35"/>
      <c r="F1830" s="29"/>
      <c r="I1830" s="24"/>
      <c r="K1830" s="28"/>
      <c r="P1830" s="29"/>
      <c r="S1830" s="24"/>
    </row>
    <row r="1831" ht="15.75" hidden="1" customHeight="1">
      <c r="A1831" s="34"/>
      <c r="B1831" s="35"/>
      <c r="C1831" s="35"/>
      <c r="F1831" s="29"/>
      <c r="I1831" s="24"/>
      <c r="K1831" s="28"/>
      <c r="P1831" s="29"/>
      <c r="S1831" s="24"/>
    </row>
    <row r="1832" ht="15.75" hidden="1" customHeight="1">
      <c r="A1832" s="34"/>
      <c r="B1832" s="35"/>
      <c r="C1832" s="35"/>
      <c r="F1832" s="29"/>
      <c r="I1832" s="24"/>
      <c r="K1832" s="28"/>
      <c r="P1832" s="29"/>
      <c r="S1832" s="24"/>
    </row>
    <row r="1833" ht="15.75" hidden="1" customHeight="1">
      <c r="A1833" s="34"/>
      <c r="B1833" s="35"/>
      <c r="C1833" s="35"/>
      <c r="F1833" s="29"/>
      <c r="I1833" s="24"/>
      <c r="K1833" s="28"/>
      <c r="P1833" s="29"/>
      <c r="S1833" s="24"/>
    </row>
    <row r="1834" ht="15.75" hidden="1" customHeight="1">
      <c r="A1834" s="34"/>
      <c r="B1834" s="36"/>
      <c r="C1834" s="36"/>
      <c r="F1834" s="29"/>
      <c r="I1834" s="24"/>
      <c r="K1834" s="28"/>
      <c r="P1834" s="29"/>
      <c r="S1834" s="24"/>
    </row>
    <row r="1835" ht="15.75" hidden="1" customHeight="1">
      <c r="A1835" s="34"/>
      <c r="B1835" s="36"/>
      <c r="C1835" s="36"/>
      <c r="F1835" s="29"/>
      <c r="I1835" s="24"/>
      <c r="K1835" s="28"/>
      <c r="P1835" s="29"/>
      <c r="S1835" s="24"/>
    </row>
    <row r="1836" ht="15.75" hidden="1" customHeight="1">
      <c r="A1836" s="34"/>
      <c r="B1836" s="35"/>
      <c r="C1836" s="35"/>
      <c r="F1836" s="29"/>
      <c r="I1836" s="24"/>
      <c r="K1836" s="28"/>
      <c r="P1836" s="29"/>
      <c r="S1836" s="24"/>
    </row>
    <row r="1837" ht="15.75" hidden="1" customHeight="1">
      <c r="A1837" s="34"/>
      <c r="B1837" s="35"/>
      <c r="C1837" s="35"/>
      <c r="F1837" s="29"/>
      <c r="I1837" s="24"/>
      <c r="K1837" s="28"/>
      <c r="P1837" s="29"/>
      <c r="S1837" s="24"/>
    </row>
    <row r="1838" ht="15.75" hidden="1" customHeight="1">
      <c r="A1838" s="34"/>
      <c r="B1838" s="35"/>
      <c r="C1838" s="35"/>
      <c r="F1838" s="29"/>
      <c r="I1838" s="24"/>
      <c r="K1838" s="28"/>
      <c r="P1838" s="29"/>
      <c r="S1838" s="24"/>
    </row>
    <row r="1839" ht="15.75" hidden="1" customHeight="1">
      <c r="A1839" s="34"/>
      <c r="B1839" s="35"/>
      <c r="C1839" s="35"/>
      <c r="F1839" s="29"/>
      <c r="I1839" s="24"/>
      <c r="K1839" s="28"/>
      <c r="P1839" s="29"/>
      <c r="S1839" s="24"/>
    </row>
    <row r="1840" ht="15.75" hidden="1" customHeight="1">
      <c r="A1840" s="34"/>
      <c r="B1840" s="35"/>
      <c r="C1840" s="35"/>
      <c r="F1840" s="29"/>
      <c r="I1840" s="24"/>
      <c r="K1840" s="28"/>
      <c r="P1840" s="29"/>
      <c r="S1840" s="24"/>
    </row>
    <row r="1841" ht="15.75" hidden="1" customHeight="1">
      <c r="A1841" s="34"/>
      <c r="B1841" s="36"/>
      <c r="C1841" s="36"/>
      <c r="F1841" s="29"/>
      <c r="I1841" s="24"/>
      <c r="K1841" s="28"/>
      <c r="P1841" s="29"/>
      <c r="S1841" s="24"/>
    </row>
    <row r="1842" ht="15.75" hidden="1" customHeight="1">
      <c r="A1842" s="34"/>
      <c r="B1842" s="36"/>
      <c r="C1842" s="36"/>
      <c r="F1842" s="29"/>
      <c r="I1842" s="24"/>
      <c r="K1842" s="28"/>
      <c r="P1842" s="29"/>
      <c r="S1842" s="24"/>
    </row>
    <row r="1843" ht="15.75" hidden="1" customHeight="1">
      <c r="A1843" s="34"/>
      <c r="B1843" s="35"/>
      <c r="C1843" s="35"/>
      <c r="F1843" s="29"/>
      <c r="I1843" s="24"/>
      <c r="K1843" s="28"/>
      <c r="P1843" s="29"/>
      <c r="S1843" s="24"/>
    </row>
    <row r="1844" ht="15.75" hidden="1" customHeight="1">
      <c r="A1844" s="34"/>
      <c r="B1844" s="35"/>
      <c r="C1844" s="35"/>
      <c r="F1844" s="29"/>
      <c r="I1844" s="24"/>
      <c r="K1844" s="28"/>
      <c r="P1844" s="29"/>
      <c r="S1844" s="24"/>
    </row>
    <row r="1845" ht="15.75" hidden="1" customHeight="1">
      <c r="A1845" s="34"/>
      <c r="B1845" s="35"/>
      <c r="C1845" s="35"/>
      <c r="F1845" s="29"/>
      <c r="I1845" s="24"/>
      <c r="K1845" s="28"/>
      <c r="P1845" s="29"/>
      <c r="S1845" s="24"/>
    </row>
    <row r="1846" ht="15.75" hidden="1" customHeight="1">
      <c r="A1846" s="34"/>
      <c r="B1846" s="35"/>
      <c r="C1846" s="35"/>
      <c r="F1846" s="29"/>
      <c r="I1846" s="24"/>
      <c r="K1846" s="28"/>
      <c r="P1846" s="29"/>
      <c r="S1846" s="24"/>
    </row>
    <row r="1847" ht="15.75" hidden="1" customHeight="1">
      <c r="A1847" s="34"/>
      <c r="B1847" s="35"/>
      <c r="C1847" s="35"/>
      <c r="F1847" s="29"/>
      <c r="I1847" s="24"/>
      <c r="K1847" s="28"/>
      <c r="P1847" s="29"/>
      <c r="S1847" s="24"/>
    </row>
    <row r="1848" ht="15.75" hidden="1" customHeight="1">
      <c r="A1848" s="34"/>
      <c r="B1848" s="36"/>
      <c r="C1848" s="36"/>
      <c r="F1848" s="29"/>
      <c r="I1848" s="24"/>
      <c r="K1848" s="28"/>
      <c r="P1848" s="29"/>
      <c r="S1848" s="24"/>
    </row>
    <row r="1849" ht="15.75" hidden="1" customHeight="1">
      <c r="A1849" s="34"/>
      <c r="B1849" s="36"/>
      <c r="C1849" s="36"/>
      <c r="F1849" s="29"/>
      <c r="I1849" s="24"/>
      <c r="K1849" s="28"/>
      <c r="P1849" s="29"/>
      <c r="S1849" s="24"/>
    </row>
    <row r="1850" ht="15.75" hidden="1" customHeight="1">
      <c r="A1850" s="34"/>
      <c r="B1850" s="35"/>
      <c r="C1850" s="35"/>
      <c r="F1850" s="29"/>
      <c r="I1850" s="24"/>
      <c r="K1850" s="28"/>
      <c r="P1850" s="29"/>
      <c r="S1850" s="24"/>
    </row>
    <row r="1851" ht="15.75" hidden="1" customHeight="1">
      <c r="A1851" s="34"/>
      <c r="B1851" s="35"/>
      <c r="C1851" s="35"/>
      <c r="F1851" s="29"/>
      <c r="I1851" s="24"/>
      <c r="K1851" s="28"/>
      <c r="P1851" s="29"/>
      <c r="S1851" s="24"/>
    </row>
    <row r="1852" ht="15.75" hidden="1" customHeight="1">
      <c r="A1852" s="34"/>
      <c r="B1852" s="35"/>
      <c r="C1852" s="35"/>
      <c r="F1852" s="29"/>
      <c r="I1852" s="24"/>
      <c r="K1852" s="28"/>
      <c r="P1852" s="29"/>
      <c r="S1852" s="24"/>
    </row>
    <row r="1853" ht="15.75" hidden="1" customHeight="1">
      <c r="A1853" s="34"/>
      <c r="B1853" s="35"/>
      <c r="C1853" s="35"/>
      <c r="F1853" s="29"/>
      <c r="I1853" s="24"/>
      <c r="K1853" s="28"/>
      <c r="P1853" s="29"/>
      <c r="S1853" s="24"/>
    </row>
    <row r="1854" ht="15.75" hidden="1" customHeight="1">
      <c r="A1854" s="34"/>
      <c r="B1854" s="35"/>
      <c r="C1854" s="35"/>
      <c r="F1854" s="29"/>
      <c r="I1854" s="24"/>
      <c r="K1854" s="28"/>
      <c r="P1854" s="29"/>
      <c r="S1854" s="24"/>
    </row>
    <row r="1855" ht="15.75" hidden="1" customHeight="1">
      <c r="A1855" s="34"/>
      <c r="B1855" s="36"/>
      <c r="C1855" s="36"/>
      <c r="F1855" s="29"/>
      <c r="I1855" s="24"/>
      <c r="K1855" s="28"/>
      <c r="P1855" s="29"/>
      <c r="S1855" s="24"/>
    </row>
    <row r="1856" ht="15.75" hidden="1" customHeight="1">
      <c r="A1856" s="34"/>
      <c r="B1856" s="36"/>
      <c r="C1856" s="36"/>
      <c r="F1856" s="29"/>
      <c r="I1856" s="24"/>
      <c r="K1856" s="28"/>
      <c r="P1856" s="29"/>
      <c r="S1856" s="24"/>
    </row>
    <row r="1857" ht="15.75" hidden="1" customHeight="1">
      <c r="A1857" s="34"/>
      <c r="B1857" s="35"/>
      <c r="C1857" s="35"/>
      <c r="F1857" s="29"/>
      <c r="I1857" s="24"/>
      <c r="K1857" s="28"/>
      <c r="P1857" s="29"/>
      <c r="S1857" s="24"/>
    </row>
    <row r="1858" ht="15.75" hidden="1" customHeight="1">
      <c r="A1858" s="34"/>
      <c r="B1858" s="35"/>
      <c r="C1858" s="35"/>
      <c r="F1858" s="29"/>
      <c r="I1858" s="24"/>
      <c r="K1858" s="28"/>
      <c r="P1858" s="29"/>
      <c r="S1858" s="24"/>
    </row>
    <row r="1859" ht="15.75" hidden="1" customHeight="1">
      <c r="A1859" s="34"/>
      <c r="B1859" s="35"/>
      <c r="C1859" s="35"/>
      <c r="F1859" s="29"/>
      <c r="I1859" s="24"/>
      <c r="K1859" s="28"/>
      <c r="P1859" s="29"/>
      <c r="S1859" s="24"/>
    </row>
    <row r="1860" ht="15.75" hidden="1" customHeight="1">
      <c r="A1860" s="34"/>
      <c r="B1860" s="35"/>
      <c r="C1860" s="35"/>
      <c r="F1860" s="29"/>
      <c r="I1860" s="24"/>
      <c r="K1860" s="28"/>
      <c r="P1860" s="29"/>
      <c r="S1860" s="24"/>
    </row>
    <row r="1861" ht="15.75" hidden="1" customHeight="1">
      <c r="A1861" s="34"/>
      <c r="B1861" s="35"/>
      <c r="C1861" s="35"/>
      <c r="F1861" s="29"/>
      <c r="I1861" s="24"/>
      <c r="K1861" s="28"/>
      <c r="P1861" s="29"/>
      <c r="S1861" s="24"/>
    </row>
    <row r="1862" ht="15.75" hidden="1" customHeight="1">
      <c r="A1862" s="34"/>
      <c r="B1862" s="36"/>
      <c r="C1862" s="36"/>
      <c r="F1862" s="29"/>
      <c r="I1862" s="24"/>
      <c r="K1862" s="28"/>
      <c r="P1862" s="29"/>
      <c r="S1862" s="24"/>
    </row>
    <row r="1863" ht="15.75" hidden="1" customHeight="1">
      <c r="A1863" s="34"/>
      <c r="B1863" s="36"/>
      <c r="C1863" s="36"/>
      <c r="F1863" s="29"/>
      <c r="I1863" s="24"/>
      <c r="K1863" s="28"/>
      <c r="P1863" s="29"/>
      <c r="S1863" s="24"/>
    </row>
    <row r="1864" ht="15.75" hidden="1" customHeight="1">
      <c r="A1864" s="34"/>
      <c r="B1864" s="35"/>
      <c r="C1864" s="35"/>
      <c r="F1864" s="29"/>
      <c r="I1864" s="24"/>
      <c r="K1864" s="28"/>
      <c r="P1864" s="29"/>
      <c r="S1864" s="24"/>
    </row>
    <row r="1865" ht="15.75" hidden="1" customHeight="1">
      <c r="A1865" s="34"/>
      <c r="B1865" s="35"/>
      <c r="C1865" s="35"/>
      <c r="F1865" s="29"/>
      <c r="I1865" s="24"/>
      <c r="K1865" s="28"/>
      <c r="P1865" s="29"/>
      <c r="S1865" s="24"/>
    </row>
    <row r="1866" ht="15.75" hidden="1" customHeight="1">
      <c r="A1866" s="34"/>
      <c r="B1866" s="35"/>
      <c r="C1866" s="35"/>
      <c r="F1866" s="29"/>
      <c r="I1866" s="24"/>
      <c r="K1866" s="28"/>
      <c r="P1866" s="29"/>
      <c r="S1866" s="24"/>
    </row>
    <row r="1867" ht="15.75" hidden="1" customHeight="1">
      <c r="A1867" s="34"/>
      <c r="B1867" s="35"/>
      <c r="C1867" s="35"/>
      <c r="F1867" s="29"/>
      <c r="I1867" s="24"/>
      <c r="K1867" s="28"/>
      <c r="P1867" s="29"/>
      <c r="S1867" s="24"/>
    </row>
    <row r="1868" ht="15.75" hidden="1" customHeight="1">
      <c r="A1868" s="34"/>
      <c r="B1868" s="35"/>
      <c r="C1868" s="35"/>
      <c r="F1868" s="29"/>
      <c r="I1868" s="24"/>
      <c r="K1868" s="28"/>
      <c r="P1868" s="29"/>
      <c r="S1868" s="24"/>
    </row>
    <row r="1869" ht="15.75" hidden="1" customHeight="1">
      <c r="A1869" s="34"/>
      <c r="B1869" s="36"/>
      <c r="C1869" s="36"/>
      <c r="F1869" s="29"/>
      <c r="I1869" s="24"/>
      <c r="K1869" s="28"/>
      <c r="P1869" s="29"/>
      <c r="S1869" s="24"/>
    </row>
    <row r="1870" ht="15.75" hidden="1" customHeight="1">
      <c r="A1870" s="34"/>
      <c r="B1870" s="36"/>
      <c r="C1870" s="36"/>
      <c r="F1870" s="29"/>
      <c r="I1870" s="24"/>
      <c r="K1870" s="28"/>
      <c r="P1870" s="29"/>
      <c r="S1870" s="24"/>
    </row>
    <row r="1871" ht="15.75" hidden="1" customHeight="1">
      <c r="A1871" s="34"/>
      <c r="B1871" s="35"/>
      <c r="C1871" s="35"/>
      <c r="F1871" s="29"/>
      <c r="I1871" s="24"/>
      <c r="K1871" s="28"/>
      <c r="P1871" s="29"/>
      <c r="S1871" s="24"/>
    </row>
    <row r="1872" ht="15.75" hidden="1" customHeight="1">
      <c r="A1872" s="34"/>
      <c r="B1872" s="35"/>
      <c r="C1872" s="35"/>
      <c r="F1872" s="29"/>
      <c r="I1872" s="24"/>
      <c r="K1872" s="28"/>
      <c r="P1872" s="29"/>
      <c r="S1872" s="24"/>
    </row>
    <row r="1873" ht="15.75" hidden="1" customHeight="1">
      <c r="A1873" s="34"/>
      <c r="B1873" s="35"/>
      <c r="C1873" s="35"/>
      <c r="F1873" s="29"/>
      <c r="I1873" s="24"/>
      <c r="K1873" s="28"/>
      <c r="P1873" s="29"/>
      <c r="S1873" s="24"/>
    </row>
    <row r="1874" ht="15.75" hidden="1" customHeight="1">
      <c r="A1874" s="34"/>
      <c r="B1874" s="35"/>
      <c r="C1874" s="35"/>
      <c r="F1874" s="29"/>
      <c r="I1874" s="24"/>
      <c r="K1874" s="28"/>
      <c r="P1874" s="29"/>
      <c r="S1874" s="24"/>
    </row>
    <row r="1875" ht="15.75" hidden="1" customHeight="1">
      <c r="A1875" s="34"/>
      <c r="B1875" s="35"/>
      <c r="C1875" s="35"/>
      <c r="F1875" s="29"/>
      <c r="I1875" s="24"/>
      <c r="K1875" s="28"/>
      <c r="P1875" s="29"/>
      <c r="S1875" s="24"/>
    </row>
    <row r="1876" ht="15.75" hidden="1" customHeight="1">
      <c r="A1876" s="34"/>
      <c r="B1876" s="36"/>
      <c r="C1876" s="36"/>
      <c r="F1876" s="29"/>
      <c r="I1876" s="24"/>
      <c r="K1876" s="28"/>
      <c r="P1876" s="29"/>
      <c r="S1876" s="24"/>
    </row>
    <row r="1877" ht="15.75" hidden="1" customHeight="1">
      <c r="A1877" s="34"/>
      <c r="B1877" s="36"/>
      <c r="C1877" s="36"/>
      <c r="F1877" s="29"/>
      <c r="I1877" s="24"/>
      <c r="K1877" s="28"/>
      <c r="P1877" s="29"/>
      <c r="S1877" s="24"/>
    </row>
    <row r="1878" ht="15.75" hidden="1" customHeight="1">
      <c r="A1878" s="34"/>
      <c r="B1878" s="35"/>
      <c r="C1878" s="35"/>
      <c r="F1878" s="29"/>
      <c r="I1878" s="24"/>
      <c r="K1878" s="28"/>
      <c r="P1878" s="29"/>
      <c r="S1878" s="24"/>
    </row>
    <row r="1879" ht="15.75" hidden="1" customHeight="1">
      <c r="A1879" s="34"/>
      <c r="B1879" s="35"/>
      <c r="C1879" s="35"/>
      <c r="F1879" s="29"/>
      <c r="I1879" s="24"/>
      <c r="K1879" s="28"/>
      <c r="P1879" s="29"/>
      <c r="S1879" s="24"/>
    </row>
    <row r="1880" ht="15.75" hidden="1" customHeight="1">
      <c r="A1880" s="34"/>
      <c r="B1880" s="35"/>
      <c r="C1880" s="35"/>
      <c r="F1880" s="29"/>
      <c r="I1880" s="24"/>
      <c r="K1880" s="28"/>
      <c r="P1880" s="29"/>
      <c r="S1880" s="24"/>
    </row>
    <row r="1881" ht="15.75" hidden="1" customHeight="1">
      <c r="A1881" s="34"/>
      <c r="B1881" s="36"/>
      <c r="C1881" s="36"/>
      <c r="F1881" s="29"/>
      <c r="I1881" s="24"/>
      <c r="K1881" s="28"/>
      <c r="P1881" s="29"/>
      <c r="S1881" s="24"/>
    </row>
    <row r="1882" ht="15.75" hidden="1" customHeight="1">
      <c r="A1882" s="34"/>
      <c r="B1882" s="35"/>
      <c r="C1882" s="35"/>
      <c r="F1882" s="29"/>
      <c r="I1882" s="24"/>
      <c r="K1882" s="28"/>
      <c r="P1882" s="29"/>
      <c r="S1882" s="24"/>
    </row>
    <row r="1883" ht="15.75" hidden="1" customHeight="1">
      <c r="A1883" s="34"/>
      <c r="B1883" s="36"/>
      <c r="C1883" s="36"/>
      <c r="F1883" s="29"/>
      <c r="I1883" s="24"/>
      <c r="K1883" s="28"/>
      <c r="P1883" s="29"/>
      <c r="S1883" s="24"/>
    </row>
    <row r="1884" ht="15.75" hidden="1" customHeight="1">
      <c r="A1884" s="34"/>
      <c r="B1884" s="36"/>
      <c r="C1884" s="36"/>
      <c r="F1884" s="29"/>
      <c r="I1884" s="24"/>
      <c r="K1884" s="28"/>
      <c r="P1884" s="29"/>
      <c r="S1884" s="24"/>
    </row>
    <row r="1885" ht="15.75" hidden="1" customHeight="1">
      <c r="A1885" s="34"/>
      <c r="B1885" s="35"/>
      <c r="C1885" s="35"/>
      <c r="F1885" s="29"/>
      <c r="I1885" s="24"/>
      <c r="K1885" s="28"/>
      <c r="P1885" s="29"/>
      <c r="S1885" s="24"/>
    </row>
    <row r="1886" ht="15.75" hidden="1" customHeight="1">
      <c r="A1886" s="34"/>
      <c r="B1886" s="35"/>
      <c r="C1886" s="35"/>
      <c r="F1886" s="29"/>
      <c r="I1886" s="24"/>
      <c r="K1886" s="28"/>
      <c r="P1886" s="29"/>
      <c r="S1886" s="24"/>
    </row>
    <row r="1887" ht="15.75" hidden="1" customHeight="1">
      <c r="A1887" s="34"/>
      <c r="B1887" s="36"/>
      <c r="C1887" s="36"/>
      <c r="F1887" s="29"/>
      <c r="I1887" s="24"/>
      <c r="K1887" s="28"/>
      <c r="P1887" s="29"/>
      <c r="S1887" s="24"/>
    </row>
    <row r="1888" ht="15.75" hidden="1" customHeight="1">
      <c r="A1888" s="34"/>
      <c r="B1888" s="36"/>
      <c r="C1888" s="36"/>
      <c r="F1888" s="29"/>
      <c r="I1888" s="24"/>
      <c r="K1888" s="28"/>
      <c r="P1888" s="29"/>
      <c r="S1888" s="24"/>
    </row>
    <row r="1889" ht="15.75" hidden="1" customHeight="1">
      <c r="A1889" s="34"/>
      <c r="B1889" s="35"/>
      <c r="C1889" s="35"/>
      <c r="F1889" s="29"/>
      <c r="I1889" s="24"/>
      <c r="K1889" s="28"/>
      <c r="P1889" s="29"/>
      <c r="S1889" s="24"/>
    </row>
    <row r="1890" ht="15.75" hidden="1" customHeight="1">
      <c r="A1890" s="34"/>
      <c r="B1890" s="36"/>
      <c r="C1890" s="36"/>
      <c r="F1890" s="29"/>
      <c r="I1890" s="24"/>
      <c r="K1890" s="28"/>
      <c r="P1890" s="29"/>
      <c r="S1890" s="24"/>
    </row>
    <row r="1891" ht="15.75" hidden="1" customHeight="1">
      <c r="A1891" s="34"/>
      <c r="B1891" s="36"/>
      <c r="C1891" s="36"/>
      <c r="F1891" s="29"/>
      <c r="I1891" s="24"/>
      <c r="K1891" s="28"/>
      <c r="P1891" s="29"/>
      <c r="S1891" s="24"/>
    </row>
    <row r="1892" ht="15.75" hidden="1" customHeight="1">
      <c r="A1892" s="34"/>
      <c r="B1892" s="35"/>
      <c r="C1892" s="35"/>
      <c r="F1892" s="29"/>
      <c r="I1892" s="24"/>
      <c r="K1892" s="28"/>
      <c r="P1892" s="29"/>
      <c r="S1892" s="24"/>
    </row>
    <row r="1893" ht="15.75" hidden="1" customHeight="1">
      <c r="A1893" s="34"/>
      <c r="B1893" s="35"/>
      <c r="C1893" s="35"/>
      <c r="F1893" s="29"/>
      <c r="I1893" s="24"/>
      <c r="K1893" s="28"/>
      <c r="P1893" s="29"/>
      <c r="S1893" s="24"/>
    </row>
    <row r="1894" ht="15.75" hidden="1" customHeight="1">
      <c r="A1894" s="34"/>
      <c r="B1894" s="35"/>
      <c r="C1894" s="35"/>
      <c r="F1894" s="29"/>
      <c r="I1894" s="24"/>
      <c r="K1894" s="28"/>
      <c r="P1894" s="29"/>
      <c r="S1894" s="24"/>
    </row>
    <row r="1895" ht="15.75" hidden="1" customHeight="1">
      <c r="A1895" s="34"/>
      <c r="B1895" s="35"/>
      <c r="C1895" s="35"/>
      <c r="F1895" s="29"/>
      <c r="I1895" s="24"/>
      <c r="K1895" s="28"/>
      <c r="P1895" s="29"/>
      <c r="S1895" s="24"/>
    </row>
    <row r="1896" ht="15.75" hidden="1" customHeight="1">
      <c r="A1896" s="34"/>
      <c r="B1896" s="35"/>
      <c r="C1896" s="35"/>
      <c r="F1896" s="29"/>
      <c r="I1896" s="24"/>
      <c r="K1896" s="28"/>
      <c r="P1896" s="29"/>
      <c r="S1896" s="24"/>
    </row>
    <row r="1897" ht="15.75" hidden="1" customHeight="1">
      <c r="A1897" s="34"/>
      <c r="B1897" s="36"/>
      <c r="C1897" s="36"/>
      <c r="F1897" s="29"/>
      <c r="I1897" s="24"/>
      <c r="K1897" s="28"/>
      <c r="P1897" s="29"/>
      <c r="S1897" s="24"/>
    </row>
    <row r="1898" ht="15.75" hidden="1" customHeight="1">
      <c r="A1898" s="34"/>
      <c r="B1898" s="36"/>
      <c r="C1898" s="36"/>
      <c r="F1898" s="29"/>
      <c r="I1898" s="24"/>
      <c r="K1898" s="28"/>
      <c r="P1898" s="29"/>
      <c r="S1898" s="24"/>
    </row>
    <row r="1899" ht="15.75" hidden="1" customHeight="1">
      <c r="A1899" s="34"/>
      <c r="B1899" s="35"/>
      <c r="C1899" s="35"/>
      <c r="F1899" s="29"/>
      <c r="I1899" s="24"/>
      <c r="K1899" s="28"/>
      <c r="P1899" s="29"/>
      <c r="S1899" s="24"/>
    </row>
    <row r="1900" ht="15.75" hidden="1" customHeight="1">
      <c r="A1900" s="34"/>
      <c r="B1900" s="35"/>
      <c r="C1900" s="35"/>
      <c r="F1900" s="29"/>
      <c r="I1900" s="24"/>
      <c r="K1900" s="28"/>
      <c r="P1900" s="29"/>
      <c r="S1900" s="24"/>
    </row>
    <row r="1901" ht="15.75" hidden="1" customHeight="1">
      <c r="A1901" s="34"/>
      <c r="B1901" s="35"/>
      <c r="C1901" s="35"/>
      <c r="F1901" s="29"/>
      <c r="I1901" s="24"/>
      <c r="K1901" s="28"/>
      <c r="P1901" s="29"/>
      <c r="S1901" s="24"/>
    </row>
    <row r="1902" ht="15.75" hidden="1" customHeight="1">
      <c r="A1902" s="34"/>
      <c r="B1902" s="35"/>
      <c r="C1902" s="35"/>
      <c r="F1902" s="29"/>
      <c r="I1902" s="24"/>
      <c r="K1902" s="28"/>
      <c r="P1902" s="29"/>
      <c r="S1902" s="24"/>
    </row>
    <row r="1903" ht="15.75" hidden="1" customHeight="1">
      <c r="A1903" s="34"/>
      <c r="B1903" s="35"/>
      <c r="C1903" s="35"/>
      <c r="F1903" s="29"/>
      <c r="I1903" s="24"/>
      <c r="K1903" s="28"/>
      <c r="P1903" s="29"/>
      <c r="S1903" s="24"/>
    </row>
    <row r="1904" ht="15.75" hidden="1" customHeight="1">
      <c r="A1904" s="34"/>
      <c r="B1904" s="36"/>
      <c r="C1904" s="36"/>
      <c r="F1904" s="29"/>
      <c r="I1904" s="24"/>
      <c r="K1904" s="28"/>
      <c r="P1904" s="29"/>
      <c r="S1904" s="24"/>
    </row>
    <row r="1905" ht="15.75" hidden="1" customHeight="1">
      <c r="A1905" s="34"/>
      <c r="B1905" s="36"/>
      <c r="C1905" s="36"/>
      <c r="F1905" s="29"/>
      <c r="I1905" s="24"/>
      <c r="K1905" s="28"/>
      <c r="P1905" s="29"/>
      <c r="S1905" s="24"/>
    </row>
    <row r="1906" ht="15.75" hidden="1" customHeight="1">
      <c r="A1906" s="34"/>
      <c r="B1906" s="35"/>
      <c r="C1906" s="35"/>
      <c r="F1906" s="29"/>
      <c r="I1906" s="24"/>
      <c r="K1906" s="28"/>
      <c r="P1906" s="29"/>
      <c r="S1906" s="24"/>
    </row>
    <row r="1907" ht="15.75" hidden="1" customHeight="1">
      <c r="A1907" s="34"/>
      <c r="B1907" s="35"/>
      <c r="C1907" s="35"/>
      <c r="F1907" s="29"/>
      <c r="I1907" s="24"/>
      <c r="K1907" s="28"/>
      <c r="P1907" s="29"/>
      <c r="S1907" s="24"/>
    </row>
    <row r="1908" ht="15.75" hidden="1" customHeight="1">
      <c r="A1908" s="34"/>
      <c r="B1908" s="35"/>
      <c r="C1908" s="35"/>
      <c r="F1908" s="29"/>
      <c r="I1908" s="24"/>
      <c r="K1908" s="28"/>
      <c r="P1908" s="29"/>
      <c r="S1908" s="24"/>
    </row>
    <row r="1909" ht="15.75" hidden="1" customHeight="1">
      <c r="A1909" s="34"/>
      <c r="B1909" s="35"/>
      <c r="C1909" s="35"/>
      <c r="F1909" s="29"/>
      <c r="I1909" s="24"/>
      <c r="K1909" s="28"/>
      <c r="P1909" s="29"/>
      <c r="S1909" s="24"/>
    </row>
    <row r="1910" ht="15.75" hidden="1" customHeight="1">
      <c r="A1910" s="34"/>
      <c r="B1910" s="35"/>
      <c r="C1910" s="35"/>
      <c r="F1910" s="29"/>
      <c r="I1910" s="24"/>
      <c r="K1910" s="28"/>
      <c r="P1910" s="29"/>
      <c r="S1910" s="24"/>
    </row>
    <row r="1911" ht="15.75" hidden="1" customHeight="1">
      <c r="A1911" s="34"/>
      <c r="B1911" s="36"/>
      <c r="C1911" s="36"/>
      <c r="F1911" s="29"/>
      <c r="I1911" s="24"/>
      <c r="K1911" s="28"/>
      <c r="P1911" s="29"/>
      <c r="S1911" s="24"/>
    </row>
    <row r="1912" ht="15.75" hidden="1" customHeight="1">
      <c r="A1912" s="34"/>
      <c r="B1912" s="36"/>
      <c r="C1912" s="36"/>
      <c r="F1912" s="29"/>
      <c r="I1912" s="24"/>
      <c r="K1912" s="28"/>
      <c r="P1912" s="29"/>
      <c r="S1912" s="24"/>
    </row>
    <row r="1913" ht="15.75" hidden="1" customHeight="1">
      <c r="A1913" s="34"/>
      <c r="B1913" s="35"/>
      <c r="C1913" s="35"/>
      <c r="F1913" s="29"/>
      <c r="I1913" s="24"/>
      <c r="K1913" s="28"/>
      <c r="P1913" s="29"/>
      <c r="S1913" s="24"/>
    </row>
    <row r="1914" ht="15.75" hidden="1" customHeight="1">
      <c r="A1914" s="34"/>
      <c r="B1914" s="35"/>
      <c r="C1914" s="35"/>
      <c r="F1914" s="29"/>
      <c r="I1914" s="24"/>
      <c r="K1914" s="28"/>
      <c r="P1914" s="29"/>
      <c r="S1914" s="24"/>
    </row>
    <row r="1915" ht="15.75" hidden="1" customHeight="1">
      <c r="A1915" s="34"/>
      <c r="B1915" s="35"/>
      <c r="C1915" s="35"/>
      <c r="F1915" s="29"/>
      <c r="I1915" s="24"/>
      <c r="K1915" s="28"/>
      <c r="P1915" s="29"/>
      <c r="S1915" s="24"/>
    </row>
    <row r="1916" ht="15.75" hidden="1" customHeight="1">
      <c r="A1916" s="34"/>
      <c r="B1916" s="35"/>
      <c r="C1916" s="35"/>
      <c r="F1916" s="29"/>
      <c r="I1916" s="24"/>
      <c r="K1916" s="28"/>
      <c r="P1916" s="29"/>
      <c r="S1916" s="24"/>
    </row>
    <row r="1917" ht="15.75" hidden="1" customHeight="1">
      <c r="A1917" s="34"/>
      <c r="B1917" s="35"/>
      <c r="C1917" s="35"/>
      <c r="F1917" s="29"/>
      <c r="I1917" s="24"/>
      <c r="K1917" s="28"/>
      <c r="P1917" s="29"/>
      <c r="S1917" s="24"/>
    </row>
    <row r="1918" ht="15.75" hidden="1" customHeight="1">
      <c r="A1918" s="34"/>
      <c r="B1918" s="36"/>
      <c r="C1918" s="36"/>
      <c r="F1918" s="29"/>
      <c r="I1918" s="24"/>
      <c r="K1918" s="28"/>
      <c r="P1918" s="29"/>
      <c r="S1918" s="24"/>
    </row>
    <row r="1919" ht="15.75" hidden="1" customHeight="1">
      <c r="A1919" s="34"/>
      <c r="B1919" s="36"/>
      <c r="C1919" s="36"/>
      <c r="F1919" s="29"/>
      <c r="I1919" s="24"/>
      <c r="K1919" s="28"/>
      <c r="P1919" s="29"/>
      <c r="S1919" s="24"/>
    </row>
    <row r="1920" ht="15.75" hidden="1" customHeight="1">
      <c r="A1920" s="34"/>
      <c r="B1920" s="35"/>
      <c r="C1920" s="35"/>
      <c r="F1920" s="29"/>
      <c r="I1920" s="24"/>
      <c r="K1920" s="28"/>
      <c r="P1920" s="29"/>
      <c r="S1920" s="24"/>
    </row>
    <row r="1921" ht="15.75" hidden="1" customHeight="1">
      <c r="A1921" s="34"/>
      <c r="B1921" s="35"/>
      <c r="C1921" s="35"/>
      <c r="F1921" s="29"/>
      <c r="I1921" s="24"/>
      <c r="K1921" s="28"/>
      <c r="P1921" s="29"/>
      <c r="S1921" s="24"/>
    </row>
    <row r="1922" ht="15.75" hidden="1" customHeight="1">
      <c r="A1922" s="34"/>
      <c r="B1922" s="35"/>
      <c r="C1922" s="35"/>
      <c r="F1922" s="29"/>
      <c r="I1922" s="24"/>
      <c r="K1922" s="28"/>
      <c r="P1922" s="29"/>
      <c r="S1922" s="24"/>
    </row>
    <row r="1923" ht="15.75" hidden="1" customHeight="1">
      <c r="A1923" s="34"/>
      <c r="B1923" s="35"/>
      <c r="C1923" s="35"/>
      <c r="F1923" s="29"/>
      <c r="I1923" s="24"/>
      <c r="K1923" s="28"/>
      <c r="P1923" s="29"/>
      <c r="S1923" s="24"/>
    </row>
    <row r="1924" ht="15.75" hidden="1" customHeight="1">
      <c r="A1924" s="34"/>
      <c r="B1924" s="35"/>
      <c r="C1924" s="35"/>
      <c r="F1924" s="29"/>
      <c r="I1924" s="24"/>
      <c r="K1924" s="28"/>
      <c r="P1924" s="29"/>
      <c r="S1924" s="24"/>
    </row>
    <row r="1925" ht="15.75" hidden="1" customHeight="1">
      <c r="A1925" s="34"/>
      <c r="B1925" s="36"/>
      <c r="C1925" s="36"/>
      <c r="F1925" s="29"/>
      <c r="I1925" s="24"/>
      <c r="K1925" s="28"/>
      <c r="P1925" s="29"/>
      <c r="S1925" s="24"/>
    </row>
    <row r="1926" ht="15.75" hidden="1" customHeight="1">
      <c r="A1926" s="34"/>
      <c r="B1926" s="36"/>
      <c r="C1926" s="36"/>
      <c r="F1926" s="29"/>
      <c r="I1926" s="24"/>
      <c r="K1926" s="28"/>
      <c r="P1926" s="29"/>
      <c r="S1926" s="24"/>
    </row>
    <row r="1927" ht="15.75" hidden="1" customHeight="1">
      <c r="A1927" s="34"/>
      <c r="B1927" s="35"/>
      <c r="C1927" s="35"/>
      <c r="F1927" s="29"/>
      <c r="I1927" s="24"/>
      <c r="K1927" s="28"/>
      <c r="P1927" s="29"/>
      <c r="S1927" s="24"/>
    </row>
    <row r="1928" ht="15.75" hidden="1" customHeight="1">
      <c r="A1928" s="34"/>
      <c r="B1928" s="35"/>
      <c r="C1928" s="35"/>
      <c r="F1928" s="29"/>
      <c r="I1928" s="24"/>
      <c r="K1928" s="28"/>
      <c r="P1928" s="29"/>
      <c r="S1928" s="24"/>
    </row>
    <row r="1929" ht="15.75" hidden="1" customHeight="1">
      <c r="A1929" s="34"/>
      <c r="B1929" s="35"/>
      <c r="C1929" s="35"/>
      <c r="F1929" s="29"/>
      <c r="I1929" s="24"/>
      <c r="K1929" s="28"/>
      <c r="P1929" s="29"/>
      <c r="S1929" s="24"/>
    </row>
    <row r="1930" ht="15.75" hidden="1" customHeight="1">
      <c r="A1930" s="34"/>
      <c r="B1930" s="35"/>
      <c r="C1930" s="35"/>
      <c r="F1930" s="29"/>
      <c r="I1930" s="24"/>
      <c r="K1930" s="28"/>
      <c r="P1930" s="29"/>
      <c r="S1930" s="24"/>
    </row>
    <row r="1931" ht="15.75" hidden="1" customHeight="1">
      <c r="F1931" s="29"/>
      <c r="I1931" s="24"/>
      <c r="K1931" s="28"/>
      <c r="P1931" s="29"/>
      <c r="S1931" s="24"/>
    </row>
    <row r="1932" ht="15.75" hidden="1" customHeight="1">
      <c r="F1932" s="29"/>
      <c r="I1932" s="24"/>
      <c r="K1932" s="28"/>
      <c r="P1932" s="29"/>
      <c r="S1932" s="24"/>
    </row>
    <row r="1933" ht="15.75" hidden="1" customHeight="1">
      <c r="F1933" s="29"/>
      <c r="I1933" s="24"/>
      <c r="K1933" s="28"/>
      <c r="P1933" s="29"/>
      <c r="S1933" s="24"/>
    </row>
    <row r="1934" ht="15.75" hidden="1" customHeight="1">
      <c r="F1934" s="29"/>
      <c r="I1934" s="24"/>
      <c r="K1934" s="28"/>
      <c r="P1934" s="29"/>
      <c r="S1934" s="24"/>
    </row>
    <row r="1935" ht="15.75" hidden="1" customHeight="1">
      <c r="F1935" s="29"/>
      <c r="I1935" s="24"/>
      <c r="K1935" s="28"/>
      <c r="P1935" s="29"/>
      <c r="S1935" s="24"/>
    </row>
    <row r="1936" ht="15.75" hidden="1" customHeight="1">
      <c r="F1936" s="29"/>
      <c r="I1936" s="24"/>
      <c r="K1936" s="28"/>
      <c r="P1936" s="29"/>
      <c r="S1936" s="24"/>
    </row>
    <row r="1937" ht="15.75" hidden="1" customHeight="1">
      <c r="F1937" s="29"/>
      <c r="I1937" s="24"/>
      <c r="K1937" s="28"/>
      <c r="P1937" s="29"/>
      <c r="S1937" s="24"/>
    </row>
    <row r="1938" ht="15.75" hidden="1" customHeight="1">
      <c r="F1938" s="29"/>
      <c r="I1938" s="24"/>
      <c r="K1938" s="28"/>
      <c r="P1938" s="29"/>
      <c r="S1938" s="24"/>
    </row>
    <row r="1939" ht="15.75" hidden="1" customHeight="1">
      <c r="F1939" s="29"/>
      <c r="I1939" s="24"/>
      <c r="K1939" s="28"/>
      <c r="P1939" s="29"/>
      <c r="S1939" s="24"/>
    </row>
    <row r="1940" ht="15.75" hidden="1" customHeight="1">
      <c r="F1940" s="29"/>
      <c r="I1940" s="24"/>
      <c r="K1940" s="28"/>
      <c r="P1940" s="29"/>
      <c r="S1940" s="24"/>
    </row>
    <row r="1941" ht="15.75" hidden="1" customHeight="1">
      <c r="F1941" s="29"/>
      <c r="I1941" s="24"/>
      <c r="K1941" s="28"/>
      <c r="P1941" s="29"/>
      <c r="S1941" s="24"/>
    </row>
    <row r="1942" ht="15.75" hidden="1" customHeight="1">
      <c r="F1942" s="29"/>
      <c r="I1942" s="24"/>
      <c r="K1942" s="28"/>
      <c r="P1942" s="29"/>
      <c r="S1942" s="24"/>
    </row>
    <row r="1943" ht="15.75" hidden="1" customHeight="1">
      <c r="F1943" s="29"/>
      <c r="I1943" s="24"/>
      <c r="K1943" s="28"/>
      <c r="P1943" s="29"/>
      <c r="S1943" s="24"/>
    </row>
    <row r="1944" ht="15.75" hidden="1" customHeight="1">
      <c r="F1944" s="29"/>
      <c r="I1944" s="24"/>
      <c r="K1944" s="28"/>
      <c r="P1944" s="29"/>
      <c r="S1944" s="24"/>
    </row>
    <row r="1945" ht="15.75" hidden="1" customHeight="1">
      <c r="F1945" s="29"/>
      <c r="I1945" s="24"/>
      <c r="K1945" s="28"/>
      <c r="P1945" s="29"/>
      <c r="S1945" s="24"/>
    </row>
    <row r="1946" ht="15.75" hidden="1" customHeight="1">
      <c r="F1946" s="29"/>
      <c r="I1946" s="24"/>
      <c r="K1946" s="28"/>
      <c r="P1946" s="29"/>
      <c r="S1946" s="24"/>
    </row>
    <row r="1947" ht="15.75" hidden="1" customHeight="1">
      <c r="F1947" s="29"/>
      <c r="I1947" s="24"/>
      <c r="K1947" s="28"/>
      <c r="P1947" s="29"/>
      <c r="S1947" s="24"/>
    </row>
    <row r="1948" ht="15.75" hidden="1" customHeight="1">
      <c r="F1948" s="29"/>
      <c r="I1948" s="24"/>
      <c r="K1948" s="28"/>
      <c r="P1948" s="29"/>
      <c r="S1948" s="24"/>
    </row>
    <row r="1949" ht="15.75" hidden="1" customHeight="1">
      <c r="F1949" s="29"/>
      <c r="I1949" s="24"/>
      <c r="K1949" s="28"/>
      <c r="P1949" s="29"/>
      <c r="S1949" s="24"/>
    </row>
    <row r="1950" ht="15.75" hidden="1" customHeight="1">
      <c r="F1950" s="29"/>
      <c r="I1950" s="24"/>
      <c r="K1950" s="28"/>
      <c r="P1950" s="29"/>
      <c r="S1950" s="24"/>
    </row>
    <row r="1951" ht="15.75" hidden="1" customHeight="1">
      <c r="F1951" s="29"/>
      <c r="I1951" s="24"/>
      <c r="K1951" s="28"/>
      <c r="P1951" s="29"/>
      <c r="S1951" s="24"/>
    </row>
    <row r="1952" ht="15.75" hidden="1" customHeight="1">
      <c r="F1952" s="29"/>
      <c r="I1952" s="24"/>
      <c r="K1952" s="28"/>
      <c r="P1952" s="29"/>
      <c r="S1952" s="24"/>
    </row>
    <row r="1953" ht="15.75" hidden="1" customHeight="1">
      <c r="F1953" s="29"/>
      <c r="I1953" s="24"/>
      <c r="K1953" s="28"/>
      <c r="P1953" s="29"/>
      <c r="S1953" s="24"/>
    </row>
    <row r="1954" ht="15.75" hidden="1" customHeight="1">
      <c r="F1954" s="29"/>
      <c r="I1954" s="24"/>
      <c r="K1954" s="28"/>
      <c r="P1954" s="29"/>
      <c r="S1954" s="24"/>
    </row>
    <row r="1955" ht="15.75" hidden="1" customHeight="1">
      <c r="F1955" s="29"/>
      <c r="I1955" s="24"/>
      <c r="K1955" s="28"/>
      <c r="P1955" s="29"/>
      <c r="S1955" s="24"/>
    </row>
    <row r="1956" ht="15.75" hidden="1" customHeight="1">
      <c r="F1956" s="29"/>
      <c r="I1956" s="24"/>
      <c r="K1956" s="28"/>
      <c r="P1956" s="29"/>
      <c r="S1956" s="24"/>
    </row>
    <row r="1957" ht="15.75" hidden="1" customHeight="1">
      <c r="F1957" s="29"/>
      <c r="I1957" s="24"/>
      <c r="K1957" s="28"/>
      <c r="P1957" s="29"/>
      <c r="S1957" s="24"/>
    </row>
    <row r="1958" ht="15.75" hidden="1" customHeight="1">
      <c r="F1958" s="29"/>
      <c r="I1958" s="24"/>
      <c r="K1958" s="28"/>
      <c r="P1958" s="29"/>
      <c r="S1958" s="24"/>
    </row>
    <row r="1959" ht="15.75" hidden="1" customHeight="1">
      <c r="F1959" s="29"/>
      <c r="I1959" s="24"/>
      <c r="K1959" s="28"/>
      <c r="P1959" s="29"/>
      <c r="S1959" s="24"/>
    </row>
    <row r="1960" ht="15.75" hidden="1" customHeight="1">
      <c r="F1960" s="29"/>
      <c r="I1960" s="24"/>
      <c r="K1960" s="28"/>
      <c r="P1960" s="29"/>
      <c r="S1960" s="24"/>
    </row>
    <row r="1961" ht="15.75" hidden="1" customHeight="1">
      <c r="F1961" s="29"/>
      <c r="I1961" s="24"/>
      <c r="K1961" s="28"/>
      <c r="P1961" s="29"/>
      <c r="S1961" s="24"/>
    </row>
    <row r="1962" ht="15.75" hidden="1" customHeight="1">
      <c r="F1962" s="29"/>
      <c r="I1962" s="24"/>
      <c r="K1962" s="28"/>
      <c r="P1962" s="29"/>
      <c r="S1962" s="24"/>
    </row>
    <row r="1963" ht="15.75" hidden="1" customHeight="1">
      <c r="F1963" s="29"/>
      <c r="I1963" s="24"/>
      <c r="K1963" s="28"/>
      <c r="P1963" s="29"/>
      <c r="S1963" s="24"/>
    </row>
    <row r="1964" ht="15.75" hidden="1" customHeight="1">
      <c r="F1964" s="29"/>
      <c r="I1964" s="24"/>
      <c r="K1964" s="28"/>
      <c r="P1964" s="29"/>
      <c r="S1964" s="24"/>
    </row>
    <row r="1965" ht="15.75" hidden="1" customHeight="1">
      <c r="F1965" s="29"/>
      <c r="I1965" s="24"/>
      <c r="K1965" s="28"/>
      <c r="P1965" s="29"/>
      <c r="S1965" s="24"/>
    </row>
    <row r="1966" ht="15.75" hidden="1" customHeight="1">
      <c r="F1966" s="29"/>
      <c r="I1966" s="24"/>
      <c r="K1966" s="28"/>
      <c r="P1966" s="29"/>
      <c r="S1966" s="24"/>
    </row>
    <row r="1967" ht="15.75" hidden="1" customHeight="1">
      <c r="F1967" s="29"/>
      <c r="I1967" s="24"/>
      <c r="K1967" s="28"/>
      <c r="P1967" s="29"/>
      <c r="S1967" s="24"/>
    </row>
    <row r="1968" ht="15.75" hidden="1" customHeight="1">
      <c r="F1968" s="29"/>
      <c r="I1968" s="24"/>
      <c r="K1968" s="28"/>
      <c r="P1968" s="29"/>
      <c r="S1968" s="24"/>
    </row>
    <row r="1969" ht="15.75" hidden="1" customHeight="1">
      <c r="F1969" s="29"/>
      <c r="I1969" s="24"/>
      <c r="K1969" s="28"/>
      <c r="P1969" s="29"/>
      <c r="S1969" s="24"/>
    </row>
    <row r="1970" ht="15.75" hidden="1" customHeight="1">
      <c r="F1970" s="29"/>
      <c r="I1970" s="24"/>
      <c r="K1970" s="28"/>
      <c r="P1970" s="29"/>
      <c r="S1970" s="24"/>
    </row>
    <row r="1971" ht="15.75" hidden="1" customHeight="1">
      <c r="F1971" s="29"/>
      <c r="I1971" s="24"/>
      <c r="K1971" s="28"/>
      <c r="P1971" s="29"/>
      <c r="S1971" s="24"/>
    </row>
    <row r="1972" ht="15.75" hidden="1" customHeight="1">
      <c r="F1972" s="29"/>
      <c r="I1972" s="24"/>
      <c r="K1972" s="28"/>
      <c r="P1972" s="29"/>
      <c r="S1972" s="24"/>
    </row>
    <row r="1973" ht="15.75" hidden="1" customHeight="1">
      <c r="F1973" s="29"/>
      <c r="I1973" s="24"/>
      <c r="K1973" s="28"/>
      <c r="P1973" s="29"/>
      <c r="S1973" s="24"/>
    </row>
    <row r="1974" ht="15.75" hidden="1" customHeight="1">
      <c r="F1974" s="29"/>
      <c r="I1974" s="24"/>
      <c r="K1974" s="28"/>
      <c r="P1974" s="29"/>
      <c r="S1974" s="24"/>
    </row>
    <row r="1975" ht="15.75" hidden="1" customHeight="1">
      <c r="F1975" s="29"/>
      <c r="I1975" s="24"/>
      <c r="K1975" s="28"/>
      <c r="P1975" s="29"/>
      <c r="S1975" s="24"/>
    </row>
    <row r="1976" ht="15.75" hidden="1" customHeight="1">
      <c r="F1976" s="29"/>
      <c r="I1976" s="24"/>
      <c r="K1976" s="28"/>
      <c r="P1976" s="29"/>
      <c r="S1976" s="24"/>
    </row>
    <row r="1977" ht="15.75" hidden="1" customHeight="1">
      <c r="F1977" s="29"/>
      <c r="I1977" s="24"/>
      <c r="K1977" s="28"/>
      <c r="P1977" s="29"/>
      <c r="S1977" s="24"/>
    </row>
    <row r="1978" ht="15.75" hidden="1" customHeight="1">
      <c r="F1978" s="29"/>
      <c r="I1978" s="24"/>
      <c r="K1978" s="28"/>
      <c r="P1978" s="29"/>
      <c r="S1978" s="24"/>
    </row>
    <row r="1979" ht="15.75" hidden="1" customHeight="1">
      <c r="F1979" s="29"/>
      <c r="I1979" s="24"/>
      <c r="K1979" s="28"/>
      <c r="P1979" s="29"/>
      <c r="S1979" s="24"/>
    </row>
    <row r="1980" ht="15.75" hidden="1" customHeight="1">
      <c r="F1980" s="29"/>
      <c r="I1980" s="24"/>
      <c r="K1980" s="28"/>
      <c r="P1980" s="29"/>
      <c r="S1980" s="24"/>
    </row>
    <row r="1981" ht="15.75" hidden="1" customHeight="1">
      <c r="F1981" s="29"/>
      <c r="I1981" s="24"/>
      <c r="K1981" s="28"/>
      <c r="P1981" s="29"/>
      <c r="S1981" s="24"/>
    </row>
    <row r="1982" ht="15.75" hidden="1" customHeight="1">
      <c r="F1982" s="29"/>
      <c r="I1982" s="24"/>
      <c r="K1982" s="28"/>
      <c r="P1982" s="29"/>
      <c r="S1982" s="24"/>
    </row>
    <row r="1983" ht="15.75" hidden="1" customHeight="1">
      <c r="F1983" s="29"/>
      <c r="I1983" s="24"/>
      <c r="K1983" s="28"/>
      <c r="P1983" s="29"/>
      <c r="S1983" s="24"/>
    </row>
    <row r="1984" ht="15.75" hidden="1" customHeight="1">
      <c r="F1984" s="29"/>
      <c r="I1984" s="24"/>
      <c r="K1984" s="28"/>
      <c r="P1984" s="29"/>
      <c r="S1984" s="24"/>
    </row>
    <row r="1985" ht="15.75" hidden="1" customHeight="1">
      <c r="F1985" s="29"/>
      <c r="I1985" s="24"/>
      <c r="K1985" s="28"/>
      <c r="P1985" s="29"/>
      <c r="S1985" s="24"/>
    </row>
    <row r="1986" ht="15.75" hidden="1" customHeight="1">
      <c r="F1986" s="29"/>
      <c r="I1986" s="24"/>
      <c r="K1986" s="28"/>
      <c r="P1986" s="29"/>
      <c r="S1986" s="24"/>
    </row>
    <row r="1987" ht="15.75" hidden="1" customHeight="1">
      <c r="F1987" s="29"/>
      <c r="I1987" s="24"/>
      <c r="K1987" s="28"/>
      <c r="P1987" s="29"/>
      <c r="S1987" s="24"/>
    </row>
    <row r="1988" ht="15.75" hidden="1" customHeight="1">
      <c r="F1988" s="29"/>
      <c r="I1988" s="24"/>
      <c r="K1988" s="28"/>
      <c r="P1988" s="29"/>
      <c r="S1988" s="24"/>
    </row>
    <row r="1989" ht="15.75" hidden="1" customHeight="1">
      <c r="F1989" s="29"/>
      <c r="I1989" s="24"/>
      <c r="K1989" s="28"/>
      <c r="P1989" s="29"/>
      <c r="S1989" s="24"/>
    </row>
    <row r="1990" ht="15.75" hidden="1" customHeight="1">
      <c r="F1990" s="29"/>
      <c r="I1990" s="24"/>
      <c r="K1990" s="28"/>
      <c r="P1990" s="29"/>
      <c r="S1990" s="24"/>
    </row>
    <row r="1991" ht="15.75" hidden="1" customHeight="1">
      <c r="F1991" s="29"/>
      <c r="I1991" s="24"/>
      <c r="K1991" s="28"/>
      <c r="P1991" s="29"/>
      <c r="S1991" s="24"/>
    </row>
    <row r="1992" ht="15.75" hidden="1" customHeight="1">
      <c r="F1992" s="29"/>
      <c r="I1992" s="24"/>
      <c r="K1992" s="28"/>
      <c r="P1992" s="29"/>
      <c r="S1992" s="24"/>
    </row>
    <row r="1993" ht="15.75" hidden="1" customHeight="1">
      <c r="F1993" s="29"/>
      <c r="I1993" s="24"/>
      <c r="K1993" s="28"/>
      <c r="P1993" s="29"/>
      <c r="S1993" s="24"/>
    </row>
    <row r="1994" ht="15.75" hidden="1" customHeight="1">
      <c r="F1994" s="29"/>
      <c r="I1994" s="24"/>
      <c r="K1994" s="28"/>
      <c r="P1994" s="29"/>
      <c r="S1994" s="24"/>
    </row>
    <row r="1995" ht="15.75" hidden="1" customHeight="1">
      <c r="F1995" s="29"/>
      <c r="I1995" s="24"/>
      <c r="K1995" s="28"/>
      <c r="P1995" s="29"/>
      <c r="S1995" s="24"/>
    </row>
    <row r="1996" ht="15.75" hidden="1" customHeight="1">
      <c r="F1996" s="29"/>
      <c r="I1996" s="24"/>
      <c r="K1996" s="28"/>
      <c r="P1996" s="29"/>
      <c r="S1996" s="24"/>
    </row>
    <row r="1997" ht="15.75" hidden="1" customHeight="1">
      <c r="F1997" s="29"/>
      <c r="I1997" s="24"/>
      <c r="K1997" s="28"/>
      <c r="P1997" s="29"/>
      <c r="S1997" s="24"/>
    </row>
    <row r="1998" ht="15.75" hidden="1" customHeight="1">
      <c r="F1998" s="29"/>
      <c r="I1998" s="24"/>
      <c r="K1998" s="28"/>
      <c r="P1998" s="29"/>
      <c r="S1998" s="24"/>
    </row>
    <row r="1999" ht="15.75" hidden="1" customHeight="1">
      <c r="F1999" s="29"/>
      <c r="I1999" s="24"/>
      <c r="K1999" s="28"/>
      <c r="P1999" s="29"/>
      <c r="S1999" s="24"/>
    </row>
    <row r="2000" ht="15.75" hidden="1" customHeight="1">
      <c r="F2000" s="29"/>
      <c r="I2000" s="24"/>
      <c r="K2000" s="28"/>
      <c r="P2000" s="29"/>
      <c r="S2000" s="24"/>
    </row>
    <row r="2001" ht="15.75" hidden="1" customHeight="1">
      <c r="F2001" s="29"/>
      <c r="I2001" s="24"/>
      <c r="K2001" s="28"/>
      <c r="P2001" s="29"/>
      <c r="S2001" s="24"/>
    </row>
    <row r="2002" ht="15.75" hidden="1" customHeight="1">
      <c r="F2002" s="29"/>
      <c r="I2002" s="24"/>
      <c r="K2002" s="28"/>
      <c r="P2002" s="29"/>
      <c r="S2002" s="24"/>
    </row>
    <row r="2003" ht="15.75" hidden="1" customHeight="1">
      <c r="F2003" s="29"/>
      <c r="I2003" s="24"/>
      <c r="K2003" s="28"/>
      <c r="P2003" s="29"/>
      <c r="S2003" s="24"/>
    </row>
    <row r="2004" ht="15.75" hidden="1" customHeight="1">
      <c r="F2004" s="29"/>
      <c r="I2004" s="24"/>
      <c r="K2004" s="28"/>
      <c r="P2004" s="29"/>
      <c r="S2004" s="24"/>
    </row>
    <row r="2005" ht="15.75" hidden="1" customHeight="1">
      <c r="F2005" s="29"/>
      <c r="I2005" s="24"/>
      <c r="K2005" s="28"/>
      <c r="P2005" s="29"/>
      <c r="S2005" s="24"/>
    </row>
    <row r="2006" ht="15.75" hidden="1" customHeight="1">
      <c r="F2006" s="29"/>
      <c r="I2006" s="24"/>
      <c r="K2006" s="28"/>
      <c r="P2006" s="29"/>
      <c r="S2006" s="24"/>
    </row>
    <row r="2007" ht="15.75" hidden="1" customHeight="1">
      <c r="F2007" s="29"/>
      <c r="I2007" s="24"/>
      <c r="K2007" s="28"/>
      <c r="P2007" s="29"/>
      <c r="S2007" s="24"/>
    </row>
    <row r="2008" ht="15.75" hidden="1" customHeight="1">
      <c r="F2008" s="29"/>
      <c r="I2008" s="24"/>
      <c r="K2008" s="28"/>
      <c r="P2008" s="29"/>
      <c r="S2008" s="24"/>
    </row>
    <row r="2009" ht="15.75" hidden="1" customHeight="1">
      <c r="F2009" s="29"/>
      <c r="I2009" s="24"/>
      <c r="K2009" s="28"/>
      <c r="P2009" s="29"/>
      <c r="S2009" s="24"/>
    </row>
    <row r="2010" ht="15.75" hidden="1" customHeight="1">
      <c r="F2010" s="29"/>
      <c r="I2010" s="24"/>
      <c r="K2010" s="28"/>
      <c r="P2010" s="29"/>
      <c r="S2010" s="24"/>
    </row>
    <row r="2011" ht="15.75" hidden="1" customHeight="1">
      <c r="F2011" s="29"/>
      <c r="I2011" s="24"/>
      <c r="K2011" s="28"/>
      <c r="P2011" s="29"/>
      <c r="S2011" s="24"/>
    </row>
    <row r="2012" ht="15.75" hidden="1" customHeight="1">
      <c r="F2012" s="29"/>
      <c r="I2012" s="24"/>
      <c r="K2012" s="28"/>
      <c r="P2012" s="29"/>
      <c r="S2012" s="24"/>
    </row>
    <row r="2013" ht="15.75" hidden="1" customHeight="1">
      <c r="F2013" s="29"/>
      <c r="I2013" s="24"/>
      <c r="K2013" s="28"/>
      <c r="P2013" s="29"/>
      <c r="S2013" s="24"/>
    </row>
    <row r="2014" ht="15.75" hidden="1" customHeight="1">
      <c r="F2014" s="29"/>
      <c r="I2014" s="24"/>
      <c r="K2014" s="28"/>
      <c r="P2014" s="29"/>
      <c r="S2014" s="24"/>
    </row>
    <row r="2015" ht="15.75" hidden="1" customHeight="1">
      <c r="F2015" s="29"/>
      <c r="I2015" s="24"/>
      <c r="K2015" s="28"/>
      <c r="P2015" s="29"/>
      <c r="S2015" s="24"/>
    </row>
    <row r="2016" ht="15.75" hidden="1" customHeight="1">
      <c r="F2016" s="29"/>
      <c r="I2016" s="24"/>
      <c r="K2016" s="28"/>
      <c r="P2016" s="29"/>
      <c r="S2016" s="24"/>
    </row>
    <row r="2017" ht="15.75" hidden="1" customHeight="1">
      <c r="F2017" s="29"/>
      <c r="I2017" s="24"/>
      <c r="K2017" s="28"/>
      <c r="P2017" s="29"/>
      <c r="S2017" s="24"/>
    </row>
    <row r="2018" ht="15.75" hidden="1" customHeight="1">
      <c r="F2018" s="29"/>
      <c r="I2018" s="24"/>
      <c r="K2018" s="28"/>
      <c r="P2018" s="29"/>
      <c r="S2018" s="24"/>
    </row>
    <row r="2019" ht="15.75" hidden="1" customHeight="1">
      <c r="F2019" s="29"/>
      <c r="I2019" s="24"/>
      <c r="K2019" s="28"/>
      <c r="P2019" s="29"/>
      <c r="S2019" s="24"/>
    </row>
    <row r="2020" ht="15.75" hidden="1" customHeight="1">
      <c r="F2020" s="29"/>
      <c r="I2020" s="24"/>
      <c r="K2020" s="28"/>
      <c r="P2020" s="29"/>
      <c r="S2020" s="24"/>
    </row>
    <row r="2021" ht="15.75" hidden="1" customHeight="1">
      <c r="F2021" s="29"/>
      <c r="I2021" s="24"/>
      <c r="K2021" s="28"/>
      <c r="P2021" s="29"/>
      <c r="S2021" s="24"/>
    </row>
    <row r="2022" ht="15.75" hidden="1" customHeight="1">
      <c r="F2022" s="29"/>
      <c r="I2022" s="24"/>
      <c r="K2022" s="28"/>
      <c r="P2022" s="29"/>
      <c r="S2022" s="24"/>
    </row>
    <row r="2023" ht="15.75" hidden="1" customHeight="1">
      <c r="F2023" s="29"/>
      <c r="I2023" s="24"/>
      <c r="K2023" s="28"/>
      <c r="P2023" s="29"/>
      <c r="S2023" s="24"/>
    </row>
    <row r="2024" ht="15.75" hidden="1" customHeight="1">
      <c r="F2024" s="29"/>
      <c r="I2024" s="24"/>
      <c r="K2024" s="28"/>
      <c r="P2024" s="29"/>
      <c r="S2024" s="24"/>
    </row>
    <row r="2025" ht="15.75" hidden="1" customHeight="1">
      <c r="F2025" s="29"/>
      <c r="I2025" s="24"/>
      <c r="K2025" s="28"/>
      <c r="P2025" s="29"/>
      <c r="S2025" s="24"/>
    </row>
    <row r="2026" ht="15.75" hidden="1" customHeight="1">
      <c r="F2026" s="29"/>
      <c r="I2026" s="24"/>
      <c r="K2026" s="28"/>
      <c r="P2026" s="29"/>
      <c r="S2026" s="24"/>
    </row>
    <row r="2027" ht="15.75" hidden="1" customHeight="1">
      <c r="F2027" s="29"/>
      <c r="I2027" s="24"/>
      <c r="K2027" s="28"/>
      <c r="P2027" s="29"/>
      <c r="S2027" s="24"/>
    </row>
    <row r="2028" ht="15.75" hidden="1" customHeight="1">
      <c r="F2028" s="29"/>
      <c r="I2028" s="24"/>
      <c r="K2028" s="28"/>
      <c r="P2028" s="29"/>
      <c r="S2028" s="24"/>
    </row>
    <row r="2029" ht="15.75" hidden="1" customHeight="1">
      <c r="F2029" s="29"/>
      <c r="I2029" s="24"/>
      <c r="K2029" s="28"/>
      <c r="P2029" s="29"/>
      <c r="S2029" s="24"/>
    </row>
    <row r="2030" ht="15.75" hidden="1" customHeight="1">
      <c r="F2030" s="29"/>
      <c r="I2030" s="24"/>
      <c r="K2030" s="28"/>
      <c r="P2030" s="29"/>
      <c r="S2030" s="24"/>
    </row>
    <row r="2031" ht="15.75" hidden="1" customHeight="1">
      <c r="F2031" s="29"/>
      <c r="I2031" s="24"/>
      <c r="K2031" s="28"/>
      <c r="P2031" s="29"/>
      <c r="S2031" s="24"/>
    </row>
    <row r="2032" ht="15.75" hidden="1" customHeight="1">
      <c r="F2032" s="29"/>
      <c r="I2032" s="24"/>
      <c r="K2032" s="28"/>
      <c r="P2032" s="29"/>
      <c r="S2032" s="24"/>
    </row>
    <row r="2033" ht="15.75" hidden="1" customHeight="1">
      <c r="F2033" s="29"/>
      <c r="I2033" s="24"/>
      <c r="K2033" s="28"/>
      <c r="P2033" s="29"/>
      <c r="S2033" s="24"/>
    </row>
    <row r="2034" ht="15.75" hidden="1" customHeight="1">
      <c r="F2034" s="29"/>
      <c r="I2034" s="24"/>
      <c r="K2034" s="28"/>
      <c r="P2034" s="29"/>
      <c r="S2034" s="24"/>
    </row>
    <row r="2035" ht="15.75" hidden="1" customHeight="1">
      <c r="F2035" s="29"/>
      <c r="I2035" s="24"/>
      <c r="K2035" s="28"/>
      <c r="P2035" s="29"/>
      <c r="S2035" s="24"/>
    </row>
    <row r="2036" ht="15.75" hidden="1" customHeight="1">
      <c r="F2036" s="29"/>
      <c r="I2036" s="24"/>
      <c r="K2036" s="28"/>
      <c r="P2036" s="29"/>
      <c r="S2036" s="24"/>
    </row>
    <row r="2037" ht="15.75" hidden="1" customHeight="1">
      <c r="F2037" s="29"/>
      <c r="I2037" s="24"/>
      <c r="K2037" s="28"/>
      <c r="P2037" s="29"/>
      <c r="S2037" s="24"/>
    </row>
    <row r="2038" ht="15.75" hidden="1" customHeight="1">
      <c r="F2038" s="29"/>
      <c r="I2038" s="24"/>
      <c r="K2038" s="28"/>
      <c r="P2038" s="29"/>
      <c r="S2038" s="24"/>
    </row>
    <row r="2039" ht="15.75" hidden="1" customHeight="1">
      <c r="F2039" s="29"/>
      <c r="I2039" s="24"/>
      <c r="K2039" s="28"/>
      <c r="P2039" s="29"/>
      <c r="S2039" s="24"/>
    </row>
    <row r="2040" ht="15.75" hidden="1" customHeight="1">
      <c r="F2040" s="29"/>
      <c r="I2040" s="24"/>
      <c r="K2040" s="28"/>
      <c r="P2040" s="29"/>
      <c r="S2040" s="24"/>
    </row>
    <row r="2041" ht="15.75" hidden="1" customHeight="1">
      <c r="F2041" s="29"/>
      <c r="I2041" s="24"/>
      <c r="K2041" s="28"/>
      <c r="P2041" s="29"/>
      <c r="S2041" s="24"/>
    </row>
    <row r="2042" ht="15.75" hidden="1" customHeight="1">
      <c r="F2042" s="29"/>
      <c r="I2042" s="24"/>
      <c r="K2042" s="28"/>
      <c r="P2042" s="29"/>
      <c r="S2042" s="24"/>
    </row>
    <row r="2043" ht="15.75" hidden="1" customHeight="1">
      <c r="F2043" s="29"/>
      <c r="I2043" s="24"/>
      <c r="K2043" s="28"/>
      <c r="P2043" s="29"/>
      <c r="S2043" s="24"/>
    </row>
    <row r="2044" ht="15.75" hidden="1" customHeight="1">
      <c r="F2044" s="29"/>
      <c r="I2044" s="24"/>
      <c r="K2044" s="28"/>
      <c r="P2044" s="29"/>
      <c r="S2044" s="24"/>
    </row>
    <row r="2045" ht="15.75" hidden="1" customHeight="1">
      <c r="F2045" s="29"/>
      <c r="I2045" s="24"/>
      <c r="K2045" s="28"/>
      <c r="P2045" s="29"/>
      <c r="S2045" s="24"/>
    </row>
    <row r="2046" ht="15.75" hidden="1" customHeight="1">
      <c r="F2046" s="29"/>
      <c r="I2046" s="24"/>
      <c r="K2046" s="28"/>
      <c r="P2046" s="29"/>
      <c r="S2046" s="24"/>
    </row>
    <row r="2047" ht="15.75" hidden="1" customHeight="1">
      <c r="F2047" s="29"/>
      <c r="I2047" s="24"/>
      <c r="K2047" s="28"/>
      <c r="P2047" s="29"/>
      <c r="S2047" s="24"/>
    </row>
    <row r="2048" ht="15.75" hidden="1" customHeight="1">
      <c r="F2048" s="29"/>
      <c r="I2048" s="24"/>
      <c r="K2048" s="28"/>
      <c r="P2048" s="29"/>
      <c r="S2048" s="24"/>
    </row>
    <row r="2049" ht="15.75" hidden="1" customHeight="1">
      <c r="F2049" s="29"/>
      <c r="I2049" s="24"/>
      <c r="K2049" s="28"/>
      <c r="P2049" s="29"/>
      <c r="S2049" s="24"/>
    </row>
    <row r="2050" ht="15.75" hidden="1" customHeight="1">
      <c r="F2050" s="29"/>
      <c r="I2050" s="24"/>
      <c r="K2050" s="28"/>
      <c r="P2050" s="29"/>
      <c r="S2050" s="24"/>
    </row>
    <row r="2051" ht="15.75" hidden="1" customHeight="1">
      <c r="F2051" s="29"/>
      <c r="I2051" s="24"/>
      <c r="K2051" s="28"/>
      <c r="P2051" s="29"/>
      <c r="S2051" s="24"/>
    </row>
    <row r="2052" ht="15.75" hidden="1" customHeight="1">
      <c r="F2052" s="29"/>
      <c r="I2052" s="24"/>
      <c r="K2052" s="28"/>
      <c r="P2052" s="29"/>
      <c r="S2052" s="24"/>
    </row>
    <row r="2053" ht="15.75" hidden="1" customHeight="1">
      <c r="F2053" s="29"/>
      <c r="I2053" s="24"/>
      <c r="K2053" s="28"/>
      <c r="P2053" s="29"/>
      <c r="S2053" s="24"/>
    </row>
    <row r="2054" ht="15.75" hidden="1" customHeight="1">
      <c r="F2054" s="29"/>
      <c r="I2054" s="24"/>
      <c r="K2054" s="28"/>
      <c r="P2054" s="29"/>
      <c r="S2054" s="24"/>
    </row>
    <row r="2055" ht="15.75" hidden="1" customHeight="1">
      <c r="F2055" s="29"/>
      <c r="I2055" s="24"/>
      <c r="K2055" s="28"/>
      <c r="P2055" s="29"/>
      <c r="S2055" s="24"/>
    </row>
    <row r="2056" ht="15.75" hidden="1" customHeight="1">
      <c r="F2056" s="29"/>
      <c r="I2056" s="24"/>
      <c r="K2056" s="28"/>
      <c r="P2056" s="29"/>
      <c r="S2056" s="24"/>
    </row>
    <row r="2057" ht="15.75" hidden="1" customHeight="1">
      <c r="F2057" s="29"/>
      <c r="I2057" s="24"/>
      <c r="K2057" s="28"/>
      <c r="P2057" s="29"/>
      <c r="S2057" s="24"/>
    </row>
    <row r="2058" ht="15.75" hidden="1" customHeight="1">
      <c r="F2058" s="29"/>
      <c r="I2058" s="24"/>
      <c r="K2058" s="28"/>
      <c r="P2058" s="29"/>
      <c r="S2058" s="24"/>
    </row>
    <row r="2059" ht="15.75" hidden="1" customHeight="1">
      <c r="F2059" s="29"/>
      <c r="I2059" s="24"/>
      <c r="K2059" s="28"/>
      <c r="P2059" s="29"/>
      <c r="S2059" s="24"/>
    </row>
    <row r="2060" ht="15.75" hidden="1" customHeight="1">
      <c r="F2060" s="29"/>
      <c r="I2060" s="24"/>
      <c r="K2060" s="28"/>
      <c r="P2060" s="29"/>
      <c r="S2060" s="24"/>
    </row>
    <row r="2061" ht="15.75" hidden="1" customHeight="1">
      <c r="F2061" s="29"/>
      <c r="I2061" s="24"/>
      <c r="K2061" s="28"/>
      <c r="P2061" s="29"/>
      <c r="S2061" s="24"/>
    </row>
    <row r="2062" ht="15.75" hidden="1" customHeight="1">
      <c r="F2062" s="29"/>
      <c r="I2062" s="24"/>
      <c r="K2062" s="28"/>
      <c r="P2062" s="29"/>
      <c r="S2062" s="24"/>
    </row>
    <row r="2063" ht="15.75" hidden="1" customHeight="1">
      <c r="F2063" s="29"/>
      <c r="I2063" s="24"/>
      <c r="K2063" s="28"/>
      <c r="P2063" s="29"/>
      <c r="S2063" s="24"/>
    </row>
    <row r="2064" ht="15.75" hidden="1" customHeight="1">
      <c r="F2064" s="29"/>
      <c r="I2064" s="24"/>
      <c r="K2064" s="28"/>
      <c r="P2064" s="29"/>
      <c r="S2064" s="24"/>
    </row>
    <row r="2065" ht="15.75" hidden="1" customHeight="1">
      <c r="F2065" s="29"/>
      <c r="I2065" s="24"/>
      <c r="K2065" s="28"/>
      <c r="P2065" s="29"/>
      <c r="S2065" s="24"/>
    </row>
    <row r="2066" ht="15.75" hidden="1" customHeight="1">
      <c r="F2066" s="29"/>
      <c r="I2066" s="24"/>
      <c r="K2066" s="28"/>
      <c r="P2066" s="29"/>
      <c r="S2066" s="24"/>
    </row>
    <row r="2067" ht="15.75" hidden="1" customHeight="1">
      <c r="F2067" s="29"/>
      <c r="I2067" s="24"/>
      <c r="K2067" s="28"/>
      <c r="P2067" s="29"/>
      <c r="S2067" s="24"/>
    </row>
    <row r="2068" ht="15.75" hidden="1" customHeight="1">
      <c r="F2068" s="29"/>
      <c r="I2068" s="24"/>
      <c r="K2068" s="28"/>
      <c r="P2068" s="29"/>
      <c r="S2068" s="24"/>
    </row>
    <row r="2069" ht="15.75" hidden="1" customHeight="1">
      <c r="F2069" s="29"/>
      <c r="I2069" s="24"/>
      <c r="K2069" s="28"/>
      <c r="P2069" s="29"/>
      <c r="S2069" s="24"/>
    </row>
    <row r="2070" ht="15.75" hidden="1" customHeight="1">
      <c r="F2070" s="29"/>
      <c r="I2070" s="24"/>
      <c r="K2070" s="28"/>
      <c r="P2070" s="29"/>
      <c r="S2070" s="24"/>
    </row>
    <row r="2071" ht="15.75" hidden="1" customHeight="1">
      <c r="F2071" s="29"/>
      <c r="I2071" s="24"/>
      <c r="K2071" s="28"/>
      <c r="P2071" s="29"/>
      <c r="S2071" s="24"/>
    </row>
    <row r="2072" ht="15.75" hidden="1" customHeight="1">
      <c r="F2072" s="29"/>
      <c r="I2072" s="24"/>
      <c r="K2072" s="28"/>
      <c r="P2072" s="29"/>
      <c r="S2072" s="24"/>
    </row>
    <row r="2073" ht="15.75" hidden="1" customHeight="1">
      <c r="F2073" s="29"/>
      <c r="I2073" s="24"/>
      <c r="K2073" s="28"/>
      <c r="P2073" s="29"/>
      <c r="S2073" s="24"/>
    </row>
    <row r="2074" ht="15.75" hidden="1" customHeight="1">
      <c r="F2074" s="29"/>
      <c r="I2074" s="24"/>
      <c r="K2074" s="28"/>
      <c r="P2074" s="29"/>
      <c r="S2074" s="24"/>
    </row>
    <row r="2075" ht="15.75" hidden="1" customHeight="1">
      <c r="F2075" s="29"/>
      <c r="I2075" s="24"/>
      <c r="K2075" s="28"/>
      <c r="P2075" s="29"/>
      <c r="S2075" s="24"/>
    </row>
    <row r="2076" ht="15.75" hidden="1" customHeight="1">
      <c r="F2076" s="29"/>
      <c r="I2076" s="24"/>
      <c r="K2076" s="28"/>
      <c r="P2076" s="29"/>
      <c r="S2076" s="24"/>
    </row>
    <row r="2077" ht="15.75" hidden="1" customHeight="1">
      <c r="F2077" s="29"/>
      <c r="I2077" s="24"/>
      <c r="K2077" s="28"/>
      <c r="P2077" s="29"/>
      <c r="S2077" s="24"/>
    </row>
    <row r="2078" ht="15.75" hidden="1" customHeight="1">
      <c r="F2078" s="29"/>
      <c r="I2078" s="24"/>
      <c r="K2078" s="28"/>
      <c r="P2078" s="29"/>
      <c r="S2078" s="24"/>
    </row>
    <row r="2079" ht="15.75" hidden="1" customHeight="1">
      <c r="F2079" s="29"/>
      <c r="I2079" s="24"/>
      <c r="K2079" s="28"/>
      <c r="P2079" s="29"/>
      <c r="S2079" s="24"/>
    </row>
    <row r="2080" ht="15.75" hidden="1" customHeight="1">
      <c r="F2080" s="29"/>
      <c r="I2080" s="24"/>
      <c r="K2080" s="28"/>
      <c r="P2080" s="29"/>
      <c r="S2080" s="24"/>
    </row>
    <row r="2081" ht="15.75" hidden="1" customHeight="1">
      <c r="F2081" s="29"/>
      <c r="I2081" s="24"/>
      <c r="K2081" s="28"/>
      <c r="P2081" s="29"/>
      <c r="S2081" s="24"/>
    </row>
    <row r="2082" ht="15.75" hidden="1" customHeight="1">
      <c r="F2082" s="29"/>
      <c r="I2082" s="24"/>
      <c r="K2082" s="28"/>
      <c r="P2082" s="29"/>
      <c r="S2082" s="24"/>
    </row>
    <row r="2083" ht="15.75" hidden="1" customHeight="1">
      <c r="F2083" s="29"/>
      <c r="I2083" s="24"/>
      <c r="K2083" s="28"/>
      <c r="P2083" s="29"/>
      <c r="S2083" s="24"/>
    </row>
    <row r="2084" ht="15.75" hidden="1" customHeight="1">
      <c r="F2084" s="29"/>
      <c r="I2084" s="24"/>
      <c r="K2084" s="28"/>
      <c r="P2084" s="29"/>
      <c r="S2084" s="24"/>
    </row>
    <row r="2085" ht="15.75" hidden="1" customHeight="1">
      <c r="F2085" s="29"/>
      <c r="I2085" s="24"/>
      <c r="K2085" s="28"/>
      <c r="P2085" s="29"/>
      <c r="S2085" s="24"/>
    </row>
    <row r="2086" ht="15.75" hidden="1" customHeight="1">
      <c r="F2086" s="29"/>
      <c r="I2086" s="24"/>
      <c r="K2086" s="28"/>
      <c r="P2086" s="29"/>
      <c r="S2086" s="24"/>
    </row>
    <row r="2087" ht="15.75" hidden="1" customHeight="1">
      <c r="F2087" s="29"/>
      <c r="I2087" s="24"/>
      <c r="K2087" s="28"/>
      <c r="P2087" s="29"/>
      <c r="S2087" s="24"/>
    </row>
    <row r="2088" ht="15.75" hidden="1" customHeight="1">
      <c r="F2088" s="29"/>
      <c r="I2088" s="24"/>
      <c r="K2088" s="28"/>
      <c r="P2088" s="29"/>
      <c r="S2088" s="24"/>
    </row>
    <row r="2089" ht="15.75" hidden="1" customHeight="1">
      <c r="F2089" s="29"/>
      <c r="I2089" s="24"/>
      <c r="K2089" s="28"/>
      <c r="P2089" s="29"/>
      <c r="S2089" s="24"/>
    </row>
    <row r="2090" ht="15.75" hidden="1" customHeight="1">
      <c r="F2090" s="29"/>
      <c r="I2090" s="24"/>
      <c r="K2090" s="28"/>
      <c r="P2090" s="29"/>
      <c r="S2090" s="24"/>
    </row>
    <row r="2091" ht="15.75" hidden="1" customHeight="1">
      <c r="F2091" s="29"/>
      <c r="I2091" s="24"/>
      <c r="K2091" s="28"/>
      <c r="P2091" s="29"/>
      <c r="S2091" s="24"/>
    </row>
    <row r="2092" ht="15.75" hidden="1" customHeight="1">
      <c r="F2092" s="29"/>
      <c r="I2092" s="24"/>
      <c r="K2092" s="28"/>
      <c r="P2092" s="29"/>
      <c r="S2092" s="24"/>
    </row>
    <row r="2093" ht="15.75" hidden="1" customHeight="1">
      <c r="F2093" s="29"/>
      <c r="I2093" s="24"/>
      <c r="K2093" s="28"/>
      <c r="P2093" s="29"/>
      <c r="S2093" s="24"/>
    </row>
    <row r="2094" ht="15.75" hidden="1" customHeight="1">
      <c r="F2094" s="29"/>
      <c r="I2094" s="24"/>
      <c r="K2094" s="28"/>
      <c r="P2094" s="29"/>
      <c r="S2094" s="24"/>
    </row>
    <row r="2095" ht="15.75" hidden="1" customHeight="1">
      <c r="F2095" s="29"/>
      <c r="I2095" s="24"/>
      <c r="K2095" s="28"/>
      <c r="P2095" s="29"/>
      <c r="S2095" s="24"/>
    </row>
    <row r="2096" ht="15.75" hidden="1" customHeight="1">
      <c r="F2096" s="29"/>
      <c r="I2096" s="24"/>
      <c r="K2096" s="28"/>
      <c r="P2096" s="29"/>
      <c r="S2096" s="24"/>
    </row>
    <row r="2097" ht="15.75" hidden="1" customHeight="1">
      <c r="F2097" s="29"/>
      <c r="I2097" s="24"/>
      <c r="K2097" s="28"/>
      <c r="P2097" s="29"/>
      <c r="S2097" s="24"/>
    </row>
    <row r="2098" ht="15.75" hidden="1" customHeight="1">
      <c r="F2098" s="29"/>
      <c r="I2098" s="24"/>
      <c r="K2098" s="28"/>
      <c r="P2098" s="29"/>
      <c r="S2098" s="24"/>
    </row>
    <row r="2099" ht="15.75" hidden="1" customHeight="1">
      <c r="F2099" s="29"/>
      <c r="I2099" s="24"/>
      <c r="K2099" s="28"/>
      <c r="P2099" s="29"/>
      <c r="S2099" s="24"/>
    </row>
    <row r="2100" ht="15.75" hidden="1" customHeight="1">
      <c r="F2100" s="29"/>
      <c r="I2100" s="24"/>
      <c r="K2100" s="28"/>
      <c r="P2100" s="29"/>
      <c r="S2100" s="24"/>
    </row>
    <row r="2101" ht="15.75" hidden="1" customHeight="1">
      <c r="F2101" s="29"/>
      <c r="I2101" s="24"/>
      <c r="K2101" s="28"/>
      <c r="P2101" s="29"/>
      <c r="S2101" s="24"/>
    </row>
    <row r="2102" ht="15.75" hidden="1" customHeight="1">
      <c r="F2102" s="29"/>
      <c r="I2102" s="24"/>
      <c r="K2102" s="28"/>
      <c r="P2102" s="29"/>
      <c r="S2102" s="24"/>
    </row>
    <row r="2103" ht="15.75" hidden="1" customHeight="1">
      <c r="F2103" s="29"/>
      <c r="I2103" s="24"/>
      <c r="K2103" s="28"/>
      <c r="P2103" s="29"/>
      <c r="S2103" s="24"/>
    </row>
    <row r="2104" ht="15.75" hidden="1" customHeight="1">
      <c r="F2104" s="29"/>
      <c r="I2104" s="24"/>
      <c r="K2104" s="28"/>
      <c r="P2104" s="29"/>
      <c r="S2104" s="24"/>
    </row>
    <row r="2105" ht="15.75" hidden="1" customHeight="1">
      <c r="F2105" s="29"/>
      <c r="I2105" s="24"/>
      <c r="K2105" s="28"/>
      <c r="P2105" s="29"/>
      <c r="S2105" s="24"/>
    </row>
    <row r="2106" ht="15.75" hidden="1" customHeight="1">
      <c r="F2106" s="29"/>
      <c r="I2106" s="24"/>
      <c r="K2106" s="28"/>
      <c r="P2106" s="29"/>
      <c r="S2106" s="24"/>
    </row>
    <row r="2107" ht="15.75" hidden="1" customHeight="1">
      <c r="F2107" s="29"/>
      <c r="I2107" s="24"/>
      <c r="K2107" s="28"/>
      <c r="P2107" s="29"/>
      <c r="S2107" s="24"/>
    </row>
    <row r="2108" ht="15.75" hidden="1" customHeight="1">
      <c r="F2108" s="29"/>
      <c r="I2108" s="24"/>
      <c r="K2108" s="28"/>
      <c r="P2108" s="29"/>
      <c r="S2108" s="24"/>
    </row>
    <row r="2109" ht="15.75" hidden="1" customHeight="1">
      <c r="F2109" s="29"/>
      <c r="I2109" s="24"/>
      <c r="K2109" s="28"/>
      <c r="P2109" s="29"/>
      <c r="S2109" s="24"/>
    </row>
    <row r="2110" ht="15.75" hidden="1" customHeight="1">
      <c r="F2110" s="29"/>
      <c r="I2110" s="24"/>
      <c r="K2110" s="28"/>
      <c r="P2110" s="29"/>
      <c r="S2110" s="24"/>
    </row>
    <row r="2111" ht="15.75" hidden="1" customHeight="1">
      <c r="F2111" s="29"/>
      <c r="I2111" s="24"/>
      <c r="K2111" s="28"/>
      <c r="P2111" s="29"/>
      <c r="S2111" s="24"/>
    </row>
    <row r="2112" ht="15.75" hidden="1" customHeight="1">
      <c r="F2112" s="29"/>
      <c r="I2112" s="24"/>
      <c r="K2112" s="28"/>
      <c r="P2112" s="29"/>
      <c r="S2112" s="24"/>
    </row>
    <row r="2113" ht="15.75" hidden="1" customHeight="1">
      <c r="F2113" s="29"/>
      <c r="I2113" s="24"/>
      <c r="K2113" s="28"/>
      <c r="P2113" s="29"/>
      <c r="S2113" s="24"/>
    </row>
    <row r="2114" ht="15.75" hidden="1" customHeight="1">
      <c r="F2114" s="29"/>
      <c r="I2114" s="24"/>
      <c r="K2114" s="28"/>
      <c r="P2114" s="29"/>
      <c r="S2114" s="24"/>
    </row>
    <row r="2115" ht="15.75" hidden="1" customHeight="1">
      <c r="F2115" s="29"/>
      <c r="I2115" s="24"/>
      <c r="K2115" s="28"/>
      <c r="P2115" s="29"/>
      <c r="S2115" s="24"/>
    </row>
    <row r="2116" ht="15.75" hidden="1" customHeight="1">
      <c r="F2116" s="29"/>
      <c r="I2116" s="24"/>
      <c r="K2116" s="28"/>
      <c r="P2116" s="29"/>
      <c r="S2116" s="24"/>
    </row>
    <row r="2117" ht="15.75" hidden="1" customHeight="1">
      <c r="F2117" s="29"/>
      <c r="I2117" s="24"/>
      <c r="K2117" s="28"/>
      <c r="P2117" s="29"/>
      <c r="S2117" s="24"/>
    </row>
    <row r="2118" ht="15.75" hidden="1" customHeight="1">
      <c r="F2118" s="29"/>
      <c r="I2118" s="24"/>
      <c r="K2118" s="28"/>
      <c r="P2118" s="29"/>
      <c r="S2118" s="24"/>
    </row>
    <row r="2119" ht="15.75" hidden="1" customHeight="1">
      <c r="F2119" s="29"/>
      <c r="I2119" s="24"/>
      <c r="K2119" s="28"/>
      <c r="P2119" s="29"/>
      <c r="S2119" s="24"/>
    </row>
    <row r="2120" ht="15.75" hidden="1" customHeight="1">
      <c r="F2120" s="29"/>
      <c r="I2120" s="24"/>
      <c r="K2120" s="28"/>
      <c r="P2120" s="29"/>
      <c r="S2120" s="24"/>
    </row>
    <row r="2121" ht="15.75" hidden="1" customHeight="1">
      <c r="F2121" s="29"/>
      <c r="I2121" s="24"/>
      <c r="K2121" s="28"/>
      <c r="P2121" s="29"/>
      <c r="S2121" s="24"/>
    </row>
    <row r="2122" ht="15.75" hidden="1" customHeight="1">
      <c r="F2122" s="29"/>
      <c r="I2122" s="24"/>
      <c r="K2122" s="28"/>
      <c r="P2122" s="29"/>
      <c r="S2122" s="24"/>
    </row>
    <row r="2123" ht="15.75" hidden="1" customHeight="1">
      <c r="F2123" s="29"/>
      <c r="I2123" s="24"/>
      <c r="K2123" s="28"/>
      <c r="P2123" s="29"/>
      <c r="S2123" s="24"/>
    </row>
    <row r="2124" ht="15.75" hidden="1" customHeight="1">
      <c r="F2124" s="29"/>
      <c r="I2124" s="24"/>
      <c r="K2124" s="28"/>
      <c r="P2124" s="29"/>
      <c r="S2124" s="24"/>
    </row>
    <row r="2125" ht="15.75" hidden="1" customHeight="1">
      <c r="F2125" s="29"/>
      <c r="I2125" s="24"/>
      <c r="K2125" s="28"/>
      <c r="P2125" s="29"/>
      <c r="S2125" s="24"/>
    </row>
    <row r="2126" ht="15.75" hidden="1" customHeight="1">
      <c r="F2126" s="29"/>
      <c r="I2126" s="24"/>
      <c r="K2126" s="28"/>
      <c r="P2126" s="29"/>
      <c r="S2126" s="24"/>
    </row>
    <row r="2127" ht="15.75" hidden="1" customHeight="1">
      <c r="F2127" s="29"/>
      <c r="I2127" s="24"/>
      <c r="K2127" s="28"/>
      <c r="P2127" s="29"/>
      <c r="S2127" s="24"/>
    </row>
    <row r="2128" ht="15.75" hidden="1" customHeight="1">
      <c r="F2128" s="29"/>
      <c r="I2128" s="24"/>
      <c r="K2128" s="28"/>
      <c r="P2128" s="29"/>
      <c r="S2128" s="24"/>
    </row>
    <row r="2129" ht="15.75" hidden="1" customHeight="1">
      <c r="F2129" s="29"/>
      <c r="I2129" s="24"/>
      <c r="K2129" s="28"/>
      <c r="P2129" s="29"/>
      <c r="S2129" s="24"/>
    </row>
    <row r="2130" ht="15.75" hidden="1" customHeight="1">
      <c r="F2130" s="29"/>
      <c r="I2130" s="24"/>
      <c r="K2130" s="28"/>
      <c r="P2130" s="29"/>
      <c r="S2130" s="24"/>
    </row>
    <row r="2131" ht="15.75" hidden="1" customHeight="1">
      <c r="F2131" s="29"/>
      <c r="I2131" s="24"/>
      <c r="K2131" s="28"/>
      <c r="P2131" s="29"/>
      <c r="S2131" s="24"/>
    </row>
    <row r="2132" ht="15.75" hidden="1" customHeight="1">
      <c r="F2132" s="29"/>
      <c r="I2132" s="24"/>
      <c r="K2132" s="28"/>
      <c r="P2132" s="29"/>
      <c r="S2132" s="24"/>
    </row>
    <row r="2133" ht="15.75" hidden="1" customHeight="1">
      <c r="F2133" s="29"/>
      <c r="I2133" s="24"/>
      <c r="K2133" s="28"/>
      <c r="P2133" s="29"/>
      <c r="S2133" s="24"/>
    </row>
    <row r="2134" ht="15.75" hidden="1" customHeight="1">
      <c r="F2134" s="29"/>
      <c r="I2134" s="24"/>
      <c r="K2134" s="28"/>
      <c r="P2134" s="29"/>
      <c r="S2134" s="24"/>
    </row>
    <row r="2135" ht="15.75" hidden="1" customHeight="1">
      <c r="F2135" s="29"/>
      <c r="I2135" s="24"/>
      <c r="K2135" s="28"/>
      <c r="P2135" s="29"/>
      <c r="S2135" s="24"/>
    </row>
    <row r="2136" ht="15.75" hidden="1" customHeight="1">
      <c r="F2136" s="29"/>
      <c r="I2136" s="24"/>
      <c r="K2136" s="28"/>
      <c r="P2136" s="29"/>
      <c r="S2136" s="24"/>
    </row>
    <row r="2137" ht="15.75" hidden="1" customHeight="1">
      <c r="F2137" s="29"/>
      <c r="I2137" s="24"/>
      <c r="K2137" s="28"/>
      <c r="P2137" s="29"/>
      <c r="S2137" s="24"/>
    </row>
    <row r="2138" ht="15.75" hidden="1" customHeight="1">
      <c r="F2138" s="29"/>
      <c r="I2138" s="24"/>
      <c r="K2138" s="28"/>
      <c r="P2138" s="29"/>
      <c r="S2138" s="24"/>
    </row>
    <row r="2139" ht="15.75" hidden="1" customHeight="1">
      <c r="F2139" s="29"/>
      <c r="I2139" s="24"/>
      <c r="K2139" s="28"/>
      <c r="P2139" s="29"/>
      <c r="S2139" s="24"/>
    </row>
    <row r="2140" ht="15.75" hidden="1" customHeight="1">
      <c r="F2140" s="29"/>
      <c r="I2140" s="24"/>
      <c r="K2140" s="28"/>
      <c r="P2140" s="29"/>
      <c r="S2140" s="24"/>
    </row>
    <row r="2141" ht="15.75" hidden="1" customHeight="1">
      <c r="F2141" s="29"/>
      <c r="I2141" s="24"/>
      <c r="K2141" s="28"/>
      <c r="P2141" s="29"/>
      <c r="S2141" s="24"/>
    </row>
    <row r="2142" ht="15.75" hidden="1" customHeight="1">
      <c r="F2142" s="29"/>
      <c r="I2142" s="24"/>
      <c r="K2142" s="28"/>
      <c r="P2142" s="29"/>
      <c r="S2142" s="24"/>
    </row>
    <row r="2143" ht="15.75" hidden="1" customHeight="1">
      <c r="F2143" s="29"/>
      <c r="I2143" s="24"/>
      <c r="K2143" s="28"/>
      <c r="P2143" s="29"/>
      <c r="S2143" s="24"/>
    </row>
    <row r="2144" ht="15.75" hidden="1" customHeight="1">
      <c r="F2144" s="29"/>
      <c r="I2144" s="24"/>
      <c r="K2144" s="28"/>
      <c r="P2144" s="29"/>
      <c r="S2144" s="24"/>
    </row>
    <row r="2145" ht="15.75" hidden="1" customHeight="1">
      <c r="F2145" s="29"/>
      <c r="I2145" s="24"/>
      <c r="K2145" s="28"/>
      <c r="P2145" s="29"/>
      <c r="S2145" s="24"/>
    </row>
    <row r="2146" ht="15.75" hidden="1" customHeight="1">
      <c r="F2146" s="29"/>
      <c r="I2146" s="24"/>
      <c r="K2146" s="28"/>
      <c r="P2146" s="29"/>
      <c r="S2146" s="24"/>
    </row>
    <row r="2147" ht="15.75" hidden="1" customHeight="1">
      <c r="F2147" s="29"/>
      <c r="I2147" s="24"/>
      <c r="K2147" s="28"/>
      <c r="P2147" s="29"/>
      <c r="S2147" s="24"/>
    </row>
    <row r="2148" ht="15.75" hidden="1" customHeight="1">
      <c r="F2148" s="29"/>
      <c r="I2148" s="24"/>
      <c r="K2148" s="28"/>
      <c r="P2148" s="29"/>
      <c r="S2148" s="24"/>
    </row>
    <row r="2149" ht="15.75" hidden="1" customHeight="1">
      <c r="F2149" s="29"/>
      <c r="I2149" s="24"/>
      <c r="K2149" s="28"/>
      <c r="P2149" s="29"/>
      <c r="S2149" s="24"/>
    </row>
    <row r="2150" ht="15.75" hidden="1" customHeight="1">
      <c r="F2150" s="29"/>
      <c r="I2150" s="24"/>
      <c r="K2150" s="28"/>
      <c r="P2150" s="29"/>
      <c r="S2150" s="24"/>
    </row>
    <row r="2151" ht="15.75" hidden="1" customHeight="1">
      <c r="F2151" s="29"/>
      <c r="I2151" s="24"/>
      <c r="K2151" s="28"/>
      <c r="P2151" s="29"/>
      <c r="S2151" s="24"/>
    </row>
    <row r="2152" ht="15.75" hidden="1" customHeight="1">
      <c r="F2152" s="29"/>
      <c r="I2152" s="24"/>
      <c r="K2152" s="28"/>
      <c r="P2152" s="29"/>
      <c r="S2152" s="24"/>
    </row>
    <row r="2153" ht="15.75" hidden="1" customHeight="1">
      <c r="F2153" s="29"/>
      <c r="I2153" s="24"/>
      <c r="K2153" s="28"/>
      <c r="P2153" s="29"/>
      <c r="S2153" s="24"/>
    </row>
    <row r="2154" ht="15.75" hidden="1" customHeight="1">
      <c r="F2154" s="29"/>
      <c r="I2154" s="24"/>
      <c r="K2154" s="28"/>
      <c r="P2154" s="29"/>
      <c r="S2154" s="24"/>
    </row>
    <row r="2155" ht="15.75" hidden="1" customHeight="1">
      <c r="F2155" s="29"/>
      <c r="I2155" s="24"/>
      <c r="K2155" s="28"/>
      <c r="P2155" s="29"/>
      <c r="S2155" s="24"/>
    </row>
    <row r="2156" ht="15.75" hidden="1" customHeight="1">
      <c r="F2156" s="29"/>
      <c r="I2156" s="24"/>
      <c r="K2156" s="28"/>
      <c r="P2156" s="29"/>
      <c r="S2156" s="24"/>
    </row>
    <row r="2157" ht="15.75" hidden="1" customHeight="1">
      <c r="F2157" s="29"/>
      <c r="I2157" s="24"/>
      <c r="K2157" s="28"/>
      <c r="P2157" s="29"/>
      <c r="S2157" s="24"/>
    </row>
    <row r="2158" ht="15.75" hidden="1" customHeight="1">
      <c r="F2158" s="29"/>
      <c r="I2158" s="24"/>
      <c r="K2158" s="28"/>
      <c r="P2158" s="29"/>
      <c r="S2158" s="24"/>
    </row>
    <row r="2159" ht="15.75" hidden="1" customHeight="1">
      <c r="F2159" s="29"/>
      <c r="I2159" s="24"/>
      <c r="K2159" s="28"/>
      <c r="P2159" s="29"/>
      <c r="S2159" s="24"/>
    </row>
    <row r="2160" ht="15.75" hidden="1" customHeight="1">
      <c r="F2160" s="29"/>
      <c r="I2160" s="24"/>
      <c r="K2160" s="28"/>
      <c r="P2160" s="29"/>
      <c r="S2160" s="24"/>
    </row>
    <row r="2161" ht="15.75" hidden="1" customHeight="1">
      <c r="F2161" s="29"/>
      <c r="I2161" s="24"/>
      <c r="K2161" s="28"/>
      <c r="P2161" s="29"/>
      <c r="S2161" s="24"/>
    </row>
    <row r="2162" ht="15.75" hidden="1" customHeight="1">
      <c r="F2162" s="29"/>
      <c r="I2162" s="24"/>
      <c r="K2162" s="28"/>
      <c r="P2162" s="29"/>
      <c r="S2162" s="24"/>
    </row>
    <row r="2163" ht="15.75" hidden="1" customHeight="1">
      <c r="F2163" s="29"/>
      <c r="I2163" s="24"/>
      <c r="K2163" s="28"/>
      <c r="P2163" s="29"/>
      <c r="S2163" s="24"/>
    </row>
    <row r="2164" ht="15.75" hidden="1" customHeight="1">
      <c r="F2164" s="29"/>
      <c r="I2164" s="24"/>
      <c r="K2164" s="28"/>
      <c r="P2164" s="29"/>
      <c r="S2164" s="24"/>
    </row>
    <row r="2165" ht="15.75" hidden="1" customHeight="1">
      <c r="F2165" s="29"/>
      <c r="I2165" s="24"/>
      <c r="K2165" s="28"/>
      <c r="P2165" s="29"/>
      <c r="S2165" s="24"/>
    </row>
    <row r="2166" ht="15.75" hidden="1" customHeight="1">
      <c r="F2166" s="29"/>
      <c r="I2166" s="24"/>
      <c r="K2166" s="28"/>
      <c r="P2166" s="29"/>
      <c r="S2166" s="24"/>
    </row>
    <row r="2167" ht="15.75" hidden="1" customHeight="1">
      <c r="F2167" s="29"/>
      <c r="I2167" s="24"/>
      <c r="K2167" s="28"/>
      <c r="P2167" s="29"/>
      <c r="S2167" s="24"/>
    </row>
    <row r="2168" ht="15.75" hidden="1" customHeight="1">
      <c r="F2168" s="29"/>
      <c r="I2168" s="24"/>
      <c r="K2168" s="28"/>
      <c r="P2168" s="29"/>
      <c r="S2168" s="24"/>
    </row>
    <row r="2169" ht="15.75" hidden="1" customHeight="1">
      <c r="F2169" s="29"/>
      <c r="I2169" s="24"/>
      <c r="K2169" s="28"/>
      <c r="P2169" s="29"/>
      <c r="S2169" s="24"/>
    </row>
    <row r="2170" ht="15.75" hidden="1" customHeight="1">
      <c r="F2170" s="29"/>
      <c r="I2170" s="24"/>
      <c r="K2170" s="28"/>
      <c r="P2170" s="29"/>
      <c r="S2170" s="24"/>
    </row>
    <row r="2171" ht="15.75" hidden="1" customHeight="1">
      <c r="F2171" s="29"/>
      <c r="I2171" s="24"/>
      <c r="K2171" s="28"/>
      <c r="P2171" s="29"/>
      <c r="S2171" s="24"/>
    </row>
    <row r="2172" ht="15.75" hidden="1" customHeight="1">
      <c r="F2172" s="29"/>
      <c r="I2172" s="24"/>
      <c r="K2172" s="28"/>
      <c r="P2172" s="29"/>
      <c r="S2172" s="24"/>
    </row>
    <row r="2173" ht="15.75" hidden="1" customHeight="1">
      <c r="F2173" s="29"/>
      <c r="I2173" s="24"/>
      <c r="K2173" s="28"/>
      <c r="P2173" s="29"/>
      <c r="S2173" s="24"/>
    </row>
    <row r="2174" ht="15.75" hidden="1" customHeight="1">
      <c r="F2174" s="29"/>
      <c r="I2174" s="24"/>
      <c r="K2174" s="28"/>
      <c r="P2174" s="29"/>
      <c r="S2174" s="24"/>
    </row>
    <row r="2175" ht="15.75" hidden="1" customHeight="1">
      <c r="F2175" s="29"/>
      <c r="I2175" s="24"/>
      <c r="K2175" s="28"/>
      <c r="P2175" s="29"/>
      <c r="S2175" s="24"/>
    </row>
    <row r="2176" ht="15.75" hidden="1" customHeight="1">
      <c r="F2176" s="29"/>
      <c r="I2176" s="24"/>
      <c r="K2176" s="28"/>
      <c r="P2176" s="29"/>
      <c r="S2176" s="24"/>
    </row>
    <row r="2177" ht="15.75" hidden="1" customHeight="1">
      <c r="F2177" s="29"/>
      <c r="I2177" s="24"/>
      <c r="K2177" s="28"/>
      <c r="P2177" s="29"/>
      <c r="S2177" s="24"/>
    </row>
    <row r="2178" ht="15.75" hidden="1" customHeight="1">
      <c r="F2178" s="29"/>
      <c r="I2178" s="24"/>
      <c r="K2178" s="28"/>
      <c r="P2178" s="29"/>
      <c r="S2178" s="24"/>
    </row>
    <row r="2179" ht="15.75" hidden="1" customHeight="1">
      <c r="F2179" s="29"/>
      <c r="I2179" s="24"/>
      <c r="K2179" s="28"/>
      <c r="P2179" s="29"/>
      <c r="S2179" s="24"/>
    </row>
    <row r="2180" ht="15.75" hidden="1" customHeight="1">
      <c r="F2180" s="29"/>
      <c r="I2180" s="24"/>
      <c r="K2180" s="28"/>
      <c r="P2180" s="29"/>
      <c r="S2180" s="24"/>
    </row>
    <row r="2181" ht="15.75" hidden="1" customHeight="1">
      <c r="F2181" s="29"/>
      <c r="I2181" s="24"/>
      <c r="K2181" s="28"/>
      <c r="P2181" s="29"/>
      <c r="S2181" s="24"/>
    </row>
    <row r="2182" ht="15.75" hidden="1" customHeight="1">
      <c r="F2182" s="29"/>
      <c r="I2182" s="24"/>
      <c r="K2182" s="28"/>
      <c r="P2182" s="29"/>
      <c r="S2182" s="24"/>
    </row>
    <row r="2183" ht="15.75" hidden="1" customHeight="1">
      <c r="F2183" s="29"/>
      <c r="I2183" s="24"/>
      <c r="K2183" s="28"/>
      <c r="P2183" s="29"/>
      <c r="S2183" s="24"/>
    </row>
    <row r="2184" ht="15.75" hidden="1" customHeight="1">
      <c r="F2184" s="29"/>
      <c r="I2184" s="24"/>
      <c r="K2184" s="28"/>
      <c r="P2184" s="29"/>
      <c r="S2184" s="24"/>
    </row>
    <row r="2185" ht="15.75" hidden="1" customHeight="1">
      <c r="F2185" s="29"/>
      <c r="I2185" s="24"/>
      <c r="K2185" s="28"/>
      <c r="P2185" s="29"/>
      <c r="S2185" s="24"/>
    </row>
    <row r="2186" ht="15.75" hidden="1" customHeight="1">
      <c r="F2186" s="29"/>
      <c r="I2186" s="24"/>
      <c r="K2186" s="28"/>
      <c r="P2186" s="29"/>
      <c r="S2186" s="24"/>
    </row>
    <row r="2187" ht="15.75" hidden="1" customHeight="1">
      <c r="F2187" s="29"/>
      <c r="I2187" s="24"/>
      <c r="K2187" s="28"/>
      <c r="P2187" s="29"/>
      <c r="S2187" s="24"/>
    </row>
    <row r="2188" ht="15.75" hidden="1" customHeight="1">
      <c r="F2188" s="29"/>
      <c r="I2188" s="24"/>
      <c r="K2188" s="28"/>
      <c r="P2188" s="29"/>
      <c r="S2188" s="24"/>
    </row>
    <row r="2189" ht="15.75" hidden="1" customHeight="1">
      <c r="F2189" s="29"/>
      <c r="I2189" s="24"/>
      <c r="K2189" s="28"/>
      <c r="P2189" s="29"/>
      <c r="S2189" s="24"/>
    </row>
    <row r="2190" ht="15.75" hidden="1" customHeight="1">
      <c r="F2190" s="29"/>
      <c r="I2190" s="24"/>
      <c r="K2190" s="28"/>
      <c r="P2190" s="29"/>
      <c r="S2190" s="24"/>
    </row>
    <row r="2191" ht="15.75" hidden="1" customHeight="1">
      <c r="F2191" s="29"/>
      <c r="I2191" s="24"/>
      <c r="K2191" s="28"/>
      <c r="P2191" s="29"/>
      <c r="S2191" s="24"/>
    </row>
    <row r="2192" ht="15.75" hidden="1" customHeight="1">
      <c r="F2192" s="29"/>
      <c r="I2192" s="24"/>
      <c r="K2192" s="28"/>
      <c r="P2192" s="29"/>
      <c r="S2192" s="24"/>
    </row>
    <row r="2193" ht="15.75" hidden="1" customHeight="1">
      <c r="F2193" s="29"/>
      <c r="I2193" s="24"/>
      <c r="K2193" s="28"/>
      <c r="P2193" s="29"/>
      <c r="S2193" s="24"/>
    </row>
    <row r="2194" ht="15.75" hidden="1" customHeight="1">
      <c r="F2194" s="29"/>
      <c r="I2194" s="24"/>
      <c r="K2194" s="28"/>
      <c r="P2194" s="29"/>
      <c r="S2194" s="24"/>
    </row>
    <row r="2195" ht="15.75" hidden="1" customHeight="1">
      <c r="F2195" s="29"/>
      <c r="I2195" s="24"/>
      <c r="K2195" s="28"/>
      <c r="P2195" s="29"/>
      <c r="S2195" s="24"/>
    </row>
    <row r="2196" ht="15.75" hidden="1" customHeight="1">
      <c r="F2196" s="29"/>
      <c r="I2196" s="24"/>
      <c r="K2196" s="28"/>
      <c r="P2196" s="29"/>
      <c r="S2196" s="24"/>
    </row>
    <row r="2197" ht="15.75" hidden="1" customHeight="1">
      <c r="F2197" s="29"/>
      <c r="I2197" s="24"/>
      <c r="K2197" s="28"/>
      <c r="P2197" s="29"/>
      <c r="S2197" s="24"/>
    </row>
    <row r="2198" ht="15.75" hidden="1" customHeight="1">
      <c r="F2198" s="29"/>
      <c r="I2198" s="24"/>
      <c r="K2198" s="28"/>
      <c r="P2198" s="29"/>
      <c r="S2198" s="24"/>
    </row>
    <row r="2199" ht="15.75" hidden="1" customHeight="1">
      <c r="F2199" s="29"/>
      <c r="I2199" s="24"/>
      <c r="K2199" s="28"/>
      <c r="P2199" s="29"/>
      <c r="S2199" s="24"/>
    </row>
    <row r="2200" ht="15.75" hidden="1" customHeight="1">
      <c r="F2200" s="29"/>
      <c r="I2200" s="24"/>
      <c r="K2200" s="28"/>
      <c r="P2200" s="29"/>
      <c r="S2200" s="24"/>
    </row>
    <row r="2201" ht="15.75" hidden="1" customHeight="1">
      <c r="F2201" s="29"/>
      <c r="I2201" s="24"/>
      <c r="K2201" s="28"/>
      <c r="P2201" s="29"/>
      <c r="S2201" s="24"/>
    </row>
    <row r="2202" ht="15.75" hidden="1" customHeight="1">
      <c r="F2202" s="29"/>
      <c r="I2202" s="24"/>
      <c r="K2202" s="28"/>
      <c r="P2202" s="29"/>
      <c r="S2202" s="24"/>
    </row>
    <row r="2203" ht="15.75" hidden="1" customHeight="1">
      <c r="F2203" s="29"/>
      <c r="I2203" s="24"/>
      <c r="K2203" s="28"/>
      <c r="P2203" s="29"/>
      <c r="S2203" s="24"/>
    </row>
    <row r="2204" ht="15.75" hidden="1" customHeight="1">
      <c r="F2204" s="29"/>
      <c r="I2204" s="24"/>
      <c r="K2204" s="28"/>
      <c r="P2204" s="29"/>
      <c r="S2204" s="24"/>
    </row>
    <row r="2205" ht="15.75" hidden="1" customHeight="1">
      <c r="F2205" s="29"/>
      <c r="I2205" s="24"/>
      <c r="K2205" s="28"/>
      <c r="P2205" s="29"/>
      <c r="S2205" s="24"/>
    </row>
    <row r="2206" ht="15.75" hidden="1" customHeight="1">
      <c r="F2206" s="29"/>
      <c r="I2206" s="24"/>
      <c r="K2206" s="28"/>
      <c r="P2206" s="29"/>
      <c r="S2206" s="24"/>
    </row>
    <row r="2207" ht="15.75" hidden="1" customHeight="1">
      <c r="F2207" s="29"/>
      <c r="I2207" s="24"/>
      <c r="K2207" s="28"/>
      <c r="P2207" s="29"/>
      <c r="S2207" s="24"/>
    </row>
    <row r="2208" ht="15.75" hidden="1" customHeight="1">
      <c r="F2208" s="29"/>
      <c r="I2208" s="24"/>
      <c r="K2208" s="28"/>
      <c r="P2208" s="29"/>
      <c r="S2208" s="24"/>
    </row>
    <row r="2209" ht="15.75" hidden="1" customHeight="1">
      <c r="F2209" s="29"/>
      <c r="I2209" s="24"/>
      <c r="K2209" s="28"/>
      <c r="P2209" s="29"/>
      <c r="S2209" s="24"/>
    </row>
    <row r="2210" ht="15.75" hidden="1" customHeight="1">
      <c r="F2210" s="29"/>
      <c r="I2210" s="24"/>
      <c r="K2210" s="28"/>
      <c r="P2210" s="29"/>
      <c r="S2210" s="24"/>
    </row>
    <row r="2211" ht="15.75" hidden="1" customHeight="1">
      <c r="F2211" s="29"/>
      <c r="I2211" s="24"/>
      <c r="K2211" s="28"/>
      <c r="P2211" s="29"/>
      <c r="S2211" s="24"/>
    </row>
    <row r="2212" ht="15.75" hidden="1" customHeight="1">
      <c r="F2212" s="29"/>
      <c r="I2212" s="24"/>
      <c r="K2212" s="28"/>
      <c r="P2212" s="29"/>
      <c r="S2212" s="24"/>
    </row>
    <row r="2213" ht="15.75" hidden="1" customHeight="1">
      <c r="F2213" s="29"/>
      <c r="I2213" s="24"/>
      <c r="K2213" s="28"/>
      <c r="P2213" s="29"/>
      <c r="S2213" s="24"/>
    </row>
    <row r="2214" ht="15.75" hidden="1" customHeight="1">
      <c r="F2214" s="29"/>
      <c r="I2214" s="24"/>
      <c r="K2214" s="28"/>
      <c r="P2214" s="29"/>
      <c r="S2214" s="24"/>
    </row>
    <row r="2215" ht="15.75" hidden="1" customHeight="1">
      <c r="F2215" s="29"/>
      <c r="I2215" s="24"/>
      <c r="K2215" s="28"/>
      <c r="P2215" s="29"/>
      <c r="S2215" s="24"/>
    </row>
    <row r="2216" ht="15.75" hidden="1" customHeight="1">
      <c r="F2216" s="29"/>
      <c r="I2216" s="24"/>
      <c r="K2216" s="28"/>
      <c r="P2216" s="29"/>
      <c r="S2216" s="24"/>
    </row>
    <row r="2217" ht="15.75" hidden="1" customHeight="1">
      <c r="F2217" s="29"/>
      <c r="I2217" s="24"/>
      <c r="K2217" s="28"/>
      <c r="P2217" s="29"/>
      <c r="S2217" s="24"/>
    </row>
    <row r="2218" ht="15.75" hidden="1" customHeight="1">
      <c r="F2218" s="29"/>
      <c r="I2218" s="24"/>
      <c r="K2218" s="28"/>
      <c r="P2218" s="29"/>
      <c r="S2218" s="24"/>
    </row>
    <row r="2219" ht="15.75" hidden="1" customHeight="1">
      <c r="F2219" s="29"/>
      <c r="I2219" s="24"/>
      <c r="K2219" s="28"/>
      <c r="P2219" s="29"/>
      <c r="S2219" s="24"/>
    </row>
    <row r="2220" ht="15.75" hidden="1" customHeight="1">
      <c r="F2220" s="29"/>
      <c r="I2220" s="24"/>
      <c r="K2220" s="28"/>
      <c r="P2220" s="29"/>
      <c r="S2220" s="24"/>
    </row>
    <row r="2221" ht="15.75" hidden="1" customHeight="1">
      <c r="F2221" s="29"/>
      <c r="I2221" s="24"/>
      <c r="K2221" s="28"/>
      <c r="P2221" s="29"/>
      <c r="S2221" s="24"/>
    </row>
    <row r="2222" ht="15.75" hidden="1" customHeight="1">
      <c r="F2222" s="29"/>
      <c r="I2222" s="24"/>
      <c r="K2222" s="28"/>
      <c r="P2222" s="29"/>
      <c r="S2222" s="24"/>
    </row>
    <row r="2223" ht="15.75" hidden="1" customHeight="1">
      <c r="F2223" s="29"/>
      <c r="I2223" s="24"/>
      <c r="K2223" s="28"/>
      <c r="P2223" s="29"/>
      <c r="S2223" s="24"/>
    </row>
    <row r="2224" ht="15.75" hidden="1" customHeight="1">
      <c r="F2224" s="29"/>
      <c r="I2224" s="24"/>
      <c r="K2224" s="28"/>
      <c r="P2224" s="29"/>
      <c r="S2224" s="24"/>
    </row>
    <row r="2225" ht="15.75" hidden="1" customHeight="1">
      <c r="F2225" s="29"/>
      <c r="I2225" s="24"/>
      <c r="K2225" s="28"/>
      <c r="P2225" s="29"/>
      <c r="S2225" s="24"/>
    </row>
    <row r="2226" ht="15.75" hidden="1" customHeight="1">
      <c r="F2226" s="29"/>
      <c r="I2226" s="24"/>
      <c r="K2226" s="28"/>
      <c r="P2226" s="29"/>
      <c r="S2226" s="24"/>
    </row>
    <row r="2227" ht="15.75" hidden="1" customHeight="1">
      <c r="F2227" s="29"/>
      <c r="I2227" s="24"/>
      <c r="K2227" s="28"/>
      <c r="P2227" s="29"/>
      <c r="S2227" s="24"/>
    </row>
    <row r="2228" ht="15.75" hidden="1" customHeight="1">
      <c r="F2228" s="29"/>
      <c r="I2228" s="24"/>
      <c r="K2228" s="28"/>
      <c r="P2228" s="29"/>
      <c r="S2228" s="24"/>
    </row>
    <row r="2229" ht="15.75" hidden="1" customHeight="1">
      <c r="F2229" s="29"/>
      <c r="I2229" s="24"/>
      <c r="K2229" s="28"/>
      <c r="P2229" s="29"/>
      <c r="S2229" s="24"/>
    </row>
    <row r="2230" ht="15.75" hidden="1" customHeight="1">
      <c r="F2230" s="29"/>
      <c r="I2230" s="24"/>
      <c r="K2230" s="28"/>
      <c r="P2230" s="29"/>
      <c r="S2230" s="24"/>
    </row>
    <row r="2231" ht="15.75" hidden="1" customHeight="1">
      <c r="F2231" s="29"/>
      <c r="I2231" s="24"/>
      <c r="K2231" s="28"/>
      <c r="P2231" s="29"/>
      <c r="S2231" s="24"/>
    </row>
    <row r="2232" ht="15.75" hidden="1" customHeight="1">
      <c r="F2232" s="29"/>
      <c r="I2232" s="24"/>
      <c r="K2232" s="28"/>
      <c r="P2232" s="29"/>
      <c r="S2232" s="24"/>
    </row>
    <row r="2233" ht="15.75" hidden="1" customHeight="1">
      <c r="F2233" s="29"/>
      <c r="I2233" s="24"/>
      <c r="K2233" s="28"/>
      <c r="P2233" s="29"/>
      <c r="S2233" s="24"/>
    </row>
    <row r="2234" ht="15.75" hidden="1" customHeight="1">
      <c r="F2234" s="29"/>
      <c r="I2234" s="24"/>
      <c r="K2234" s="28"/>
      <c r="P2234" s="29"/>
      <c r="S2234" s="24"/>
    </row>
    <row r="2235" ht="15.75" hidden="1" customHeight="1">
      <c r="F2235" s="29"/>
      <c r="I2235" s="24"/>
      <c r="K2235" s="28"/>
      <c r="P2235" s="29"/>
      <c r="S2235" s="24"/>
    </row>
    <row r="2236" ht="15.75" hidden="1" customHeight="1">
      <c r="F2236" s="29"/>
      <c r="I2236" s="24"/>
      <c r="K2236" s="28"/>
      <c r="P2236" s="29"/>
      <c r="S2236" s="24"/>
    </row>
    <row r="2237" ht="15.75" hidden="1" customHeight="1">
      <c r="F2237" s="29"/>
      <c r="I2237" s="24"/>
      <c r="K2237" s="28"/>
      <c r="P2237" s="29"/>
      <c r="S2237" s="24"/>
    </row>
    <row r="2238" ht="15.75" hidden="1" customHeight="1">
      <c r="F2238" s="29"/>
      <c r="I2238" s="24"/>
      <c r="K2238" s="28"/>
      <c r="P2238" s="29"/>
      <c r="S2238" s="24"/>
    </row>
    <row r="2239" ht="15.75" hidden="1" customHeight="1">
      <c r="F2239" s="29"/>
      <c r="I2239" s="24"/>
      <c r="K2239" s="28"/>
      <c r="P2239" s="29"/>
      <c r="S2239" s="24"/>
    </row>
    <row r="2240" ht="15.75" hidden="1" customHeight="1">
      <c r="F2240" s="29"/>
      <c r="I2240" s="24"/>
      <c r="K2240" s="28"/>
      <c r="P2240" s="29"/>
      <c r="S2240" s="24"/>
    </row>
    <row r="2241" ht="15.75" hidden="1" customHeight="1">
      <c r="F2241" s="29"/>
      <c r="I2241" s="24"/>
      <c r="K2241" s="28"/>
      <c r="P2241" s="29"/>
      <c r="S2241" s="24"/>
    </row>
    <row r="2242" ht="15.75" hidden="1" customHeight="1">
      <c r="F2242" s="29"/>
      <c r="I2242" s="24"/>
      <c r="K2242" s="28"/>
      <c r="P2242" s="29"/>
      <c r="S2242" s="24"/>
    </row>
    <row r="2243" ht="15.75" hidden="1" customHeight="1">
      <c r="F2243" s="29"/>
      <c r="I2243" s="24"/>
      <c r="K2243" s="28"/>
      <c r="P2243" s="29"/>
      <c r="S2243" s="24"/>
    </row>
    <row r="2244" ht="15.75" hidden="1" customHeight="1">
      <c r="F2244" s="29"/>
      <c r="I2244" s="24"/>
      <c r="K2244" s="28"/>
      <c r="P2244" s="29"/>
      <c r="S2244" s="24"/>
    </row>
    <row r="2245" ht="15.75" hidden="1" customHeight="1">
      <c r="F2245" s="29"/>
      <c r="I2245" s="24"/>
      <c r="K2245" s="28"/>
      <c r="P2245" s="29"/>
      <c r="S2245" s="24"/>
    </row>
    <row r="2246" ht="15.75" hidden="1" customHeight="1">
      <c r="F2246" s="29"/>
      <c r="I2246" s="24"/>
      <c r="K2246" s="28"/>
      <c r="P2246" s="29"/>
      <c r="S2246" s="24"/>
    </row>
    <row r="2247" ht="15.75" hidden="1" customHeight="1">
      <c r="F2247" s="29"/>
      <c r="I2247" s="24"/>
      <c r="K2247" s="28"/>
      <c r="P2247" s="29"/>
      <c r="S2247" s="24"/>
    </row>
    <row r="2248" ht="15.75" hidden="1" customHeight="1">
      <c r="F2248" s="29"/>
      <c r="I2248" s="24"/>
      <c r="K2248" s="28"/>
      <c r="P2248" s="29"/>
      <c r="S2248" s="24"/>
    </row>
    <row r="2249" ht="15.75" hidden="1" customHeight="1">
      <c r="F2249" s="29"/>
      <c r="I2249" s="24"/>
      <c r="K2249" s="28"/>
      <c r="P2249" s="29"/>
      <c r="S2249" s="24"/>
    </row>
    <row r="2250" ht="15.75" hidden="1" customHeight="1">
      <c r="F2250" s="29"/>
      <c r="I2250" s="24"/>
      <c r="K2250" s="28"/>
      <c r="P2250" s="29"/>
      <c r="S2250" s="24"/>
    </row>
    <row r="2251" ht="15.75" hidden="1" customHeight="1">
      <c r="F2251" s="29"/>
      <c r="I2251" s="24"/>
      <c r="K2251" s="28"/>
      <c r="P2251" s="29"/>
      <c r="S2251" s="24"/>
    </row>
    <row r="2252" ht="15.75" hidden="1" customHeight="1">
      <c r="F2252" s="29"/>
      <c r="I2252" s="24"/>
      <c r="K2252" s="28"/>
      <c r="P2252" s="29"/>
      <c r="S2252" s="24"/>
    </row>
    <row r="2253" ht="15.75" hidden="1" customHeight="1">
      <c r="F2253" s="29"/>
      <c r="I2253" s="24"/>
      <c r="K2253" s="28"/>
      <c r="P2253" s="29"/>
      <c r="S2253" s="24"/>
    </row>
    <row r="2254" ht="15.75" hidden="1" customHeight="1">
      <c r="F2254" s="29"/>
      <c r="I2254" s="24"/>
      <c r="K2254" s="28"/>
      <c r="P2254" s="29"/>
      <c r="S2254" s="24"/>
    </row>
    <row r="2255" ht="15.75" hidden="1" customHeight="1">
      <c r="F2255" s="29"/>
      <c r="I2255" s="24"/>
      <c r="K2255" s="28"/>
      <c r="P2255" s="29"/>
      <c r="S2255" s="24"/>
    </row>
    <row r="2256" ht="15.75" hidden="1" customHeight="1">
      <c r="F2256" s="29"/>
      <c r="I2256" s="24"/>
      <c r="K2256" s="28"/>
      <c r="P2256" s="29"/>
      <c r="S2256" s="24"/>
    </row>
    <row r="2257" ht="15.75" hidden="1" customHeight="1">
      <c r="F2257" s="29"/>
      <c r="I2257" s="24"/>
      <c r="K2257" s="28"/>
      <c r="P2257" s="29"/>
      <c r="S2257" s="24"/>
    </row>
    <row r="2258" ht="15.75" hidden="1" customHeight="1">
      <c r="F2258" s="29"/>
      <c r="I2258" s="24"/>
      <c r="K2258" s="28"/>
      <c r="P2258" s="29"/>
      <c r="S2258" s="24"/>
    </row>
    <row r="2259" ht="15.75" hidden="1" customHeight="1">
      <c r="F2259" s="29"/>
      <c r="I2259" s="24"/>
      <c r="K2259" s="28"/>
      <c r="P2259" s="29"/>
      <c r="S2259" s="24"/>
    </row>
    <row r="2260" ht="15.75" hidden="1" customHeight="1">
      <c r="F2260" s="29"/>
      <c r="I2260" s="24"/>
      <c r="K2260" s="28"/>
      <c r="P2260" s="29"/>
      <c r="S2260" s="24"/>
    </row>
    <row r="2261" ht="15.75" hidden="1" customHeight="1">
      <c r="F2261" s="29"/>
      <c r="I2261" s="24"/>
      <c r="K2261" s="28"/>
      <c r="P2261" s="29"/>
      <c r="S2261" s="24"/>
    </row>
    <row r="2262" ht="15.75" hidden="1" customHeight="1">
      <c r="F2262" s="29"/>
      <c r="I2262" s="24"/>
      <c r="K2262" s="28"/>
      <c r="P2262" s="29"/>
      <c r="S2262" s="24"/>
    </row>
    <row r="2263" ht="15.75" hidden="1" customHeight="1">
      <c r="F2263" s="29"/>
      <c r="I2263" s="24"/>
      <c r="K2263" s="28"/>
      <c r="P2263" s="29"/>
      <c r="S2263" s="24"/>
    </row>
    <row r="2264" ht="15.75" hidden="1" customHeight="1">
      <c r="F2264" s="29"/>
      <c r="I2264" s="24"/>
      <c r="K2264" s="28"/>
      <c r="P2264" s="29"/>
      <c r="S2264" s="24"/>
    </row>
    <row r="2265" ht="15.75" hidden="1" customHeight="1">
      <c r="F2265" s="29"/>
      <c r="I2265" s="24"/>
      <c r="K2265" s="28"/>
      <c r="P2265" s="29"/>
      <c r="S2265" s="24"/>
    </row>
    <row r="2266" ht="15.75" hidden="1" customHeight="1">
      <c r="F2266" s="29"/>
      <c r="I2266" s="24"/>
      <c r="K2266" s="28"/>
      <c r="P2266" s="29"/>
      <c r="S2266" s="24"/>
    </row>
    <row r="2267" ht="15.75" hidden="1" customHeight="1">
      <c r="F2267" s="29"/>
      <c r="I2267" s="24"/>
      <c r="K2267" s="28"/>
      <c r="P2267" s="29"/>
      <c r="S2267" s="24"/>
    </row>
    <row r="2268" ht="15.75" hidden="1" customHeight="1">
      <c r="F2268" s="29"/>
      <c r="I2268" s="24"/>
      <c r="K2268" s="28"/>
      <c r="P2268" s="29"/>
      <c r="S2268" s="24"/>
    </row>
    <row r="2269" ht="15.75" hidden="1" customHeight="1">
      <c r="F2269" s="29"/>
      <c r="I2269" s="24"/>
      <c r="K2269" s="28"/>
      <c r="P2269" s="29"/>
      <c r="S2269" s="24"/>
    </row>
    <row r="2270" ht="15.75" hidden="1" customHeight="1">
      <c r="F2270" s="29"/>
      <c r="I2270" s="24"/>
      <c r="K2270" s="28"/>
      <c r="P2270" s="29"/>
      <c r="S2270" s="24"/>
    </row>
    <row r="2271" ht="15.75" hidden="1" customHeight="1">
      <c r="F2271" s="29"/>
      <c r="I2271" s="24"/>
      <c r="K2271" s="28"/>
      <c r="P2271" s="29"/>
      <c r="S2271" s="24"/>
    </row>
    <row r="2272" ht="15.75" hidden="1" customHeight="1">
      <c r="F2272" s="29"/>
      <c r="I2272" s="24"/>
      <c r="K2272" s="28"/>
      <c r="P2272" s="29"/>
      <c r="S2272" s="24"/>
    </row>
    <row r="2273" ht="15.75" hidden="1" customHeight="1">
      <c r="F2273" s="29"/>
      <c r="I2273" s="24"/>
      <c r="K2273" s="28"/>
      <c r="P2273" s="29"/>
      <c r="S2273" s="24"/>
    </row>
    <row r="2274" ht="15.75" hidden="1" customHeight="1">
      <c r="F2274" s="29"/>
      <c r="I2274" s="24"/>
      <c r="K2274" s="28"/>
      <c r="P2274" s="29"/>
      <c r="S2274" s="24"/>
    </row>
    <row r="2275" ht="15.75" hidden="1" customHeight="1">
      <c r="F2275" s="29"/>
      <c r="I2275" s="24"/>
      <c r="K2275" s="28"/>
      <c r="P2275" s="29"/>
      <c r="S2275" s="24"/>
    </row>
    <row r="2276" ht="15.75" hidden="1" customHeight="1">
      <c r="F2276" s="29"/>
      <c r="I2276" s="24"/>
      <c r="K2276" s="28"/>
      <c r="P2276" s="29"/>
      <c r="S2276" s="24"/>
    </row>
    <row r="2277" ht="15.75" hidden="1" customHeight="1">
      <c r="F2277" s="29"/>
      <c r="I2277" s="24"/>
      <c r="K2277" s="28"/>
      <c r="P2277" s="29"/>
      <c r="S2277" s="24"/>
    </row>
    <row r="2278" ht="15.75" hidden="1" customHeight="1">
      <c r="F2278" s="29"/>
      <c r="I2278" s="24"/>
      <c r="K2278" s="28"/>
      <c r="P2278" s="29"/>
      <c r="S2278" s="24"/>
    </row>
    <row r="2279" ht="15.75" hidden="1" customHeight="1">
      <c r="F2279" s="29"/>
      <c r="I2279" s="24"/>
      <c r="K2279" s="28"/>
      <c r="P2279" s="29"/>
      <c r="S2279" s="24"/>
    </row>
    <row r="2280" ht="15.75" hidden="1" customHeight="1">
      <c r="F2280" s="29"/>
      <c r="I2280" s="24"/>
      <c r="K2280" s="28"/>
      <c r="P2280" s="29"/>
      <c r="S2280" s="24"/>
    </row>
    <row r="2281" ht="15.75" hidden="1" customHeight="1">
      <c r="F2281" s="29"/>
      <c r="I2281" s="24"/>
      <c r="K2281" s="28"/>
      <c r="P2281" s="29"/>
      <c r="S2281" s="24"/>
    </row>
    <row r="2282" ht="15.75" hidden="1" customHeight="1">
      <c r="F2282" s="29"/>
      <c r="I2282" s="24"/>
      <c r="K2282" s="28"/>
      <c r="P2282" s="29"/>
      <c r="S2282" s="24"/>
    </row>
    <row r="2283" ht="15.75" hidden="1" customHeight="1">
      <c r="F2283" s="29"/>
      <c r="I2283" s="24"/>
      <c r="K2283" s="28"/>
      <c r="P2283" s="29"/>
      <c r="S2283" s="24"/>
    </row>
    <row r="2284" ht="15.75" hidden="1" customHeight="1">
      <c r="F2284" s="29"/>
      <c r="I2284" s="24"/>
      <c r="K2284" s="28"/>
      <c r="P2284" s="29"/>
      <c r="S2284" s="24"/>
    </row>
    <row r="2285" ht="15.75" hidden="1" customHeight="1">
      <c r="F2285" s="29"/>
      <c r="I2285" s="24"/>
      <c r="K2285" s="28"/>
      <c r="P2285" s="29"/>
      <c r="S2285" s="24"/>
    </row>
    <row r="2286" ht="15.75" hidden="1" customHeight="1">
      <c r="F2286" s="29"/>
      <c r="I2286" s="24"/>
      <c r="K2286" s="28"/>
      <c r="P2286" s="29"/>
      <c r="S2286" s="24"/>
    </row>
    <row r="2287" ht="15.75" hidden="1" customHeight="1">
      <c r="F2287" s="29"/>
      <c r="I2287" s="24"/>
      <c r="K2287" s="28"/>
      <c r="P2287" s="29"/>
      <c r="S2287" s="24"/>
    </row>
    <row r="2288" ht="15.75" hidden="1" customHeight="1">
      <c r="F2288" s="29"/>
      <c r="I2288" s="24"/>
      <c r="K2288" s="28"/>
      <c r="P2288" s="29"/>
      <c r="S2288" s="24"/>
    </row>
    <row r="2289" ht="15.75" hidden="1" customHeight="1">
      <c r="F2289" s="29"/>
      <c r="I2289" s="24"/>
      <c r="K2289" s="28"/>
      <c r="P2289" s="29"/>
      <c r="S2289" s="24"/>
    </row>
    <row r="2290" ht="15.75" hidden="1" customHeight="1">
      <c r="F2290" s="29"/>
      <c r="I2290" s="24"/>
      <c r="K2290" s="28"/>
      <c r="P2290" s="29"/>
      <c r="S2290" s="24"/>
    </row>
    <row r="2291" ht="15.75" hidden="1" customHeight="1">
      <c r="F2291" s="29"/>
      <c r="I2291" s="24"/>
      <c r="K2291" s="28"/>
      <c r="P2291" s="29"/>
      <c r="S2291" s="24"/>
    </row>
    <row r="2292" ht="15.75" hidden="1" customHeight="1">
      <c r="F2292" s="29"/>
      <c r="I2292" s="24"/>
      <c r="K2292" s="28"/>
      <c r="P2292" s="29"/>
      <c r="S2292" s="24"/>
    </row>
    <row r="2293" ht="15.75" hidden="1" customHeight="1">
      <c r="F2293" s="29"/>
      <c r="I2293" s="24"/>
      <c r="K2293" s="28"/>
      <c r="P2293" s="29"/>
      <c r="S2293" s="24"/>
    </row>
    <row r="2294" ht="15.75" hidden="1" customHeight="1">
      <c r="F2294" s="29"/>
      <c r="I2294" s="24"/>
      <c r="K2294" s="28"/>
      <c r="P2294" s="29"/>
      <c r="S2294" s="24"/>
    </row>
    <row r="2295" ht="15.75" hidden="1" customHeight="1">
      <c r="F2295" s="29"/>
      <c r="I2295" s="24"/>
      <c r="K2295" s="28"/>
      <c r="P2295" s="29"/>
      <c r="S2295" s="24"/>
    </row>
    <row r="2296" ht="15.75" hidden="1" customHeight="1">
      <c r="F2296" s="29"/>
      <c r="I2296" s="24"/>
      <c r="K2296" s="28"/>
      <c r="P2296" s="29"/>
      <c r="S2296" s="24"/>
    </row>
    <row r="2297" ht="15.75" hidden="1" customHeight="1">
      <c r="F2297" s="29"/>
      <c r="I2297" s="24"/>
      <c r="K2297" s="28"/>
      <c r="P2297" s="29"/>
      <c r="S2297" s="24"/>
    </row>
    <row r="2298" ht="15.75" hidden="1" customHeight="1">
      <c r="F2298" s="29"/>
      <c r="I2298" s="24"/>
      <c r="K2298" s="28"/>
      <c r="P2298" s="29"/>
      <c r="S2298" s="24"/>
    </row>
    <row r="2299" ht="15.75" hidden="1" customHeight="1">
      <c r="F2299" s="29"/>
      <c r="I2299" s="24"/>
      <c r="K2299" s="28"/>
      <c r="P2299" s="29"/>
      <c r="S2299" s="24"/>
    </row>
    <row r="2300" ht="15.75" hidden="1" customHeight="1">
      <c r="F2300" s="29"/>
      <c r="I2300" s="24"/>
      <c r="K2300" s="28"/>
      <c r="P2300" s="29"/>
      <c r="S2300" s="24"/>
    </row>
    <row r="2301" ht="15.75" hidden="1" customHeight="1">
      <c r="F2301" s="29"/>
      <c r="I2301" s="24"/>
      <c r="K2301" s="28"/>
      <c r="P2301" s="29"/>
      <c r="S2301" s="24"/>
    </row>
    <row r="2302" ht="15.75" hidden="1" customHeight="1">
      <c r="F2302" s="29"/>
      <c r="I2302" s="24"/>
      <c r="K2302" s="28"/>
      <c r="P2302" s="29"/>
      <c r="S2302" s="24"/>
    </row>
    <row r="2303" ht="15.75" hidden="1" customHeight="1">
      <c r="F2303" s="29"/>
      <c r="I2303" s="24"/>
      <c r="K2303" s="28"/>
      <c r="P2303" s="29"/>
      <c r="S2303" s="24"/>
    </row>
    <row r="2304" ht="15.75" hidden="1" customHeight="1">
      <c r="F2304" s="29"/>
      <c r="I2304" s="24"/>
      <c r="K2304" s="28"/>
      <c r="P2304" s="29"/>
      <c r="S2304" s="24"/>
    </row>
    <row r="2305" ht="15.75" hidden="1" customHeight="1">
      <c r="F2305" s="29"/>
      <c r="I2305" s="24"/>
      <c r="K2305" s="28"/>
      <c r="P2305" s="29"/>
      <c r="S2305" s="24"/>
    </row>
    <row r="2306" ht="15.75" hidden="1" customHeight="1">
      <c r="F2306" s="29"/>
      <c r="I2306" s="24"/>
      <c r="K2306" s="28"/>
      <c r="P2306" s="29"/>
      <c r="S2306" s="24"/>
    </row>
    <row r="2307" ht="15.75" hidden="1" customHeight="1">
      <c r="F2307" s="29"/>
      <c r="I2307" s="24"/>
      <c r="K2307" s="28"/>
      <c r="P2307" s="29"/>
      <c r="S2307" s="24"/>
    </row>
    <row r="2308" ht="15.75" hidden="1" customHeight="1">
      <c r="F2308" s="29"/>
      <c r="I2308" s="24"/>
      <c r="K2308" s="28"/>
      <c r="P2308" s="29"/>
      <c r="S2308" s="24"/>
    </row>
    <row r="2309" ht="15.75" hidden="1" customHeight="1">
      <c r="F2309" s="29"/>
      <c r="I2309" s="24"/>
      <c r="K2309" s="28"/>
      <c r="P2309" s="29"/>
      <c r="S2309" s="24"/>
    </row>
    <row r="2310" ht="15.75" hidden="1" customHeight="1">
      <c r="F2310" s="29"/>
      <c r="I2310" s="24"/>
      <c r="K2310" s="28"/>
      <c r="P2310" s="29"/>
      <c r="S2310" s="24"/>
    </row>
    <row r="2311" ht="15.75" hidden="1" customHeight="1">
      <c r="F2311" s="29"/>
      <c r="I2311" s="24"/>
      <c r="K2311" s="28"/>
      <c r="P2311" s="29"/>
      <c r="S2311" s="24"/>
    </row>
    <row r="2312" ht="15.75" hidden="1" customHeight="1">
      <c r="F2312" s="29"/>
      <c r="I2312" s="24"/>
      <c r="K2312" s="28"/>
      <c r="P2312" s="29"/>
      <c r="S2312" s="24"/>
    </row>
    <row r="2313" ht="15.75" hidden="1" customHeight="1">
      <c r="F2313" s="29"/>
      <c r="I2313" s="24"/>
      <c r="K2313" s="28"/>
      <c r="P2313" s="29"/>
      <c r="S2313" s="24"/>
    </row>
    <row r="2314" ht="15.75" hidden="1" customHeight="1">
      <c r="F2314" s="29"/>
      <c r="I2314" s="24"/>
      <c r="K2314" s="28"/>
      <c r="P2314" s="29"/>
      <c r="S2314" s="24"/>
    </row>
    <row r="2315" ht="15.75" hidden="1" customHeight="1">
      <c r="F2315" s="29"/>
      <c r="I2315" s="24"/>
      <c r="K2315" s="28"/>
      <c r="P2315" s="29"/>
      <c r="S2315" s="24"/>
    </row>
    <row r="2316" ht="15.75" hidden="1" customHeight="1">
      <c r="F2316" s="29"/>
      <c r="I2316" s="24"/>
      <c r="K2316" s="28"/>
      <c r="P2316" s="29"/>
      <c r="S2316" s="24"/>
    </row>
    <row r="2317" ht="15.75" hidden="1" customHeight="1">
      <c r="F2317" s="29"/>
      <c r="I2317" s="24"/>
      <c r="K2317" s="28"/>
      <c r="P2317" s="29"/>
      <c r="S2317" s="24"/>
    </row>
    <row r="2318" ht="15.75" hidden="1" customHeight="1">
      <c r="F2318" s="29"/>
      <c r="I2318" s="24"/>
      <c r="K2318" s="28"/>
      <c r="P2318" s="29"/>
      <c r="S2318" s="24"/>
    </row>
    <row r="2319" ht="15.75" hidden="1" customHeight="1">
      <c r="F2319" s="29"/>
      <c r="I2319" s="24"/>
      <c r="K2319" s="28"/>
      <c r="P2319" s="29"/>
      <c r="S2319" s="24"/>
    </row>
    <row r="2320" ht="15.75" hidden="1" customHeight="1">
      <c r="F2320" s="29"/>
      <c r="I2320" s="24"/>
      <c r="K2320" s="28"/>
      <c r="P2320" s="29"/>
      <c r="S2320" s="24"/>
    </row>
    <row r="2321" ht="15.75" hidden="1" customHeight="1">
      <c r="F2321" s="29"/>
      <c r="I2321" s="24"/>
      <c r="K2321" s="28"/>
      <c r="P2321" s="29"/>
      <c r="S2321" s="24"/>
    </row>
    <row r="2322" ht="15.75" hidden="1" customHeight="1">
      <c r="F2322" s="29"/>
      <c r="I2322" s="24"/>
      <c r="K2322" s="28"/>
      <c r="P2322" s="29"/>
      <c r="S2322" s="24"/>
    </row>
    <row r="2323" ht="15.75" hidden="1" customHeight="1">
      <c r="F2323" s="29"/>
      <c r="I2323" s="24"/>
      <c r="K2323" s="28"/>
      <c r="P2323" s="29"/>
      <c r="S2323" s="24"/>
    </row>
    <row r="2324" ht="15.75" hidden="1" customHeight="1">
      <c r="F2324" s="29"/>
      <c r="I2324" s="24"/>
      <c r="K2324" s="28"/>
      <c r="P2324" s="29"/>
      <c r="S2324" s="24"/>
    </row>
    <row r="2325" ht="15.75" hidden="1" customHeight="1">
      <c r="F2325" s="29"/>
      <c r="I2325" s="24"/>
      <c r="K2325" s="28"/>
      <c r="P2325" s="29"/>
      <c r="S2325" s="24"/>
    </row>
    <row r="2326" ht="15.75" hidden="1" customHeight="1">
      <c r="F2326" s="29"/>
      <c r="I2326" s="24"/>
      <c r="K2326" s="28"/>
      <c r="P2326" s="29"/>
      <c r="S2326" s="24"/>
    </row>
    <row r="2327" ht="15.75" hidden="1" customHeight="1">
      <c r="F2327" s="29"/>
      <c r="I2327" s="24"/>
      <c r="K2327" s="28"/>
      <c r="P2327" s="29"/>
      <c r="S2327" s="24"/>
    </row>
    <row r="2328" ht="15.75" hidden="1" customHeight="1">
      <c r="F2328" s="29"/>
      <c r="I2328" s="24"/>
      <c r="K2328" s="28"/>
      <c r="P2328" s="29"/>
      <c r="S2328" s="24"/>
    </row>
    <row r="2329" ht="15.75" hidden="1" customHeight="1">
      <c r="F2329" s="29"/>
      <c r="I2329" s="24"/>
      <c r="K2329" s="28"/>
      <c r="P2329" s="29"/>
      <c r="S2329" s="24"/>
    </row>
    <row r="2330" ht="15.75" hidden="1" customHeight="1">
      <c r="F2330" s="29"/>
      <c r="I2330" s="24"/>
      <c r="K2330" s="28"/>
      <c r="P2330" s="29"/>
      <c r="S2330" s="24"/>
    </row>
    <row r="2331" ht="15.75" hidden="1" customHeight="1">
      <c r="F2331" s="29"/>
      <c r="I2331" s="24"/>
      <c r="K2331" s="28"/>
      <c r="P2331" s="29"/>
      <c r="S2331" s="24"/>
    </row>
    <row r="2332" ht="15.75" hidden="1" customHeight="1">
      <c r="F2332" s="29"/>
      <c r="I2332" s="24"/>
      <c r="K2332" s="28"/>
      <c r="P2332" s="29"/>
      <c r="S2332" s="24"/>
    </row>
    <row r="2333" ht="15.75" hidden="1" customHeight="1">
      <c r="F2333" s="29"/>
      <c r="I2333" s="24"/>
      <c r="K2333" s="28"/>
      <c r="P2333" s="29"/>
      <c r="S2333" s="24"/>
    </row>
    <row r="2334" ht="15.75" hidden="1" customHeight="1">
      <c r="F2334" s="29"/>
      <c r="I2334" s="24"/>
      <c r="K2334" s="28"/>
      <c r="P2334" s="29"/>
      <c r="S2334" s="24"/>
    </row>
    <row r="2335" ht="15.75" hidden="1" customHeight="1">
      <c r="F2335" s="29"/>
      <c r="I2335" s="24"/>
      <c r="K2335" s="28"/>
      <c r="P2335" s="29"/>
      <c r="S2335" s="24"/>
    </row>
    <row r="2336" ht="15.75" hidden="1" customHeight="1">
      <c r="F2336" s="29"/>
      <c r="I2336" s="24"/>
      <c r="K2336" s="28"/>
      <c r="P2336" s="29"/>
      <c r="S2336" s="24"/>
    </row>
    <row r="2337" ht="15.75" hidden="1" customHeight="1">
      <c r="F2337" s="29"/>
      <c r="I2337" s="24"/>
      <c r="K2337" s="28"/>
      <c r="P2337" s="29"/>
      <c r="S2337" s="24"/>
    </row>
    <row r="2338" ht="15.75" hidden="1" customHeight="1">
      <c r="F2338" s="29"/>
      <c r="I2338" s="24"/>
      <c r="K2338" s="28"/>
      <c r="P2338" s="29"/>
      <c r="S2338" s="24"/>
    </row>
    <row r="2339" ht="15.75" hidden="1" customHeight="1">
      <c r="F2339" s="29"/>
      <c r="I2339" s="24"/>
      <c r="K2339" s="28"/>
      <c r="P2339" s="29"/>
      <c r="S2339" s="24"/>
    </row>
    <row r="2340" ht="15.75" hidden="1" customHeight="1">
      <c r="F2340" s="29"/>
      <c r="I2340" s="24"/>
      <c r="K2340" s="28"/>
      <c r="P2340" s="29"/>
      <c r="S2340" s="24"/>
    </row>
    <row r="2341" ht="15.75" hidden="1" customHeight="1">
      <c r="F2341" s="29"/>
      <c r="I2341" s="24"/>
      <c r="K2341" s="28"/>
      <c r="P2341" s="29"/>
      <c r="S2341" s="24"/>
    </row>
    <row r="2342" ht="15.75" hidden="1" customHeight="1">
      <c r="F2342" s="29"/>
      <c r="I2342" s="24"/>
      <c r="K2342" s="28"/>
      <c r="P2342" s="29"/>
      <c r="S2342" s="24"/>
    </row>
    <row r="2343" ht="15.75" hidden="1" customHeight="1">
      <c r="F2343" s="29"/>
      <c r="I2343" s="24"/>
      <c r="K2343" s="28"/>
      <c r="P2343" s="29"/>
      <c r="S2343" s="24"/>
    </row>
    <row r="2344" ht="15.75" hidden="1" customHeight="1">
      <c r="F2344" s="29"/>
      <c r="I2344" s="24"/>
      <c r="K2344" s="28"/>
      <c r="P2344" s="29"/>
      <c r="S2344" s="24"/>
    </row>
    <row r="2345" ht="15.75" hidden="1" customHeight="1">
      <c r="F2345" s="29"/>
      <c r="I2345" s="24"/>
      <c r="K2345" s="28"/>
      <c r="P2345" s="29"/>
      <c r="S2345" s="24"/>
    </row>
    <row r="2346" ht="15.75" hidden="1" customHeight="1">
      <c r="F2346" s="29"/>
      <c r="I2346" s="24"/>
      <c r="K2346" s="28"/>
      <c r="P2346" s="29"/>
      <c r="S2346" s="24"/>
    </row>
    <row r="2347" ht="15.75" hidden="1" customHeight="1">
      <c r="F2347" s="29"/>
      <c r="I2347" s="24"/>
      <c r="K2347" s="28"/>
      <c r="P2347" s="29"/>
      <c r="S2347" s="24"/>
    </row>
    <row r="2348" ht="15.75" hidden="1" customHeight="1">
      <c r="F2348" s="29"/>
      <c r="I2348" s="24"/>
      <c r="K2348" s="28"/>
      <c r="P2348" s="29"/>
      <c r="S2348" s="24"/>
    </row>
    <row r="2349" ht="15.75" hidden="1" customHeight="1">
      <c r="F2349" s="29"/>
      <c r="I2349" s="24"/>
      <c r="K2349" s="28"/>
      <c r="P2349" s="29"/>
      <c r="S2349" s="24"/>
    </row>
    <row r="2350" ht="15.75" hidden="1" customHeight="1">
      <c r="F2350" s="29"/>
      <c r="I2350" s="24"/>
      <c r="K2350" s="28"/>
      <c r="P2350" s="29"/>
      <c r="S2350" s="24"/>
    </row>
    <row r="2351" ht="15.75" hidden="1" customHeight="1">
      <c r="F2351" s="29"/>
      <c r="I2351" s="24"/>
      <c r="K2351" s="28"/>
      <c r="P2351" s="29"/>
      <c r="S2351" s="24"/>
    </row>
    <row r="2352" ht="15.75" hidden="1" customHeight="1">
      <c r="F2352" s="29"/>
      <c r="I2352" s="24"/>
      <c r="K2352" s="28"/>
      <c r="P2352" s="29"/>
      <c r="S2352" s="24"/>
    </row>
    <row r="2353" ht="15.75" hidden="1" customHeight="1">
      <c r="F2353" s="29"/>
      <c r="I2353" s="24"/>
      <c r="K2353" s="28"/>
      <c r="P2353" s="29"/>
      <c r="S2353" s="24"/>
    </row>
    <row r="2354" ht="15.75" hidden="1" customHeight="1">
      <c r="F2354" s="29"/>
      <c r="I2354" s="24"/>
      <c r="K2354" s="28"/>
      <c r="P2354" s="29"/>
      <c r="S2354" s="24"/>
    </row>
    <row r="2355" ht="15.75" hidden="1" customHeight="1">
      <c r="F2355" s="29"/>
      <c r="I2355" s="24"/>
      <c r="K2355" s="28"/>
      <c r="P2355" s="29"/>
      <c r="S2355" s="24"/>
    </row>
    <row r="2356" ht="15.75" hidden="1" customHeight="1">
      <c r="F2356" s="29"/>
      <c r="I2356" s="24"/>
      <c r="K2356" s="28"/>
      <c r="P2356" s="29"/>
      <c r="S2356" s="24"/>
    </row>
    <row r="2357" ht="15.75" hidden="1" customHeight="1">
      <c r="F2357" s="29"/>
      <c r="I2357" s="24"/>
      <c r="K2357" s="28"/>
      <c r="P2357" s="29"/>
      <c r="S2357" s="24"/>
    </row>
    <row r="2358" ht="15.75" hidden="1" customHeight="1">
      <c r="F2358" s="29"/>
      <c r="I2358" s="24"/>
      <c r="K2358" s="28"/>
      <c r="P2358" s="29"/>
      <c r="S2358" s="24"/>
    </row>
    <row r="2359" ht="15.75" hidden="1" customHeight="1">
      <c r="F2359" s="29"/>
      <c r="I2359" s="24"/>
      <c r="K2359" s="28"/>
      <c r="P2359" s="29"/>
      <c r="S2359" s="24"/>
    </row>
    <row r="2360" ht="15.75" hidden="1" customHeight="1">
      <c r="F2360" s="29"/>
      <c r="I2360" s="24"/>
      <c r="K2360" s="28"/>
      <c r="P2360" s="29"/>
      <c r="S2360" s="24"/>
    </row>
    <row r="2361" ht="15.75" hidden="1" customHeight="1">
      <c r="F2361" s="29"/>
      <c r="I2361" s="24"/>
      <c r="K2361" s="28"/>
      <c r="P2361" s="29"/>
      <c r="S2361" s="24"/>
    </row>
    <row r="2362" ht="15.75" hidden="1" customHeight="1">
      <c r="F2362" s="29"/>
      <c r="I2362" s="24"/>
      <c r="K2362" s="28"/>
      <c r="P2362" s="29"/>
      <c r="S2362" s="24"/>
    </row>
    <row r="2363" ht="15.75" hidden="1" customHeight="1">
      <c r="F2363" s="29"/>
      <c r="I2363" s="24"/>
      <c r="K2363" s="28"/>
      <c r="P2363" s="29"/>
      <c r="S2363" s="24"/>
    </row>
    <row r="2364" ht="15.75" hidden="1" customHeight="1">
      <c r="F2364" s="29"/>
      <c r="I2364" s="24"/>
      <c r="K2364" s="28"/>
      <c r="P2364" s="29"/>
      <c r="S2364" s="24"/>
    </row>
    <row r="2365" ht="15.75" hidden="1" customHeight="1">
      <c r="F2365" s="29"/>
      <c r="I2365" s="24"/>
      <c r="K2365" s="28"/>
      <c r="P2365" s="29"/>
      <c r="S2365" s="24"/>
    </row>
    <row r="2366" ht="15.75" hidden="1" customHeight="1">
      <c r="F2366" s="29"/>
      <c r="I2366" s="24"/>
      <c r="K2366" s="28"/>
      <c r="P2366" s="29"/>
      <c r="S2366" s="24"/>
    </row>
    <row r="2367" ht="15.75" hidden="1" customHeight="1">
      <c r="F2367" s="29"/>
      <c r="I2367" s="24"/>
      <c r="K2367" s="28"/>
      <c r="P2367" s="29"/>
      <c r="S2367" s="24"/>
    </row>
    <row r="2368" ht="15.75" hidden="1" customHeight="1">
      <c r="F2368" s="29"/>
      <c r="I2368" s="24"/>
      <c r="K2368" s="28"/>
      <c r="P2368" s="29"/>
      <c r="S2368" s="24"/>
    </row>
    <row r="2369" ht="15.75" hidden="1" customHeight="1">
      <c r="F2369" s="29"/>
      <c r="I2369" s="24"/>
      <c r="K2369" s="28"/>
      <c r="P2369" s="29"/>
      <c r="S2369" s="24"/>
    </row>
    <row r="2370" ht="15.75" hidden="1" customHeight="1">
      <c r="F2370" s="29"/>
      <c r="I2370" s="24"/>
      <c r="K2370" s="28"/>
      <c r="P2370" s="29"/>
      <c r="S2370" s="24"/>
    </row>
    <row r="2371" ht="15.75" hidden="1" customHeight="1">
      <c r="F2371" s="29"/>
      <c r="I2371" s="24"/>
      <c r="K2371" s="28"/>
      <c r="P2371" s="29"/>
      <c r="S2371" s="24"/>
    </row>
    <row r="2372" ht="15.75" hidden="1" customHeight="1">
      <c r="F2372" s="29"/>
      <c r="I2372" s="24"/>
      <c r="K2372" s="28"/>
      <c r="P2372" s="29"/>
      <c r="S2372" s="24"/>
    </row>
    <row r="2373" ht="15.75" hidden="1" customHeight="1">
      <c r="F2373" s="29"/>
      <c r="I2373" s="24"/>
      <c r="K2373" s="28"/>
      <c r="P2373" s="29"/>
      <c r="S2373" s="24"/>
    </row>
    <row r="2374" ht="15.75" hidden="1" customHeight="1">
      <c r="F2374" s="29"/>
      <c r="I2374" s="24"/>
      <c r="K2374" s="28"/>
      <c r="P2374" s="29"/>
      <c r="S2374" s="24"/>
    </row>
    <row r="2375" ht="15.75" hidden="1" customHeight="1">
      <c r="F2375" s="29"/>
      <c r="I2375" s="24"/>
      <c r="K2375" s="28"/>
      <c r="P2375" s="29"/>
      <c r="S2375" s="24"/>
    </row>
    <row r="2376" ht="15.75" hidden="1" customHeight="1">
      <c r="F2376" s="29"/>
      <c r="I2376" s="24"/>
      <c r="K2376" s="28"/>
      <c r="P2376" s="29"/>
      <c r="S2376" s="24"/>
    </row>
    <row r="2377" ht="15.75" hidden="1" customHeight="1">
      <c r="F2377" s="29"/>
      <c r="I2377" s="24"/>
      <c r="K2377" s="28"/>
      <c r="P2377" s="29"/>
      <c r="S2377" s="24"/>
    </row>
    <row r="2378" ht="15.75" hidden="1" customHeight="1">
      <c r="F2378" s="29"/>
      <c r="I2378" s="24"/>
      <c r="K2378" s="28"/>
      <c r="P2378" s="29"/>
      <c r="S2378" s="24"/>
    </row>
    <row r="2379" ht="15.75" hidden="1" customHeight="1">
      <c r="F2379" s="29"/>
      <c r="I2379" s="24"/>
      <c r="K2379" s="28"/>
      <c r="P2379" s="29"/>
      <c r="S2379" s="24"/>
    </row>
    <row r="2380" ht="15.75" hidden="1" customHeight="1">
      <c r="F2380" s="29"/>
      <c r="I2380" s="24"/>
      <c r="K2380" s="28"/>
      <c r="P2380" s="29"/>
      <c r="S2380" s="24"/>
    </row>
    <row r="2381" ht="15.75" hidden="1" customHeight="1">
      <c r="F2381" s="29"/>
      <c r="I2381" s="24"/>
      <c r="K2381" s="28"/>
      <c r="P2381" s="29"/>
      <c r="S2381" s="24"/>
    </row>
    <row r="2382" ht="15.75" hidden="1" customHeight="1">
      <c r="F2382" s="29"/>
      <c r="I2382" s="24"/>
      <c r="K2382" s="28"/>
      <c r="P2382" s="29"/>
      <c r="S2382" s="24"/>
    </row>
    <row r="2383" ht="15.75" hidden="1" customHeight="1">
      <c r="F2383" s="29"/>
      <c r="I2383" s="24"/>
      <c r="K2383" s="28"/>
      <c r="P2383" s="29"/>
      <c r="S2383" s="24"/>
    </row>
    <row r="2384" ht="15.75" hidden="1" customHeight="1">
      <c r="F2384" s="29"/>
      <c r="I2384" s="24"/>
      <c r="K2384" s="28"/>
      <c r="P2384" s="29"/>
      <c r="S2384" s="24"/>
    </row>
    <row r="2385" ht="15.75" hidden="1" customHeight="1">
      <c r="F2385" s="29"/>
      <c r="I2385" s="24"/>
      <c r="K2385" s="28"/>
      <c r="P2385" s="29"/>
      <c r="S2385" s="24"/>
    </row>
    <row r="2386" ht="15.75" hidden="1" customHeight="1">
      <c r="F2386" s="29"/>
      <c r="I2386" s="24"/>
      <c r="K2386" s="28"/>
      <c r="P2386" s="29"/>
      <c r="S2386" s="24"/>
    </row>
    <row r="2387" ht="15.75" hidden="1" customHeight="1">
      <c r="F2387" s="29"/>
      <c r="I2387" s="24"/>
      <c r="K2387" s="28"/>
      <c r="P2387" s="29"/>
      <c r="S2387" s="24"/>
    </row>
    <row r="2388" ht="15.75" hidden="1" customHeight="1">
      <c r="F2388" s="29"/>
      <c r="I2388" s="24"/>
      <c r="K2388" s="28"/>
      <c r="P2388" s="29"/>
      <c r="S2388" s="24"/>
    </row>
    <row r="2389" ht="15.75" hidden="1" customHeight="1">
      <c r="F2389" s="29"/>
      <c r="I2389" s="24"/>
      <c r="K2389" s="28"/>
      <c r="P2389" s="29"/>
      <c r="S2389" s="24"/>
    </row>
    <row r="2390" ht="15.75" hidden="1" customHeight="1">
      <c r="F2390" s="29"/>
      <c r="I2390" s="24"/>
      <c r="K2390" s="28"/>
      <c r="P2390" s="29"/>
      <c r="S2390" s="24"/>
    </row>
    <row r="2391" ht="15.75" hidden="1" customHeight="1">
      <c r="F2391" s="29"/>
      <c r="I2391" s="24"/>
      <c r="K2391" s="28"/>
      <c r="P2391" s="29"/>
      <c r="S2391" s="24"/>
    </row>
    <row r="2392" ht="15.75" hidden="1" customHeight="1">
      <c r="F2392" s="29"/>
      <c r="I2392" s="24"/>
      <c r="K2392" s="28"/>
      <c r="P2392" s="29"/>
      <c r="S2392" s="24"/>
    </row>
    <row r="2393" ht="15.75" hidden="1" customHeight="1">
      <c r="F2393" s="29"/>
      <c r="I2393" s="24"/>
      <c r="K2393" s="28"/>
      <c r="P2393" s="29"/>
      <c r="S2393" s="24"/>
    </row>
    <row r="2394" ht="15.75" hidden="1" customHeight="1">
      <c r="F2394" s="29"/>
      <c r="I2394" s="24"/>
      <c r="K2394" s="28"/>
      <c r="P2394" s="29"/>
      <c r="S2394" s="24"/>
    </row>
    <row r="2395" ht="15.75" hidden="1" customHeight="1">
      <c r="F2395" s="29"/>
      <c r="I2395" s="24"/>
      <c r="K2395" s="28"/>
      <c r="P2395" s="29"/>
      <c r="S2395" s="24"/>
    </row>
    <row r="2396" ht="15.75" hidden="1" customHeight="1">
      <c r="F2396" s="29"/>
      <c r="I2396" s="24"/>
      <c r="K2396" s="28"/>
      <c r="P2396" s="29"/>
      <c r="S2396" s="24"/>
    </row>
    <row r="2397" ht="15.75" hidden="1" customHeight="1">
      <c r="F2397" s="29"/>
      <c r="I2397" s="24"/>
      <c r="K2397" s="28"/>
      <c r="P2397" s="29"/>
      <c r="S2397" s="24"/>
    </row>
    <row r="2398" ht="15.75" hidden="1" customHeight="1">
      <c r="F2398" s="29"/>
      <c r="I2398" s="24"/>
      <c r="K2398" s="28"/>
      <c r="P2398" s="29"/>
      <c r="S2398" s="24"/>
    </row>
    <row r="2399" ht="15.75" hidden="1" customHeight="1">
      <c r="F2399" s="29"/>
      <c r="I2399" s="24"/>
      <c r="K2399" s="28"/>
      <c r="P2399" s="29"/>
      <c r="S2399" s="24"/>
    </row>
    <row r="2400" ht="15.75" hidden="1" customHeight="1">
      <c r="F2400" s="29"/>
      <c r="I2400" s="24"/>
      <c r="K2400" s="28"/>
      <c r="P2400" s="29"/>
      <c r="S2400" s="24"/>
    </row>
    <row r="2401" ht="15.75" hidden="1" customHeight="1">
      <c r="F2401" s="29"/>
      <c r="I2401" s="24"/>
      <c r="K2401" s="28"/>
      <c r="P2401" s="29"/>
      <c r="S2401" s="24"/>
    </row>
    <row r="2402" ht="15.75" hidden="1" customHeight="1">
      <c r="F2402" s="29"/>
      <c r="I2402" s="24"/>
      <c r="K2402" s="28"/>
      <c r="P2402" s="29"/>
      <c r="S2402" s="24"/>
    </row>
    <row r="2403" ht="15.75" hidden="1" customHeight="1">
      <c r="F2403" s="29"/>
      <c r="I2403" s="24"/>
      <c r="K2403" s="28"/>
      <c r="P2403" s="29"/>
      <c r="S2403" s="24"/>
    </row>
    <row r="2404" ht="15.75" hidden="1" customHeight="1">
      <c r="F2404" s="29"/>
      <c r="I2404" s="24"/>
      <c r="K2404" s="28"/>
      <c r="P2404" s="29"/>
      <c r="S2404" s="24"/>
    </row>
    <row r="2405" ht="15.75" hidden="1" customHeight="1">
      <c r="F2405" s="29"/>
      <c r="I2405" s="24"/>
      <c r="K2405" s="28"/>
      <c r="P2405" s="29"/>
      <c r="S2405" s="24"/>
    </row>
    <row r="2406" ht="15.75" hidden="1" customHeight="1">
      <c r="F2406" s="29"/>
      <c r="I2406" s="24"/>
      <c r="K2406" s="28"/>
      <c r="P2406" s="29"/>
      <c r="S2406" s="24"/>
    </row>
    <row r="2407" ht="15.75" hidden="1" customHeight="1">
      <c r="F2407" s="29"/>
      <c r="I2407" s="24"/>
      <c r="K2407" s="28"/>
      <c r="P2407" s="29"/>
      <c r="S2407" s="24"/>
    </row>
    <row r="2408" ht="15.75" hidden="1" customHeight="1">
      <c r="F2408" s="29"/>
      <c r="I2408" s="24"/>
      <c r="K2408" s="28"/>
      <c r="P2408" s="29"/>
      <c r="S2408" s="24"/>
    </row>
    <row r="2409" ht="15.75" hidden="1" customHeight="1">
      <c r="F2409" s="29"/>
      <c r="I2409" s="24"/>
      <c r="K2409" s="28"/>
      <c r="P2409" s="29"/>
      <c r="S2409" s="24"/>
    </row>
    <row r="2410" ht="15.75" hidden="1" customHeight="1">
      <c r="F2410" s="29"/>
      <c r="I2410" s="24"/>
      <c r="K2410" s="28"/>
      <c r="P2410" s="29"/>
      <c r="S2410" s="24"/>
    </row>
    <row r="2411" ht="15.75" hidden="1" customHeight="1">
      <c r="F2411" s="29"/>
      <c r="I2411" s="24"/>
      <c r="K2411" s="28"/>
      <c r="P2411" s="29"/>
      <c r="S2411" s="24"/>
    </row>
    <row r="2412" ht="15.75" hidden="1" customHeight="1">
      <c r="F2412" s="29"/>
      <c r="I2412" s="24"/>
      <c r="K2412" s="28"/>
      <c r="P2412" s="29"/>
      <c r="S2412" s="24"/>
    </row>
    <row r="2413" ht="15.75" hidden="1" customHeight="1">
      <c r="F2413" s="29"/>
      <c r="I2413" s="24"/>
      <c r="K2413" s="28"/>
      <c r="P2413" s="29"/>
      <c r="S2413" s="24"/>
    </row>
    <row r="2414" ht="15.75" hidden="1" customHeight="1">
      <c r="F2414" s="29"/>
      <c r="I2414" s="24"/>
      <c r="K2414" s="28"/>
      <c r="P2414" s="29"/>
      <c r="S2414" s="24"/>
    </row>
    <row r="2415" ht="15.75" hidden="1" customHeight="1">
      <c r="F2415" s="29"/>
      <c r="I2415" s="24"/>
      <c r="K2415" s="28"/>
      <c r="P2415" s="29"/>
      <c r="S2415" s="24"/>
    </row>
    <row r="2416" ht="15.75" hidden="1" customHeight="1">
      <c r="F2416" s="29"/>
      <c r="I2416" s="24"/>
      <c r="K2416" s="28"/>
      <c r="P2416" s="29"/>
      <c r="S2416" s="24"/>
    </row>
    <row r="2417" ht="15.75" hidden="1" customHeight="1">
      <c r="F2417" s="29"/>
      <c r="I2417" s="24"/>
      <c r="K2417" s="28"/>
      <c r="P2417" s="29"/>
      <c r="S2417" s="24"/>
    </row>
    <row r="2418" ht="15.75" hidden="1" customHeight="1">
      <c r="F2418" s="29"/>
      <c r="I2418" s="24"/>
      <c r="K2418" s="28"/>
      <c r="P2418" s="29"/>
      <c r="S2418" s="24"/>
    </row>
    <row r="2419" ht="15.75" hidden="1" customHeight="1">
      <c r="F2419" s="29"/>
      <c r="I2419" s="24"/>
      <c r="K2419" s="28"/>
      <c r="P2419" s="29"/>
      <c r="S2419" s="24"/>
    </row>
    <row r="2420" ht="15.75" hidden="1" customHeight="1">
      <c r="F2420" s="29"/>
      <c r="I2420" s="24"/>
      <c r="K2420" s="28"/>
      <c r="P2420" s="29"/>
      <c r="S2420" s="24"/>
    </row>
    <row r="2421" ht="15.75" hidden="1" customHeight="1">
      <c r="F2421" s="29"/>
      <c r="I2421" s="24"/>
      <c r="K2421" s="28"/>
      <c r="P2421" s="29"/>
      <c r="S2421" s="24"/>
    </row>
    <row r="2422" ht="15.75" hidden="1" customHeight="1">
      <c r="F2422" s="29"/>
      <c r="I2422" s="24"/>
      <c r="K2422" s="28"/>
      <c r="P2422" s="29"/>
      <c r="S2422" s="24"/>
    </row>
    <row r="2423" ht="15.75" hidden="1" customHeight="1">
      <c r="F2423" s="29"/>
      <c r="I2423" s="24"/>
      <c r="K2423" s="28"/>
      <c r="P2423" s="29"/>
      <c r="S2423" s="24"/>
    </row>
    <row r="2424" ht="15.75" hidden="1" customHeight="1">
      <c r="F2424" s="29"/>
      <c r="I2424" s="24"/>
      <c r="K2424" s="28"/>
      <c r="P2424" s="29"/>
      <c r="S2424" s="24"/>
    </row>
    <row r="2425" ht="15.75" hidden="1" customHeight="1">
      <c r="F2425" s="29"/>
      <c r="I2425" s="24"/>
      <c r="K2425" s="28"/>
      <c r="P2425" s="29"/>
      <c r="S2425" s="24"/>
    </row>
    <row r="2426" ht="15.75" hidden="1" customHeight="1">
      <c r="F2426" s="29"/>
      <c r="I2426" s="24"/>
      <c r="K2426" s="28"/>
      <c r="P2426" s="29"/>
      <c r="S2426" s="24"/>
    </row>
    <row r="2427" ht="15.75" hidden="1" customHeight="1">
      <c r="F2427" s="29"/>
      <c r="I2427" s="24"/>
      <c r="K2427" s="28"/>
      <c r="P2427" s="29"/>
      <c r="S2427" s="24"/>
    </row>
    <row r="2428" ht="15.75" hidden="1" customHeight="1">
      <c r="F2428" s="29"/>
      <c r="I2428" s="24"/>
      <c r="K2428" s="28"/>
      <c r="P2428" s="29"/>
      <c r="S2428" s="24"/>
    </row>
    <row r="2429" ht="15.75" hidden="1" customHeight="1">
      <c r="F2429" s="29"/>
      <c r="I2429" s="24"/>
      <c r="K2429" s="28"/>
      <c r="P2429" s="29"/>
      <c r="S2429" s="24"/>
    </row>
    <row r="2430" ht="15.75" hidden="1" customHeight="1">
      <c r="F2430" s="29"/>
      <c r="I2430" s="24"/>
      <c r="K2430" s="28"/>
      <c r="P2430" s="29"/>
      <c r="S2430" s="24"/>
    </row>
    <row r="2431" ht="15.75" hidden="1" customHeight="1">
      <c r="F2431" s="29"/>
      <c r="I2431" s="24"/>
      <c r="K2431" s="28"/>
      <c r="P2431" s="29"/>
      <c r="S2431" s="24"/>
    </row>
    <row r="2432" ht="15.75" hidden="1" customHeight="1">
      <c r="F2432" s="29"/>
      <c r="I2432" s="24"/>
      <c r="K2432" s="28"/>
      <c r="P2432" s="29"/>
      <c r="S2432" s="24"/>
    </row>
    <row r="2433" ht="15.75" hidden="1" customHeight="1">
      <c r="F2433" s="29"/>
      <c r="I2433" s="24"/>
      <c r="K2433" s="28"/>
      <c r="P2433" s="29"/>
      <c r="S2433" s="24"/>
    </row>
    <row r="2434" ht="15.75" hidden="1" customHeight="1">
      <c r="F2434" s="29"/>
      <c r="I2434" s="24"/>
      <c r="K2434" s="28"/>
      <c r="P2434" s="29"/>
      <c r="S2434" s="24"/>
    </row>
    <row r="2435" ht="15.75" hidden="1" customHeight="1">
      <c r="F2435" s="29"/>
      <c r="I2435" s="24"/>
      <c r="K2435" s="28"/>
      <c r="P2435" s="29"/>
      <c r="S2435" s="24"/>
    </row>
    <row r="2436" ht="15.75" hidden="1" customHeight="1">
      <c r="F2436" s="29"/>
      <c r="I2436" s="24"/>
      <c r="K2436" s="28"/>
      <c r="P2436" s="29"/>
      <c r="S2436" s="24"/>
    </row>
    <row r="2437" ht="15.75" hidden="1" customHeight="1">
      <c r="F2437" s="29"/>
      <c r="I2437" s="24"/>
      <c r="K2437" s="28"/>
      <c r="P2437" s="29"/>
      <c r="S2437" s="24"/>
    </row>
    <row r="2438" ht="15.75" hidden="1" customHeight="1">
      <c r="F2438" s="29"/>
      <c r="I2438" s="24"/>
      <c r="K2438" s="28"/>
      <c r="P2438" s="29"/>
      <c r="S2438" s="24"/>
    </row>
    <row r="2439" ht="15.75" hidden="1" customHeight="1">
      <c r="F2439" s="29"/>
      <c r="I2439" s="24"/>
      <c r="K2439" s="28"/>
      <c r="P2439" s="29"/>
      <c r="S2439" s="24"/>
    </row>
    <row r="2440" ht="15.75" hidden="1" customHeight="1">
      <c r="F2440" s="29"/>
      <c r="I2440" s="24"/>
      <c r="K2440" s="28"/>
      <c r="P2440" s="29"/>
      <c r="S2440" s="24"/>
    </row>
    <row r="2441" ht="15.75" hidden="1" customHeight="1">
      <c r="F2441" s="29"/>
      <c r="I2441" s="24"/>
      <c r="K2441" s="28"/>
      <c r="P2441" s="29"/>
      <c r="S2441" s="24"/>
    </row>
    <row r="2442" ht="15.75" hidden="1" customHeight="1">
      <c r="F2442" s="29"/>
      <c r="I2442" s="24"/>
      <c r="K2442" s="28"/>
      <c r="P2442" s="29"/>
      <c r="S2442" s="24"/>
    </row>
    <row r="2443" ht="15.75" hidden="1" customHeight="1">
      <c r="F2443" s="29"/>
      <c r="I2443" s="24"/>
      <c r="K2443" s="28"/>
      <c r="P2443" s="29"/>
      <c r="S2443" s="24"/>
    </row>
    <row r="2444" ht="15.75" hidden="1" customHeight="1">
      <c r="F2444" s="29"/>
      <c r="I2444" s="24"/>
      <c r="K2444" s="28"/>
      <c r="P2444" s="29"/>
      <c r="S2444" s="24"/>
    </row>
    <row r="2445" ht="15.75" hidden="1" customHeight="1">
      <c r="F2445" s="29"/>
      <c r="I2445" s="24"/>
      <c r="K2445" s="28"/>
      <c r="P2445" s="29"/>
      <c r="S2445" s="24"/>
    </row>
    <row r="2446" ht="15.75" hidden="1" customHeight="1">
      <c r="F2446" s="29"/>
      <c r="I2446" s="24"/>
      <c r="K2446" s="28"/>
      <c r="P2446" s="29"/>
      <c r="S2446" s="24"/>
    </row>
    <row r="2447" ht="15.75" hidden="1" customHeight="1">
      <c r="F2447" s="29"/>
      <c r="I2447" s="24"/>
      <c r="K2447" s="28"/>
      <c r="P2447" s="29"/>
      <c r="S2447" s="24"/>
    </row>
    <row r="2448" ht="15.75" hidden="1" customHeight="1">
      <c r="F2448" s="29"/>
      <c r="I2448" s="24"/>
      <c r="K2448" s="28"/>
      <c r="P2448" s="29"/>
      <c r="S2448" s="24"/>
    </row>
    <row r="2449" ht="15.75" hidden="1" customHeight="1">
      <c r="F2449" s="29"/>
      <c r="I2449" s="24"/>
      <c r="K2449" s="28"/>
      <c r="P2449" s="29"/>
      <c r="S2449" s="24"/>
    </row>
    <row r="2450" ht="15.75" hidden="1" customHeight="1">
      <c r="F2450" s="29"/>
      <c r="I2450" s="24"/>
      <c r="K2450" s="28"/>
      <c r="P2450" s="29"/>
      <c r="S2450" s="24"/>
    </row>
    <row r="2451" ht="15.75" hidden="1" customHeight="1">
      <c r="F2451" s="29"/>
      <c r="I2451" s="24"/>
      <c r="K2451" s="28"/>
      <c r="P2451" s="29"/>
      <c r="S2451" s="24"/>
    </row>
    <row r="2452" ht="15.75" hidden="1" customHeight="1">
      <c r="F2452" s="29"/>
      <c r="I2452" s="24"/>
      <c r="K2452" s="28"/>
      <c r="P2452" s="29"/>
      <c r="S2452" s="24"/>
    </row>
    <row r="2453" ht="15.75" hidden="1" customHeight="1">
      <c r="F2453" s="29"/>
      <c r="I2453" s="24"/>
      <c r="K2453" s="28"/>
      <c r="P2453" s="29"/>
      <c r="S2453" s="24"/>
    </row>
    <row r="2454" ht="15.75" hidden="1" customHeight="1">
      <c r="F2454" s="29"/>
      <c r="I2454" s="24"/>
      <c r="K2454" s="28"/>
      <c r="P2454" s="29"/>
      <c r="S2454" s="24"/>
    </row>
    <row r="2455" ht="15.75" hidden="1" customHeight="1">
      <c r="F2455" s="29"/>
      <c r="I2455" s="24"/>
      <c r="K2455" s="28"/>
      <c r="P2455" s="29"/>
      <c r="S2455" s="24"/>
    </row>
    <row r="2456" ht="15.75" hidden="1" customHeight="1">
      <c r="F2456" s="29"/>
      <c r="I2456" s="24"/>
      <c r="K2456" s="28"/>
      <c r="P2456" s="29"/>
      <c r="S2456" s="24"/>
    </row>
    <row r="2457" ht="15.75" hidden="1" customHeight="1">
      <c r="F2457" s="29"/>
      <c r="I2457" s="24"/>
      <c r="K2457" s="28"/>
      <c r="P2457" s="29"/>
      <c r="S2457" s="24"/>
    </row>
    <row r="2458" ht="15.75" hidden="1" customHeight="1">
      <c r="F2458" s="29"/>
      <c r="I2458" s="24"/>
      <c r="K2458" s="28"/>
      <c r="P2458" s="29"/>
      <c r="S2458" s="24"/>
    </row>
    <row r="2459" ht="15.75" hidden="1" customHeight="1">
      <c r="F2459" s="29"/>
      <c r="I2459" s="24"/>
      <c r="K2459" s="28"/>
      <c r="P2459" s="29"/>
      <c r="S2459" s="24"/>
    </row>
    <row r="2460" ht="15.75" hidden="1" customHeight="1">
      <c r="F2460" s="29"/>
      <c r="I2460" s="24"/>
      <c r="K2460" s="28"/>
      <c r="P2460" s="29"/>
      <c r="S2460" s="24"/>
    </row>
    <row r="2461" ht="15.75" hidden="1" customHeight="1">
      <c r="F2461" s="29"/>
      <c r="I2461" s="24"/>
      <c r="K2461" s="28"/>
      <c r="P2461" s="29"/>
      <c r="S2461" s="24"/>
    </row>
    <row r="2462" ht="15.75" hidden="1" customHeight="1">
      <c r="F2462" s="29"/>
      <c r="I2462" s="24"/>
      <c r="K2462" s="28"/>
      <c r="P2462" s="29"/>
      <c r="S2462" s="24"/>
    </row>
    <row r="2463" ht="15.75" hidden="1" customHeight="1">
      <c r="F2463" s="29"/>
      <c r="I2463" s="24"/>
      <c r="K2463" s="28"/>
      <c r="P2463" s="29"/>
      <c r="S2463" s="24"/>
    </row>
    <row r="2464" ht="15.75" hidden="1" customHeight="1">
      <c r="F2464" s="29"/>
      <c r="I2464" s="24"/>
      <c r="K2464" s="28"/>
      <c r="P2464" s="29"/>
      <c r="S2464" s="24"/>
    </row>
    <row r="2465" ht="15.75" hidden="1" customHeight="1">
      <c r="F2465" s="29"/>
      <c r="I2465" s="24"/>
      <c r="K2465" s="28"/>
      <c r="P2465" s="29"/>
      <c r="S2465" s="24"/>
    </row>
    <row r="2466" ht="15.75" hidden="1" customHeight="1">
      <c r="F2466" s="29"/>
      <c r="I2466" s="24"/>
      <c r="K2466" s="28"/>
      <c r="P2466" s="29"/>
      <c r="S2466" s="24"/>
    </row>
    <row r="2467" ht="15.75" hidden="1" customHeight="1">
      <c r="F2467" s="29"/>
      <c r="I2467" s="24"/>
      <c r="K2467" s="28"/>
      <c r="P2467" s="29"/>
      <c r="S2467" s="24"/>
    </row>
    <row r="2468" ht="15.75" hidden="1" customHeight="1">
      <c r="F2468" s="29"/>
      <c r="I2468" s="24"/>
      <c r="K2468" s="28"/>
      <c r="P2468" s="29"/>
      <c r="S2468" s="24"/>
    </row>
    <row r="2469" ht="15.75" hidden="1" customHeight="1">
      <c r="F2469" s="29"/>
      <c r="I2469" s="24"/>
      <c r="K2469" s="28"/>
      <c r="P2469" s="29"/>
      <c r="S2469" s="24"/>
    </row>
    <row r="2470" ht="15.75" hidden="1" customHeight="1">
      <c r="F2470" s="29"/>
      <c r="I2470" s="24"/>
      <c r="K2470" s="28"/>
      <c r="P2470" s="29"/>
      <c r="S2470" s="24"/>
    </row>
    <row r="2471" ht="15.75" hidden="1" customHeight="1">
      <c r="F2471" s="29"/>
      <c r="I2471" s="24"/>
      <c r="K2471" s="28"/>
      <c r="P2471" s="29"/>
      <c r="S2471" s="24"/>
    </row>
    <row r="2472" ht="15.75" hidden="1" customHeight="1">
      <c r="F2472" s="29"/>
      <c r="I2472" s="24"/>
      <c r="K2472" s="28"/>
      <c r="P2472" s="29"/>
      <c r="S2472" s="24"/>
    </row>
    <row r="2473" ht="15.75" hidden="1" customHeight="1">
      <c r="F2473" s="29"/>
      <c r="I2473" s="24"/>
      <c r="K2473" s="28"/>
      <c r="P2473" s="29"/>
      <c r="S2473" s="24"/>
    </row>
    <row r="2474" ht="15.75" hidden="1" customHeight="1">
      <c r="F2474" s="29"/>
      <c r="I2474" s="24"/>
      <c r="K2474" s="28"/>
      <c r="P2474" s="29"/>
      <c r="S2474" s="24"/>
    </row>
    <row r="2475" ht="15.75" hidden="1" customHeight="1">
      <c r="F2475" s="29"/>
      <c r="I2475" s="24"/>
      <c r="K2475" s="28"/>
      <c r="P2475" s="29"/>
      <c r="S2475" s="24"/>
    </row>
    <row r="2476" ht="15.75" hidden="1" customHeight="1">
      <c r="F2476" s="29"/>
      <c r="I2476" s="24"/>
      <c r="K2476" s="28"/>
      <c r="P2476" s="29"/>
      <c r="S2476" s="24"/>
    </row>
    <row r="2477" ht="15.75" hidden="1" customHeight="1">
      <c r="F2477" s="29"/>
      <c r="I2477" s="24"/>
      <c r="K2477" s="28"/>
      <c r="P2477" s="29"/>
      <c r="S2477" s="24"/>
    </row>
    <row r="2478" ht="15.75" hidden="1" customHeight="1">
      <c r="F2478" s="29"/>
      <c r="I2478" s="24"/>
      <c r="K2478" s="28"/>
      <c r="P2478" s="29"/>
      <c r="S2478" s="24"/>
    </row>
    <row r="2479" ht="15.75" hidden="1" customHeight="1">
      <c r="F2479" s="29"/>
      <c r="I2479" s="24"/>
      <c r="K2479" s="28"/>
      <c r="P2479" s="29"/>
      <c r="S2479" s="24"/>
    </row>
    <row r="2480" ht="15.75" hidden="1" customHeight="1">
      <c r="F2480" s="29"/>
      <c r="I2480" s="24"/>
      <c r="K2480" s="28"/>
      <c r="P2480" s="29"/>
      <c r="S2480" s="24"/>
    </row>
    <row r="2481" ht="15.75" hidden="1" customHeight="1">
      <c r="F2481" s="29"/>
      <c r="I2481" s="24"/>
      <c r="K2481" s="28"/>
      <c r="P2481" s="29"/>
      <c r="S2481" s="24"/>
    </row>
    <row r="2482" ht="15.75" hidden="1" customHeight="1">
      <c r="F2482" s="29"/>
      <c r="I2482" s="24"/>
      <c r="K2482" s="28"/>
      <c r="P2482" s="29"/>
      <c r="S2482" s="24"/>
    </row>
    <row r="2483" ht="15.75" hidden="1" customHeight="1">
      <c r="F2483" s="29"/>
      <c r="I2483" s="24"/>
      <c r="K2483" s="28"/>
      <c r="P2483" s="29"/>
      <c r="S2483" s="24"/>
    </row>
    <row r="2484" ht="15.75" hidden="1" customHeight="1">
      <c r="F2484" s="29"/>
      <c r="I2484" s="24"/>
      <c r="K2484" s="28"/>
      <c r="P2484" s="29"/>
      <c r="S2484" s="24"/>
    </row>
    <row r="2485" ht="15.75" hidden="1" customHeight="1">
      <c r="F2485" s="29"/>
      <c r="I2485" s="24"/>
      <c r="K2485" s="28"/>
      <c r="P2485" s="29"/>
      <c r="S2485" s="24"/>
    </row>
    <row r="2486" ht="15.75" hidden="1" customHeight="1">
      <c r="F2486" s="29"/>
      <c r="I2486" s="24"/>
      <c r="K2486" s="28"/>
      <c r="P2486" s="29"/>
      <c r="S2486" s="24"/>
    </row>
    <row r="2487" ht="15.75" hidden="1" customHeight="1">
      <c r="F2487" s="29"/>
      <c r="I2487" s="24"/>
      <c r="K2487" s="28"/>
      <c r="P2487" s="29"/>
      <c r="S2487" s="24"/>
    </row>
    <row r="2488" ht="15.75" hidden="1" customHeight="1">
      <c r="F2488" s="29"/>
      <c r="I2488" s="24"/>
      <c r="K2488" s="28"/>
      <c r="P2488" s="29"/>
      <c r="S2488" s="24"/>
    </row>
    <row r="2489" ht="15.75" hidden="1" customHeight="1">
      <c r="F2489" s="29"/>
      <c r="I2489" s="24"/>
      <c r="K2489" s="28"/>
      <c r="P2489" s="29"/>
      <c r="S2489" s="24"/>
    </row>
    <row r="2490" ht="15.75" hidden="1" customHeight="1">
      <c r="F2490" s="29"/>
      <c r="I2490" s="24"/>
      <c r="K2490" s="28"/>
      <c r="P2490" s="29"/>
      <c r="S2490" s="24"/>
    </row>
    <row r="2491" ht="15.75" hidden="1" customHeight="1">
      <c r="F2491" s="29"/>
      <c r="I2491" s="24"/>
      <c r="K2491" s="28"/>
      <c r="P2491" s="29"/>
      <c r="S2491" s="24"/>
    </row>
    <row r="2492" ht="15.75" hidden="1" customHeight="1">
      <c r="F2492" s="29"/>
      <c r="I2492" s="24"/>
      <c r="K2492" s="28"/>
      <c r="P2492" s="29"/>
      <c r="S2492" s="24"/>
    </row>
    <row r="2493" ht="15.75" hidden="1" customHeight="1">
      <c r="F2493" s="29"/>
      <c r="I2493" s="24"/>
      <c r="K2493" s="28"/>
      <c r="P2493" s="29"/>
      <c r="S2493" s="24"/>
    </row>
    <row r="2494" ht="15.75" hidden="1" customHeight="1">
      <c r="F2494" s="29"/>
      <c r="I2494" s="24"/>
      <c r="K2494" s="28"/>
      <c r="P2494" s="29"/>
      <c r="S2494" s="24"/>
    </row>
    <row r="2495" ht="15.75" hidden="1" customHeight="1">
      <c r="F2495" s="29"/>
      <c r="I2495" s="24"/>
      <c r="K2495" s="28"/>
      <c r="P2495" s="29"/>
      <c r="S2495" s="24"/>
    </row>
    <row r="2496" ht="15.75" hidden="1" customHeight="1">
      <c r="F2496" s="29"/>
      <c r="I2496" s="24"/>
      <c r="K2496" s="28"/>
      <c r="P2496" s="29"/>
      <c r="S2496" s="24"/>
    </row>
    <row r="2497" ht="15.75" hidden="1" customHeight="1">
      <c r="F2497" s="29"/>
      <c r="I2497" s="24"/>
      <c r="K2497" s="28"/>
      <c r="P2497" s="29"/>
      <c r="S2497" s="24"/>
    </row>
    <row r="2498" ht="15.75" hidden="1" customHeight="1">
      <c r="F2498" s="29"/>
      <c r="I2498" s="24"/>
      <c r="K2498" s="28"/>
      <c r="P2498" s="29"/>
      <c r="S2498" s="24"/>
    </row>
    <row r="2499" ht="15.75" hidden="1" customHeight="1">
      <c r="F2499" s="29"/>
      <c r="I2499" s="24"/>
      <c r="K2499" s="28"/>
      <c r="P2499" s="29"/>
      <c r="S2499" s="24"/>
    </row>
    <row r="2500" ht="15.75" hidden="1" customHeight="1">
      <c r="F2500" s="29"/>
      <c r="I2500" s="24"/>
      <c r="K2500" s="28"/>
      <c r="P2500" s="29"/>
      <c r="S2500" s="24"/>
    </row>
    <row r="2501" ht="15.75" hidden="1" customHeight="1">
      <c r="F2501" s="29"/>
      <c r="I2501" s="24"/>
      <c r="K2501" s="28"/>
      <c r="P2501" s="29"/>
      <c r="S2501" s="24"/>
    </row>
    <row r="2502" ht="15.75" hidden="1" customHeight="1">
      <c r="F2502" s="29"/>
      <c r="I2502" s="24"/>
      <c r="K2502" s="28"/>
      <c r="P2502" s="29"/>
      <c r="S2502" s="24"/>
    </row>
    <row r="2503" ht="15.75" hidden="1" customHeight="1">
      <c r="F2503" s="29"/>
      <c r="I2503" s="24"/>
      <c r="K2503" s="28"/>
      <c r="P2503" s="29"/>
      <c r="S2503" s="24"/>
    </row>
    <row r="2504" ht="15.75" hidden="1" customHeight="1">
      <c r="F2504" s="29"/>
      <c r="I2504" s="24"/>
      <c r="K2504" s="28"/>
      <c r="P2504" s="29"/>
      <c r="S2504" s="24"/>
    </row>
    <row r="2505" ht="15.75" hidden="1" customHeight="1">
      <c r="F2505" s="29"/>
      <c r="I2505" s="24"/>
      <c r="K2505" s="28"/>
      <c r="P2505" s="29"/>
      <c r="S2505" s="24"/>
    </row>
    <row r="2506" ht="15.75" hidden="1" customHeight="1">
      <c r="F2506" s="29"/>
      <c r="I2506" s="24"/>
      <c r="K2506" s="28"/>
      <c r="P2506" s="29"/>
      <c r="S2506" s="24"/>
    </row>
    <row r="2507" ht="15.75" hidden="1" customHeight="1">
      <c r="F2507" s="29"/>
      <c r="I2507" s="24"/>
      <c r="K2507" s="28"/>
      <c r="P2507" s="29"/>
      <c r="S2507" s="24"/>
    </row>
    <row r="2508" ht="15.75" hidden="1" customHeight="1">
      <c r="F2508" s="29"/>
      <c r="I2508" s="24"/>
      <c r="K2508" s="28"/>
      <c r="P2508" s="29"/>
      <c r="S2508" s="24"/>
    </row>
    <row r="2509" ht="15.75" hidden="1" customHeight="1">
      <c r="F2509" s="29"/>
      <c r="I2509" s="24"/>
      <c r="K2509" s="28"/>
      <c r="P2509" s="29"/>
      <c r="S2509" s="24"/>
    </row>
    <row r="2510" ht="15.75" hidden="1" customHeight="1">
      <c r="F2510" s="29"/>
      <c r="I2510" s="24"/>
      <c r="K2510" s="28"/>
      <c r="P2510" s="29"/>
      <c r="S2510" s="24"/>
    </row>
    <row r="2511" ht="15.75" hidden="1" customHeight="1">
      <c r="F2511" s="29"/>
      <c r="I2511" s="24"/>
      <c r="K2511" s="28"/>
      <c r="P2511" s="29"/>
      <c r="S2511" s="24"/>
    </row>
    <row r="2512" ht="15.75" hidden="1" customHeight="1">
      <c r="F2512" s="29"/>
      <c r="I2512" s="24"/>
      <c r="K2512" s="28"/>
      <c r="P2512" s="29"/>
      <c r="S2512" s="24"/>
    </row>
    <row r="2513" ht="15.75" hidden="1" customHeight="1">
      <c r="F2513" s="29"/>
      <c r="I2513" s="24"/>
      <c r="K2513" s="28"/>
      <c r="P2513" s="29"/>
      <c r="S2513" s="24"/>
    </row>
    <row r="2514" ht="15.75" hidden="1" customHeight="1">
      <c r="F2514" s="29"/>
      <c r="I2514" s="24"/>
      <c r="K2514" s="28"/>
      <c r="P2514" s="29"/>
      <c r="S2514" s="24"/>
    </row>
    <row r="2515" ht="15.75" hidden="1" customHeight="1">
      <c r="F2515" s="29"/>
      <c r="I2515" s="24"/>
      <c r="K2515" s="28"/>
      <c r="P2515" s="29"/>
      <c r="S2515" s="24"/>
    </row>
    <row r="2516" ht="15.75" hidden="1" customHeight="1">
      <c r="F2516" s="29"/>
      <c r="I2516" s="24"/>
      <c r="K2516" s="28"/>
      <c r="P2516" s="29"/>
      <c r="S2516" s="24"/>
    </row>
    <row r="2517" ht="15.75" hidden="1" customHeight="1">
      <c r="F2517" s="29"/>
      <c r="I2517" s="24"/>
      <c r="K2517" s="28"/>
      <c r="P2517" s="29"/>
      <c r="S2517" s="24"/>
    </row>
    <row r="2518" ht="15.75" hidden="1" customHeight="1">
      <c r="F2518" s="29"/>
      <c r="I2518" s="24"/>
      <c r="K2518" s="28"/>
      <c r="P2518" s="29"/>
      <c r="S2518" s="24"/>
    </row>
    <row r="2519" ht="15.75" hidden="1" customHeight="1">
      <c r="F2519" s="29"/>
      <c r="I2519" s="24"/>
      <c r="K2519" s="28"/>
      <c r="P2519" s="29"/>
      <c r="S2519" s="24"/>
    </row>
    <row r="2520" ht="15.75" hidden="1" customHeight="1">
      <c r="F2520" s="29"/>
      <c r="I2520" s="24"/>
      <c r="K2520" s="28"/>
      <c r="P2520" s="29"/>
      <c r="S2520" s="24"/>
    </row>
    <row r="2521" ht="15.75" hidden="1" customHeight="1">
      <c r="F2521" s="29"/>
      <c r="I2521" s="24"/>
      <c r="K2521" s="28"/>
      <c r="P2521" s="29"/>
      <c r="S2521" s="24"/>
    </row>
    <row r="2522" ht="15.75" hidden="1" customHeight="1">
      <c r="F2522" s="29"/>
      <c r="I2522" s="24"/>
      <c r="K2522" s="28"/>
      <c r="P2522" s="29"/>
      <c r="S2522" s="24"/>
    </row>
    <row r="2523" ht="15.75" hidden="1" customHeight="1">
      <c r="F2523" s="29"/>
      <c r="I2523" s="24"/>
      <c r="K2523" s="28"/>
      <c r="P2523" s="29"/>
      <c r="S2523" s="24"/>
    </row>
    <row r="2524" ht="15.75" hidden="1" customHeight="1">
      <c r="F2524" s="29"/>
      <c r="I2524" s="24"/>
      <c r="K2524" s="28"/>
      <c r="P2524" s="29"/>
      <c r="S2524" s="24"/>
    </row>
    <row r="2525" ht="15.75" hidden="1" customHeight="1">
      <c r="F2525" s="29"/>
      <c r="I2525" s="24"/>
      <c r="K2525" s="28"/>
      <c r="P2525" s="29"/>
      <c r="S2525" s="24"/>
    </row>
    <row r="2526" ht="15.75" hidden="1" customHeight="1">
      <c r="F2526" s="29"/>
      <c r="I2526" s="24"/>
      <c r="K2526" s="28"/>
      <c r="P2526" s="29"/>
      <c r="S2526" s="24"/>
    </row>
    <row r="2527" ht="15.75" hidden="1" customHeight="1">
      <c r="F2527" s="29"/>
      <c r="I2527" s="24"/>
      <c r="K2527" s="28"/>
      <c r="P2527" s="29"/>
      <c r="S2527" s="24"/>
    </row>
    <row r="2528" ht="15.75" hidden="1" customHeight="1">
      <c r="F2528" s="29"/>
      <c r="I2528" s="24"/>
      <c r="K2528" s="28"/>
      <c r="P2528" s="29"/>
      <c r="S2528" s="24"/>
    </row>
    <row r="2529" ht="15.75" hidden="1" customHeight="1">
      <c r="F2529" s="29"/>
      <c r="I2529" s="24"/>
      <c r="K2529" s="28"/>
      <c r="P2529" s="29"/>
      <c r="S2529" s="24"/>
    </row>
    <row r="2530" ht="15.75" hidden="1" customHeight="1">
      <c r="F2530" s="29"/>
      <c r="I2530" s="24"/>
      <c r="K2530" s="28"/>
      <c r="P2530" s="29"/>
      <c r="S2530" s="24"/>
    </row>
    <row r="2531" ht="15.75" hidden="1" customHeight="1">
      <c r="F2531" s="29"/>
      <c r="I2531" s="24"/>
      <c r="K2531" s="28"/>
      <c r="P2531" s="29"/>
      <c r="S2531" s="24"/>
    </row>
    <row r="2532" ht="15.75" hidden="1" customHeight="1">
      <c r="F2532" s="29"/>
      <c r="I2532" s="24"/>
      <c r="K2532" s="28"/>
      <c r="P2532" s="29"/>
      <c r="S2532" s="24"/>
    </row>
    <row r="2533" ht="15.75" hidden="1" customHeight="1">
      <c r="F2533" s="29"/>
      <c r="I2533" s="24"/>
      <c r="K2533" s="28"/>
      <c r="P2533" s="29"/>
      <c r="S2533" s="24"/>
    </row>
    <row r="2534" ht="15.75" hidden="1" customHeight="1">
      <c r="F2534" s="29"/>
      <c r="I2534" s="24"/>
      <c r="K2534" s="28"/>
      <c r="P2534" s="29"/>
      <c r="S2534" s="24"/>
    </row>
    <row r="2535" ht="15.75" hidden="1" customHeight="1">
      <c r="F2535" s="29"/>
      <c r="I2535" s="24"/>
      <c r="K2535" s="28"/>
      <c r="P2535" s="29"/>
      <c r="S2535" s="24"/>
    </row>
    <row r="2536" ht="15.75" hidden="1" customHeight="1">
      <c r="F2536" s="29"/>
      <c r="I2536" s="24"/>
      <c r="K2536" s="28"/>
      <c r="P2536" s="29"/>
      <c r="S2536" s="24"/>
    </row>
    <row r="2537" ht="15.75" hidden="1" customHeight="1">
      <c r="F2537" s="29"/>
      <c r="I2537" s="24"/>
      <c r="K2537" s="28"/>
      <c r="P2537" s="29"/>
      <c r="S2537" s="24"/>
    </row>
    <row r="2538" ht="15.75" hidden="1" customHeight="1">
      <c r="F2538" s="29"/>
      <c r="I2538" s="24"/>
      <c r="K2538" s="28"/>
      <c r="P2538" s="29"/>
      <c r="S2538" s="24"/>
    </row>
    <row r="2539" ht="15.75" hidden="1" customHeight="1">
      <c r="F2539" s="29"/>
      <c r="I2539" s="24"/>
      <c r="K2539" s="28"/>
      <c r="P2539" s="29"/>
      <c r="S2539" s="24"/>
    </row>
    <row r="2540" ht="15.75" hidden="1" customHeight="1">
      <c r="F2540" s="29"/>
      <c r="I2540" s="24"/>
      <c r="K2540" s="28"/>
      <c r="P2540" s="29"/>
      <c r="S2540" s="24"/>
    </row>
    <row r="2541" ht="15.75" hidden="1" customHeight="1">
      <c r="F2541" s="29"/>
      <c r="I2541" s="24"/>
      <c r="K2541" s="28"/>
      <c r="P2541" s="29"/>
      <c r="S2541" s="24"/>
    </row>
    <row r="2542" ht="15.75" hidden="1" customHeight="1">
      <c r="F2542" s="29"/>
      <c r="I2542" s="24"/>
      <c r="K2542" s="28"/>
      <c r="P2542" s="29"/>
      <c r="S2542" s="24"/>
    </row>
    <row r="2543" ht="15.75" hidden="1" customHeight="1">
      <c r="F2543" s="29"/>
      <c r="I2543" s="24"/>
      <c r="K2543" s="28"/>
      <c r="P2543" s="29"/>
      <c r="S2543" s="24"/>
    </row>
    <row r="2544" ht="15.75" hidden="1" customHeight="1">
      <c r="F2544" s="29"/>
      <c r="I2544" s="24"/>
      <c r="K2544" s="28"/>
      <c r="P2544" s="29"/>
      <c r="S2544" s="24"/>
    </row>
    <row r="2545" ht="15.75" hidden="1" customHeight="1">
      <c r="F2545" s="29"/>
      <c r="I2545" s="24"/>
      <c r="K2545" s="28"/>
      <c r="P2545" s="29"/>
      <c r="S2545" s="24"/>
    </row>
    <row r="2546" ht="15.75" hidden="1" customHeight="1">
      <c r="F2546" s="29"/>
      <c r="I2546" s="24"/>
      <c r="K2546" s="28"/>
      <c r="P2546" s="29"/>
      <c r="S2546" s="24"/>
    </row>
    <row r="2547" ht="15.75" hidden="1" customHeight="1">
      <c r="F2547" s="29"/>
      <c r="I2547" s="24"/>
      <c r="K2547" s="28"/>
      <c r="P2547" s="29"/>
      <c r="S2547" s="24"/>
    </row>
    <row r="2548" ht="15.75" hidden="1" customHeight="1">
      <c r="F2548" s="29"/>
      <c r="I2548" s="24"/>
      <c r="K2548" s="28"/>
      <c r="P2548" s="29"/>
      <c r="S2548" s="24"/>
    </row>
    <row r="2549" ht="15.75" hidden="1" customHeight="1">
      <c r="F2549" s="29"/>
      <c r="I2549" s="24"/>
      <c r="K2549" s="28"/>
      <c r="P2549" s="29"/>
      <c r="S2549" s="24"/>
    </row>
    <row r="2550" ht="15.75" hidden="1" customHeight="1">
      <c r="F2550" s="29"/>
      <c r="I2550" s="24"/>
      <c r="K2550" s="28"/>
      <c r="P2550" s="29"/>
      <c r="S2550" s="24"/>
    </row>
    <row r="2551" ht="15.75" hidden="1" customHeight="1">
      <c r="F2551" s="29"/>
      <c r="I2551" s="24"/>
      <c r="K2551" s="28"/>
      <c r="P2551" s="29"/>
      <c r="S2551" s="24"/>
    </row>
    <row r="2552" ht="15.75" hidden="1" customHeight="1">
      <c r="F2552" s="29"/>
      <c r="I2552" s="24"/>
      <c r="K2552" s="28"/>
      <c r="P2552" s="29"/>
      <c r="S2552" s="24"/>
    </row>
    <row r="2553" ht="15.75" hidden="1" customHeight="1">
      <c r="F2553" s="29"/>
      <c r="I2553" s="24"/>
      <c r="K2553" s="28"/>
      <c r="P2553" s="29"/>
      <c r="S2553" s="24"/>
    </row>
    <row r="2554" ht="15.75" hidden="1" customHeight="1">
      <c r="F2554" s="29"/>
      <c r="I2554" s="24"/>
      <c r="K2554" s="28"/>
      <c r="P2554" s="29"/>
      <c r="S2554" s="24"/>
    </row>
    <row r="2555" ht="15.75" hidden="1" customHeight="1">
      <c r="F2555" s="29"/>
      <c r="I2555" s="24"/>
      <c r="K2555" s="28"/>
      <c r="P2555" s="29"/>
      <c r="S2555" s="24"/>
    </row>
    <row r="2556" ht="15.75" hidden="1" customHeight="1">
      <c r="F2556" s="29"/>
      <c r="I2556" s="24"/>
      <c r="K2556" s="28"/>
      <c r="P2556" s="29"/>
      <c r="S2556" s="24"/>
    </row>
    <row r="2557" ht="15.75" hidden="1" customHeight="1">
      <c r="F2557" s="29"/>
      <c r="I2557" s="24"/>
      <c r="K2557" s="28"/>
      <c r="P2557" s="29"/>
      <c r="S2557" s="24"/>
    </row>
    <row r="2558" ht="15.75" hidden="1" customHeight="1">
      <c r="F2558" s="29"/>
      <c r="I2558" s="24"/>
      <c r="K2558" s="28"/>
      <c r="P2558" s="29"/>
      <c r="S2558" s="24"/>
    </row>
    <row r="2559" ht="15.75" hidden="1" customHeight="1">
      <c r="F2559" s="29"/>
      <c r="I2559" s="24"/>
      <c r="K2559" s="28"/>
      <c r="P2559" s="29"/>
      <c r="S2559" s="24"/>
    </row>
    <row r="2560" ht="15.75" hidden="1" customHeight="1">
      <c r="F2560" s="29"/>
      <c r="I2560" s="24"/>
      <c r="K2560" s="28"/>
      <c r="P2560" s="29"/>
      <c r="S2560" s="24"/>
    </row>
    <row r="2561" ht="15.75" hidden="1" customHeight="1">
      <c r="F2561" s="29"/>
      <c r="I2561" s="24"/>
      <c r="K2561" s="28"/>
      <c r="P2561" s="29"/>
      <c r="S2561" s="24"/>
    </row>
    <row r="2562" ht="15.75" hidden="1" customHeight="1">
      <c r="F2562" s="29"/>
      <c r="I2562" s="24"/>
      <c r="K2562" s="28"/>
      <c r="P2562" s="29"/>
      <c r="S2562" s="24"/>
    </row>
    <row r="2563" ht="15.75" hidden="1" customHeight="1">
      <c r="F2563" s="29"/>
      <c r="I2563" s="24"/>
      <c r="K2563" s="28"/>
      <c r="P2563" s="29"/>
      <c r="S2563" s="24"/>
    </row>
    <row r="2564" ht="15.75" hidden="1" customHeight="1">
      <c r="F2564" s="29"/>
      <c r="I2564" s="24"/>
      <c r="K2564" s="28"/>
      <c r="P2564" s="29"/>
      <c r="S2564" s="24"/>
    </row>
    <row r="2565" ht="15.75" hidden="1" customHeight="1">
      <c r="F2565" s="29"/>
      <c r="I2565" s="24"/>
      <c r="K2565" s="28"/>
      <c r="P2565" s="29"/>
      <c r="S2565" s="24"/>
    </row>
    <row r="2566" ht="15.75" hidden="1" customHeight="1">
      <c r="F2566" s="29"/>
      <c r="I2566" s="24"/>
      <c r="K2566" s="28"/>
      <c r="P2566" s="29"/>
      <c r="S2566" s="24"/>
    </row>
    <row r="2567" ht="15.75" hidden="1" customHeight="1">
      <c r="F2567" s="29"/>
      <c r="I2567" s="24"/>
      <c r="K2567" s="28"/>
      <c r="P2567" s="29"/>
      <c r="S2567" s="24"/>
    </row>
    <row r="2568" ht="15.75" hidden="1" customHeight="1">
      <c r="F2568" s="29"/>
      <c r="I2568" s="24"/>
      <c r="K2568" s="28"/>
      <c r="P2568" s="29"/>
      <c r="S2568" s="24"/>
    </row>
    <row r="2569" ht="15.75" hidden="1" customHeight="1">
      <c r="F2569" s="29"/>
      <c r="I2569" s="24"/>
      <c r="K2569" s="28"/>
      <c r="P2569" s="29"/>
      <c r="S2569" s="24"/>
    </row>
    <row r="2570" ht="15.75" hidden="1" customHeight="1">
      <c r="F2570" s="29"/>
      <c r="I2570" s="24"/>
      <c r="K2570" s="28"/>
      <c r="P2570" s="29"/>
      <c r="S2570" s="24"/>
    </row>
    <row r="2571" ht="15.75" hidden="1" customHeight="1">
      <c r="F2571" s="29"/>
      <c r="I2571" s="24"/>
      <c r="K2571" s="28"/>
      <c r="P2571" s="29"/>
      <c r="S2571" s="24"/>
    </row>
    <row r="2572" ht="15.75" hidden="1" customHeight="1">
      <c r="F2572" s="29"/>
      <c r="I2572" s="24"/>
      <c r="K2572" s="28"/>
      <c r="P2572" s="29"/>
      <c r="S2572" s="24"/>
    </row>
    <row r="2573" ht="15.75" hidden="1" customHeight="1">
      <c r="F2573" s="29"/>
      <c r="I2573" s="24"/>
      <c r="K2573" s="28"/>
      <c r="P2573" s="29"/>
      <c r="S2573" s="24"/>
    </row>
    <row r="2574" ht="15.75" hidden="1" customHeight="1">
      <c r="F2574" s="29"/>
      <c r="I2574" s="24"/>
      <c r="K2574" s="28"/>
      <c r="P2574" s="29"/>
      <c r="S2574" s="24"/>
    </row>
    <row r="2575" ht="15.75" hidden="1" customHeight="1">
      <c r="F2575" s="29"/>
      <c r="I2575" s="24"/>
      <c r="K2575" s="28"/>
      <c r="P2575" s="29"/>
      <c r="S2575" s="24"/>
    </row>
    <row r="2576" ht="15.75" hidden="1" customHeight="1">
      <c r="F2576" s="29"/>
      <c r="I2576" s="24"/>
      <c r="K2576" s="28"/>
      <c r="P2576" s="29"/>
      <c r="S2576" s="24"/>
    </row>
    <row r="2577" ht="15.75" hidden="1" customHeight="1">
      <c r="F2577" s="29"/>
      <c r="I2577" s="24"/>
      <c r="K2577" s="28"/>
      <c r="P2577" s="29"/>
      <c r="S2577" s="24"/>
    </row>
    <row r="2578" ht="15.75" hidden="1" customHeight="1">
      <c r="F2578" s="29"/>
      <c r="I2578" s="24"/>
      <c r="K2578" s="28"/>
      <c r="P2578" s="29"/>
      <c r="S2578" s="24"/>
    </row>
    <row r="2579" ht="15.75" hidden="1" customHeight="1">
      <c r="F2579" s="29"/>
      <c r="I2579" s="24"/>
      <c r="K2579" s="28"/>
      <c r="P2579" s="29"/>
      <c r="S2579" s="24"/>
    </row>
    <row r="2580" ht="15.75" hidden="1" customHeight="1">
      <c r="F2580" s="29"/>
      <c r="I2580" s="24"/>
      <c r="K2580" s="28"/>
      <c r="P2580" s="29"/>
      <c r="S2580" s="24"/>
    </row>
    <row r="2581" ht="15.75" hidden="1" customHeight="1">
      <c r="F2581" s="29"/>
      <c r="I2581" s="24"/>
      <c r="K2581" s="28"/>
      <c r="P2581" s="29"/>
      <c r="S2581" s="24"/>
    </row>
    <row r="2582" ht="15.75" hidden="1" customHeight="1">
      <c r="F2582" s="29"/>
      <c r="I2582" s="24"/>
      <c r="K2582" s="28"/>
      <c r="P2582" s="29"/>
      <c r="S2582" s="24"/>
    </row>
    <row r="2583" ht="15.75" hidden="1" customHeight="1">
      <c r="F2583" s="29"/>
      <c r="I2583" s="24"/>
      <c r="K2583" s="28"/>
      <c r="P2583" s="29"/>
      <c r="S2583" s="24"/>
    </row>
    <row r="2584" ht="15.75" hidden="1" customHeight="1">
      <c r="F2584" s="29"/>
      <c r="I2584" s="24"/>
      <c r="K2584" s="28"/>
      <c r="P2584" s="29"/>
      <c r="S2584" s="24"/>
    </row>
    <row r="2585" ht="15.75" hidden="1" customHeight="1">
      <c r="F2585" s="29"/>
      <c r="I2585" s="24"/>
      <c r="K2585" s="28"/>
      <c r="P2585" s="29"/>
      <c r="S2585" s="24"/>
    </row>
    <row r="2586" ht="15.75" hidden="1" customHeight="1">
      <c r="F2586" s="29"/>
      <c r="I2586" s="24"/>
      <c r="K2586" s="28"/>
      <c r="P2586" s="29"/>
      <c r="S2586" s="24"/>
    </row>
    <row r="2587" ht="15.75" hidden="1" customHeight="1">
      <c r="F2587" s="29"/>
      <c r="I2587" s="24"/>
      <c r="K2587" s="28"/>
      <c r="P2587" s="29"/>
      <c r="S2587" s="24"/>
    </row>
    <row r="2588" ht="15.75" hidden="1" customHeight="1">
      <c r="F2588" s="29"/>
      <c r="I2588" s="24"/>
      <c r="K2588" s="28"/>
      <c r="P2588" s="29"/>
      <c r="S2588" s="24"/>
    </row>
    <row r="2589" ht="15.75" hidden="1" customHeight="1">
      <c r="F2589" s="29"/>
      <c r="I2589" s="24"/>
      <c r="K2589" s="28"/>
      <c r="P2589" s="29"/>
      <c r="S2589" s="24"/>
    </row>
    <row r="2590" ht="15.75" hidden="1" customHeight="1">
      <c r="F2590" s="29"/>
      <c r="I2590" s="24"/>
      <c r="K2590" s="28"/>
      <c r="P2590" s="29"/>
      <c r="S2590" s="24"/>
    </row>
    <row r="2591" ht="15.75" hidden="1" customHeight="1">
      <c r="F2591" s="29"/>
      <c r="I2591" s="24"/>
      <c r="K2591" s="28"/>
      <c r="P2591" s="29"/>
      <c r="S2591" s="24"/>
    </row>
    <row r="2592" ht="15.75" hidden="1" customHeight="1">
      <c r="F2592" s="29"/>
      <c r="I2592" s="24"/>
      <c r="K2592" s="28"/>
      <c r="P2592" s="29"/>
      <c r="S2592" s="24"/>
    </row>
    <row r="2593" ht="15.75" hidden="1" customHeight="1">
      <c r="F2593" s="29"/>
      <c r="I2593" s="24"/>
      <c r="K2593" s="28"/>
      <c r="P2593" s="29"/>
      <c r="S2593" s="24"/>
    </row>
    <row r="2594" ht="15.75" hidden="1" customHeight="1">
      <c r="F2594" s="29"/>
      <c r="I2594" s="24"/>
      <c r="K2594" s="28"/>
      <c r="P2594" s="29"/>
      <c r="S2594" s="24"/>
    </row>
    <row r="2595" ht="15.75" hidden="1" customHeight="1">
      <c r="F2595" s="29"/>
      <c r="I2595" s="24"/>
      <c r="K2595" s="28"/>
      <c r="P2595" s="29"/>
      <c r="S2595" s="24"/>
    </row>
    <row r="2596" ht="15.75" hidden="1" customHeight="1">
      <c r="F2596" s="29"/>
      <c r="I2596" s="24"/>
      <c r="K2596" s="28"/>
      <c r="P2596" s="29"/>
      <c r="S2596" s="24"/>
    </row>
    <row r="2597" ht="15.75" hidden="1" customHeight="1">
      <c r="F2597" s="29"/>
      <c r="I2597" s="24"/>
      <c r="K2597" s="28"/>
      <c r="P2597" s="29"/>
      <c r="S2597" s="24"/>
    </row>
    <row r="2598" ht="15.75" hidden="1" customHeight="1">
      <c r="F2598" s="29"/>
      <c r="I2598" s="24"/>
      <c r="K2598" s="28"/>
      <c r="P2598" s="29"/>
      <c r="S2598" s="24"/>
    </row>
    <row r="2599" ht="15.75" hidden="1" customHeight="1">
      <c r="F2599" s="29"/>
      <c r="I2599" s="24"/>
      <c r="K2599" s="28"/>
      <c r="P2599" s="29"/>
      <c r="S2599" s="24"/>
    </row>
    <row r="2600" ht="15.75" hidden="1" customHeight="1">
      <c r="F2600" s="29"/>
      <c r="I2600" s="24"/>
      <c r="K2600" s="28"/>
      <c r="P2600" s="29"/>
      <c r="S2600" s="24"/>
    </row>
    <row r="2601" ht="15.75" hidden="1" customHeight="1">
      <c r="F2601" s="29"/>
      <c r="I2601" s="24"/>
      <c r="K2601" s="28"/>
      <c r="P2601" s="29"/>
      <c r="S2601" s="24"/>
    </row>
    <row r="2602" ht="15.75" hidden="1" customHeight="1">
      <c r="F2602" s="29"/>
      <c r="I2602" s="24"/>
      <c r="K2602" s="28"/>
      <c r="P2602" s="29"/>
      <c r="S2602" s="24"/>
    </row>
    <row r="2603" ht="15.75" hidden="1" customHeight="1">
      <c r="F2603" s="29"/>
      <c r="I2603" s="24"/>
      <c r="K2603" s="28"/>
      <c r="P2603" s="29"/>
      <c r="S2603" s="24"/>
    </row>
    <row r="2604" ht="15.75" hidden="1" customHeight="1">
      <c r="F2604" s="29"/>
      <c r="I2604" s="24"/>
      <c r="K2604" s="28"/>
      <c r="P2604" s="29"/>
      <c r="S2604" s="24"/>
    </row>
    <row r="2605" ht="15.75" hidden="1" customHeight="1">
      <c r="F2605" s="29"/>
      <c r="I2605" s="24"/>
      <c r="K2605" s="28"/>
      <c r="P2605" s="29"/>
      <c r="S2605" s="24"/>
    </row>
    <row r="2606" ht="15.75" hidden="1" customHeight="1">
      <c r="F2606" s="29"/>
      <c r="I2606" s="24"/>
      <c r="K2606" s="28"/>
      <c r="P2606" s="29"/>
      <c r="S2606" s="24"/>
    </row>
    <row r="2607" ht="15.75" hidden="1" customHeight="1">
      <c r="F2607" s="29"/>
      <c r="I2607" s="24"/>
      <c r="K2607" s="28"/>
      <c r="P2607" s="29"/>
      <c r="S2607" s="24"/>
    </row>
    <row r="2608" ht="15.75" hidden="1" customHeight="1">
      <c r="F2608" s="29"/>
      <c r="I2608" s="24"/>
      <c r="K2608" s="28"/>
      <c r="P2608" s="29"/>
      <c r="S2608" s="24"/>
    </row>
    <row r="2609" ht="15.75" hidden="1" customHeight="1">
      <c r="F2609" s="29"/>
      <c r="I2609" s="24"/>
      <c r="K2609" s="28"/>
      <c r="P2609" s="29"/>
      <c r="S2609" s="24"/>
    </row>
    <row r="2610" ht="15.75" hidden="1" customHeight="1">
      <c r="F2610" s="29"/>
      <c r="I2610" s="24"/>
      <c r="K2610" s="28"/>
      <c r="P2610" s="29"/>
      <c r="S2610" s="24"/>
    </row>
    <row r="2611" ht="15.75" hidden="1" customHeight="1">
      <c r="F2611" s="29"/>
      <c r="I2611" s="24"/>
      <c r="K2611" s="28"/>
      <c r="P2611" s="29"/>
      <c r="S2611" s="24"/>
    </row>
    <row r="2612" ht="15.75" hidden="1" customHeight="1">
      <c r="F2612" s="29"/>
      <c r="I2612" s="24"/>
      <c r="K2612" s="28"/>
      <c r="P2612" s="29"/>
      <c r="S2612" s="24"/>
    </row>
    <row r="2613" ht="15.75" hidden="1" customHeight="1">
      <c r="F2613" s="29"/>
      <c r="I2613" s="24"/>
      <c r="K2613" s="28"/>
      <c r="P2613" s="29"/>
      <c r="S2613" s="24"/>
    </row>
    <row r="2614" ht="15.75" hidden="1" customHeight="1">
      <c r="F2614" s="29"/>
      <c r="I2614" s="24"/>
      <c r="K2614" s="28"/>
      <c r="P2614" s="29"/>
      <c r="S2614" s="24"/>
    </row>
    <row r="2615" ht="15.75" hidden="1" customHeight="1">
      <c r="F2615" s="29"/>
      <c r="I2615" s="24"/>
      <c r="K2615" s="28"/>
      <c r="P2615" s="29"/>
      <c r="S2615" s="24"/>
    </row>
    <row r="2616" ht="15.75" hidden="1" customHeight="1">
      <c r="F2616" s="29"/>
      <c r="I2616" s="24"/>
      <c r="K2616" s="28"/>
      <c r="P2616" s="29"/>
      <c r="S2616" s="24"/>
    </row>
    <row r="2617" ht="15.75" hidden="1" customHeight="1">
      <c r="F2617" s="29"/>
      <c r="I2617" s="24"/>
      <c r="K2617" s="28"/>
      <c r="P2617" s="29"/>
      <c r="S2617" s="24"/>
    </row>
    <row r="2618" ht="15.75" hidden="1" customHeight="1">
      <c r="F2618" s="29"/>
      <c r="I2618" s="24"/>
      <c r="K2618" s="28"/>
      <c r="P2618" s="29"/>
      <c r="S2618" s="24"/>
    </row>
    <row r="2619" ht="15.75" hidden="1" customHeight="1">
      <c r="F2619" s="29"/>
      <c r="I2619" s="24"/>
      <c r="K2619" s="28"/>
      <c r="P2619" s="29"/>
      <c r="S2619" s="24"/>
    </row>
    <row r="2620" ht="15.75" hidden="1" customHeight="1">
      <c r="F2620" s="29"/>
      <c r="I2620" s="24"/>
      <c r="K2620" s="28"/>
      <c r="P2620" s="29"/>
      <c r="S2620" s="24"/>
    </row>
    <row r="2621" ht="15.75" hidden="1" customHeight="1">
      <c r="F2621" s="29"/>
      <c r="I2621" s="24"/>
      <c r="K2621" s="28"/>
      <c r="P2621" s="29"/>
      <c r="S2621" s="24"/>
    </row>
    <row r="2622" ht="15.75" hidden="1" customHeight="1">
      <c r="F2622" s="29"/>
      <c r="I2622" s="24"/>
      <c r="K2622" s="28"/>
      <c r="P2622" s="29"/>
      <c r="S2622" s="24"/>
    </row>
    <row r="2623" ht="15.75" hidden="1" customHeight="1">
      <c r="F2623" s="29"/>
      <c r="I2623" s="24"/>
      <c r="K2623" s="28"/>
      <c r="P2623" s="29"/>
      <c r="S2623" s="24"/>
    </row>
    <row r="2624" ht="15.75" hidden="1" customHeight="1">
      <c r="F2624" s="29"/>
      <c r="I2624" s="24"/>
      <c r="K2624" s="28"/>
      <c r="P2624" s="29"/>
      <c r="S2624" s="24"/>
    </row>
    <row r="2625" ht="15.75" hidden="1" customHeight="1">
      <c r="F2625" s="29"/>
      <c r="I2625" s="24"/>
      <c r="K2625" s="28"/>
      <c r="P2625" s="29"/>
      <c r="S2625" s="24"/>
    </row>
    <row r="2626" ht="15.75" hidden="1" customHeight="1">
      <c r="F2626" s="29"/>
      <c r="I2626" s="24"/>
      <c r="K2626" s="28"/>
      <c r="P2626" s="29"/>
      <c r="S2626" s="24"/>
    </row>
    <row r="2627" ht="15.75" hidden="1" customHeight="1">
      <c r="F2627" s="29"/>
      <c r="I2627" s="24"/>
      <c r="K2627" s="28"/>
      <c r="P2627" s="29"/>
      <c r="S2627" s="24"/>
    </row>
    <row r="2628" ht="15.75" hidden="1" customHeight="1">
      <c r="F2628" s="29"/>
      <c r="I2628" s="24"/>
      <c r="K2628" s="28"/>
      <c r="P2628" s="29"/>
      <c r="S2628" s="24"/>
    </row>
    <row r="2629" ht="15.75" hidden="1" customHeight="1">
      <c r="F2629" s="29"/>
      <c r="I2629" s="24"/>
      <c r="K2629" s="28"/>
      <c r="P2629" s="29"/>
      <c r="S2629" s="24"/>
    </row>
    <row r="2630" ht="15.75" hidden="1" customHeight="1">
      <c r="F2630" s="29"/>
      <c r="I2630" s="24"/>
      <c r="K2630" s="28"/>
      <c r="P2630" s="29"/>
      <c r="S2630" s="24"/>
    </row>
    <row r="2631" ht="15.75" hidden="1" customHeight="1">
      <c r="F2631" s="29"/>
      <c r="I2631" s="24"/>
      <c r="K2631" s="28"/>
      <c r="P2631" s="29"/>
      <c r="S2631" s="24"/>
    </row>
    <row r="2632" ht="15.75" hidden="1" customHeight="1">
      <c r="F2632" s="29"/>
      <c r="I2632" s="24"/>
      <c r="K2632" s="28"/>
      <c r="P2632" s="29"/>
      <c r="S2632" s="24"/>
    </row>
    <row r="2633" ht="15.75" hidden="1" customHeight="1">
      <c r="F2633" s="29"/>
      <c r="I2633" s="24"/>
      <c r="K2633" s="28"/>
      <c r="P2633" s="29"/>
      <c r="S2633" s="24"/>
    </row>
    <row r="2634" ht="15.75" hidden="1" customHeight="1">
      <c r="F2634" s="29"/>
      <c r="I2634" s="24"/>
      <c r="K2634" s="28"/>
      <c r="P2634" s="29"/>
      <c r="S2634" s="24"/>
    </row>
    <row r="2635" ht="15.75" hidden="1" customHeight="1">
      <c r="F2635" s="29"/>
      <c r="I2635" s="24"/>
      <c r="K2635" s="28"/>
      <c r="P2635" s="29"/>
      <c r="S2635" s="24"/>
    </row>
    <row r="2636" ht="15.75" hidden="1" customHeight="1">
      <c r="F2636" s="29"/>
      <c r="I2636" s="24"/>
      <c r="K2636" s="28"/>
      <c r="P2636" s="29"/>
      <c r="S2636" s="24"/>
    </row>
    <row r="2637" ht="15.75" hidden="1" customHeight="1">
      <c r="F2637" s="29"/>
      <c r="I2637" s="24"/>
      <c r="K2637" s="28"/>
      <c r="P2637" s="29"/>
      <c r="S2637" s="24"/>
    </row>
    <row r="2638" ht="15.75" hidden="1" customHeight="1">
      <c r="F2638" s="29"/>
      <c r="I2638" s="24"/>
      <c r="K2638" s="28"/>
      <c r="P2638" s="29"/>
      <c r="S2638" s="24"/>
    </row>
    <row r="2639" ht="15.75" hidden="1" customHeight="1">
      <c r="F2639" s="29"/>
      <c r="I2639" s="24"/>
      <c r="K2639" s="28"/>
      <c r="P2639" s="29"/>
      <c r="S2639" s="24"/>
    </row>
    <row r="2640" ht="15.75" hidden="1" customHeight="1">
      <c r="F2640" s="29"/>
      <c r="I2640" s="24"/>
      <c r="K2640" s="28"/>
      <c r="P2640" s="29"/>
      <c r="S2640" s="24"/>
    </row>
    <row r="2641" ht="15.75" hidden="1" customHeight="1">
      <c r="F2641" s="29"/>
      <c r="I2641" s="24"/>
      <c r="K2641" s="28"/>
      <c r="P2641" s="29"/>
      <c r="S2641" s="24"/>
    </row>
    <row r="2642" ht="15.75" hidden="1" customHeight="1">
      <c r="F2642" s="29"/>
      <c r="I2642" s="24"/>
      <c r="K2642" s="28"/>
      <c r="P2642" s="29"/>
      <c r="S2642" s="24"/>
    </row>
    <row r="2643" ht="15.75" hidden="1" customHeight="1">
      <c r="F2643" s="29"/>
      <c r="I2643" s="24"/>
      <c r="K2643" s="28"/>
      <c r="P2643" s="29"/>
      <c r="S2643" s="24"/>
    </row>
    <row r="2644" ht="15.75" hidden="1" customHeight="1">
      <c r="F2644" s="29"/>
      <c r="I2644" s="24"/>
      <c r="K2644" s="28"/>
      <c r="P2644" s="29"/>
      <c r="S2644" s="24"/>
    </row>
    <row r="2645" ht="15.75" hidden="1" customHeight="1">
      <c r="F2645" s="29"/>
      <c r="I2645" s="24"/>
      <c r="K2645" s="28"/>
      <c r="P2645" s="29"/>
      <c r="S2645" s="24"/>
    </row>
    <row r="2646" ht="15.75" hidden="1" customHeight="1">
      <c r="F2646" s="29"/>
      <c r="I2646" s="24"/>
      <c r="K2646" s="28"/>
      <c r="P2646" s="29"/>
      <c r="S2646" s="24"/>
    </row>
    <row r="2647" ht="15.75" hidden="1" customHeight="1">
      <c r="F2647" s="29"/>
      <c r="I2647" s="24"/>
      <c r="K2647" s="28"/>
      <c r="P2647" s="29"/>
      <c r="S2647" s="24"/>
    </row>
    <row r="2648" ht="15.75" hidden="1" customHeight="1">
      <c r="F2648" s="29"/>
      <c r="I2648" s="24"/>
      <c r="K2648" s="28"/>
      <c r="P2648" s="29"/>
      <c r="S2648" s="24"/>
    </row>
    <row r="2649" ht="15.75" hidden="1" customHeight="1">
      <c r="F2649" s="29"/>
      <c r="I2649" s="24"/>
      <c r="K2649" s="28"/>
      <c r="P2649" s="29"/>
      <c r="S2649" s="24"/>
    </row>
    <row r="2650" ht="15.75" hidden="1" customHeight="1">
      <c r="F2650" s="29"/>
      <c r="I2650" s="24"/>
      <c r="K2650" s="28"/>
      <c r="P2650" s="29"/>
      <c r="S2650" s="24"/>
    </row>
    <row r="2651" ht="15.75" hidden="1" customHeight="1">
      <c r="F2651" s="29"/>
      <c r="I2651" s="24"/>
      <c r="K2651" s="28"/>
      <c r="P2651" s="29"/>
      <c r="S2651" s="24"/>
    </row>
    <row r="2652" ht="15.75" hidden="1" customHeight="1">
      <c r="F2652" s="29"/>
      <c r="I2652" s="24"/>
      <c r="K2652" s="28"/>
      <c r="P2652" s="29"/>
      <c r="S2652" s="24"/>
    </row>
    <row r="2653" ht="15.75" hidden="1" customHeight="1">
      <c r="F2653" s="29"/>
      <c r="I2653" s="24"/>
      <c r="K2653" s="28"/>
      <c r="P2653" s="29"/>
      <c r="S2653" s="24"/>
    </row>
    <row r="2654" ht="15.75" hidden="1" customHeight="1">
      <c r="F2654" s="29"/>
      <c r="I2654" s="24"/>
      <c r="K2654" s="28"/>
      <c r="P2654" s="29"/>
      <c r="S2654" s="24"/>
    </row>
    <row r="2655" ht="15.75" hidden="1" customHeight="1">
      <c r="F2655" s="29"/>
      <c r="I2655" s="24"/>
      <c r="K2655" s="28"/>
      <c r="P2655" s="29"/>
      <c r="S2655" s="24"/>
    </row>
    <row r="2656" ht="15.75" hidden="1" customHeight="1">
      <c r="F2656" s="29"/>
      <c r="I2656" s="24"/>
      <c r="K2656" s="28"/>
      <c r="P2656" s="29"/>
      <c r="S2656" s="24"/>
    </row>
    <row r="2657" ht="15.75" hidden="1" customHeight="1">
      <c r="F2657" s="29"/>
      <c r="I2657" s="24"/>
      <c r="K2657" s="28"/>
      <c r="P2657" s="29"/>
      <c r="S2657" s="24"/>
    </row>
    <row r="2658" ht="15.75" hidden="1" customHeight="1">
      <c r="F2658" s="29"/>
      <c r="I2658" s="24"/>
      <c r="K2658" s="28"/>
      <c r="P2658" s="29"/>
      <c r="S2658" s="24"/>
    </row>
    <row r="2659" ht="15.75" hidden="1" customHeight="1">
      <c r="F2659" s="29"/>
      <c r="I2659" s="24"/>
      <c r="K2659" s="28"/>
      <c r="P2659" s="29"/>
      <c r="S2659" s="24"/>
    </row>
    <row r="2660" ht="15.75" hidden="1" customHeight="1">
      <c r="F2660" s="29"/>
      <c r="I2660" s="24"/>
      <c r="K2660" s="28"/>
      <c r="P2660" s="29"/>
      <c r="S2660" s="24"/>
    </row>
    <row r="2661" ht="15.75" hidden="1" customHeight="1">
      <c r="F2661" s="29"/>
      <c r="I2661" s="24"/>
      <c r="K2661" s="28"/>
      <c r="P2661" s="29"/>
      <c r="S2661" s="24"/>
    </row>
    <row r="2662" ht="15.75" hidden="1" customHeight="1">
      <c r="F2662" s="29"/>
      <c r="I2662" s="24"/>
      <c r="K2662" s="28"/>
      <c r="P2662" s="29"/>
      <c r="S2662" s="24"/>
    </row>
    <row r="2663" ht="15.75" hidden="1" customHeight="1">
      <c r="F2663" s="29"/>
      <c r="I2663" s="24"/>
      <c r="K2663" s="28"/>
      <c r="P2663" s="29"/>
      <c r="S2663" s="24"/>
    </row>
    <row r="2664" ht="15.75" hidden="1" customHeight="1">
      <c r="F2664" s="29"/>
      <c r="I2664" s="24"/>
      <c r="K2664" s="28"/>
      <c r="P2664" s="29"/>
      <c r="S2664" s="24"/>
    </row>
    <row r="2665" ht="15.75" hidden="1" customHeight="1">
      <c r="F2665" s="29"/>
      <c r="I2665" s="24"/>
      <c r="K2665" s="28"/>
      <c r="P2665" s="29"/>
      <c r="S2665" s="24"/>
    </row>
    <row r="2666" ht="15.75" hidden="1" customHeight="1">
      <c r="F2666" s="29"/>
      <c r="I2666" s="24"/>
      <c r="K2666" s="28"/>
      <c r="P2666" s="29"/>
      <c r="S2666" s="24"/>
    </row>
    <row r="2667" ht="15.75" hidden="1" customHeight="1">
      <c r="F2667" s="29"/>
      <c r="I2667" s="24"/>
      <c r="K2667" s="28"/>
      <c r="P2667" s="29"/>
      <c r="S2667" s="24"/>
    </row>
    <row r="2668" ht="15.75" hidden="1" customHeight="1">
      <c r="F2668" s="29"/>
      <c r="I2668" s="24"/>
      <c r="K2668" s="28"/>
      <c r="P2668" s="29"/>
      <c r="S2668" s="24"/>
    </row>
    <row r="2669" ht="15.75" hidden="1" customHeight="1">
      <c r="F2669" s="29"/>
      <c r="I2669" s="24"/>
      <c r="K2669" s="28"/>
      <c r="P2669" s="29"/>
      <c r="S2669" s="24"/>
    </row>
    <row r="2670" ht="15.75" hidden="1" customHeight="1">
      <c r="F2670" s="29"/>
      <c r="I2670" s="24"/>
      <c r="K2670" s="28"/>
      <c r="P2670" s="29"/>
      <c r="S2670" s="24"/>
    </row>
    <row r="2671" ht="15.75" hidden="1" customHeight="1">
      <c r="F2671" s="29"/>
      <c r="I2671" s="24"/>
      <c r="K2671" s="28"/>
      <c r="P2671" s="29"/>
      <c r="S2671" s="24"/>
    </row>
    <row r="2672" ht="15.75" hidden="1" customHeight="1">
      <c r="F2672" s="29"/>
      <c r="I2672" s="24"/>
      <c r="K2672" s="28"/>
      <c r="P2672" s="29"/>
      <c r="S2672" s="24"/>
    </row>
    <row r="2673" ht="15.75" hidden="1" customHeight="1">
      <c r="F2673" s="29"/>
      <c r="I2673" s="24"/>
      <c r="K2673" s="28"/>
      <c r="P2673" s="29"/>
      <c r="S2673" s="24"/>
    </row>
    <row r="2674" ht="15.75" hidden="1" customHeight="1">
      <c r="F2674" s="29"/>
      <c r="I2674" s="24"/>
      <c r="K2674" s="28"/>
      <c r="P2674" s="29"/>
      <c r="S2674" s="24"/>
    </row>
    <row r="2675" ht="15.75" hidden="1" customHeight="1">
      <c r="F2675" s="29"/>
      <c r="I2675" s="24"/>
      <c r="K2675" s="28"/>
      <c r="P2675" s="29"/>
      <c r="S2675" s="24"/>
    </row>
    <row r="2676" ht="15.75" hidden="1" customHeight="1">
      <c r="F2676" s="29"/>
      <c r="I2676" s="24"/>
      <c r="K2676" s="28"/>
      <c r="P2676" s="29"/>
      <c r="S2676" s="24"/>
    </row>
    <row r="2677" ht="15.75" hidden="1" customHeight="1">
      <c r="F2677" s="29"/>
      <c r="I2677" s="24"/>
      <c r="K2677" s="28"/>
      <c r="P2677" s="29"/>
      <c r="S2677" s="24"/>
    </row>
    <row r="2678" ht="15.75" hidden="1" customHeight="1">
      <c r="F2678" s="29"/>
      <c r="I2678" s="24"/>
      <c r="K2678" s="28"/>
      <c r="P2678" s="29"/>
      <c r="S2678" s="24"/>
    </row>
    <row r="2679" ht="15.75" hidden="1" customHeight="1">
      <c r="F2679" s="29"/>
      <c r="I2679" s="24"/>
      <c r="K2679" s="28"/>
      <c r="P2679" s="29"/>
      <c r="S2679" s="24"/>
    </row>
    <row r="2680" ht="15.75" hidden="1" customHeight="1">
      <c r="F2680" s="29"/>
      <c r="I2680" s="24"/>
      <c r="K2680" s="28"/>
      <c r="P2680" s="29"/>
      <c r="S2680" s="24"/>
    </row>
    <row r="2681" ht="15.75" hidden="1" customHeight="1">
      <c r="F2681" s="29"/>
      <c r="I2681" s="24"/>
      <c r="K2681" s="28"/>
      <c r="P2681" s="29"/>
      <c r="S2681" s="24"/>
    </row>
    <row r="2682" ht="15.75" hidden="1" customHeight="1">
      <c r="F2682" s="29"/>
      <c r="I2682" s="24"/>
      <c r="K2682" s="28"/>
      <c r="P2682" s="29"/>
      <c r="S2682" s="24"/>
    </row>
    <row r="2683" ht="15.75" hidden="1" customHeight="1">
      <c r="F2683" s="29"/>
      <c r="I2683" s="24"/>
      <c r="K2683" s="28"/>
      <c r="P2683" s="29"/>
      <c r="S2683" s="24"/>
    </row>
    <row r="2684" ht="15.75" hidden="1" customHeight="1">
      <c r="F2684" s="29"/>
      <c r="I2684" s="24"/>
      <c r="K2684" s="28"/>
      <c r="P2684" s="29"/>
      <c r="S2684" s="24"/>
    </row>
    <row r="2685" ht="15.75" hidden="1" customHeight="1">
      <c r="F2685" s="29"/>
      <c r="I2685" s="24"/>
      <c r="K2685" s="28"/>
      <c r="P2685" s="29"/>
      <c r="S2685" s="24"/>
    </row>
    <row r="2686" ht="15.75" hidden="1" customHeight="1">
      <c r="F2686" s="29"/>
      <c r="I2686" s="24"/>
      <c r="K2686" s="28"/>
      <c r="P2686" s="29"/>
      <c r="S2686" s="24"/>
    </row>
    <row r="2687" ht="15.75" hidden="1" customHeight="1">
      <c r="F2687" s="29"/>
      <c r="I2687" s="24"/>
      <c r="K2687" s="28"/>
      <c r="P2687" s="29"/>
      <c r="S2687" s="24"/>
    </row>
    <row r="2688" ht="15.75" hidden="1" customHeight="1">
      <c r="F2688" s="29"/>
      <c r="I2688" s="24"/>
      <c r="K2688" s="28"/>
      <c r="P2688" s="29"/>
      <c r="S2688" s="24"/>
    </row>
    <row r="2689" ht="15.75" hidden="1" customHeight="1">
      <c r="F2689" s="29"/>
      <c r="I2689" s="24"/>
      <c r="K2689" s="28"/>
      <c r="P2689" s="29"/>
      <c r="S2689" s="24"/>
    </row>
    <row r="2690" ht="15.75" hidden="1" customHeight="1">
      <c r="F2690" s="29"/>
      <c r="I2690" s="24"/>
      <c r="K2690" s="28"/>
      <c r="P2690" s="29"/>
      <c r="S2690" s="24"/>
    </row>
    <row r="2691" ht="15.75" hidden="1" customHeight="1">
      <c r="F2691" s="29"/>
      <c r="I2691" s="24"/>
      <c r="K2691" s="28"/>
      <c r="P2691" s="29"/>
      <c r="S2691" s="24"/>
    </row>
    <row r="2692" ht="15.75" hidden="1" customHeight="1">
      <c r="F2692" s="29"/>
      <c r="I2692" s="24"/>
      <c r="K2692" s="28"/>
      <c r="P2692" s="29"/>
      <c r="S2692" s="24"/>
    </row>
    <row r="2693" ht="15.75" hidden="1" customHeight="1">
      <c r="F2693" s="29"/>
      <c r="I2693" s="24"/>
      <c r="K2693" s="28"/>
      <c r="P2693" s="29"/>
      <c r="S2693" s="24"/>
    </row>
    <row r="2694" ht="15.75" hidden="1" customHeight="1">
      <c r="F2694" s="29"/>
      <c r="I2694" s="24"/>
      <c r="K2694" s="28"/>
      <c r="P2694" s="29"/>
      <c r="S2694" s="24"/>
    </row>
    <row r="2695" ht="15.75" hidden="1" customHeight="1">
      <c r="F2695" s="29"/>
      <c r="I2695" s="24"/>
      <c r="K2695" s="28"/>
      <c r="P2695" s="29"/>
      <c r="S2695" s="24"/>
    </row>
    <row r="2696" ht="15.75" hidden="1" customHeight="1">
      <c r="F2696" s="29"/>
      <c r="I2696" s="24"/>
      <c r="K2696" s="28"/>
      <c r="P2696" s="29"/>
      <c r="S2696" s="24"/>
    </row>
    <row r="2697" ht="15.75" hidden="1" customHeight="1">
      <c r="F2697" s="29"/>
      <c r="I2697" s="24"/>
      <c r="K2697" s="28"/>
      <c r="P2697" s="29"/>
      <c r="S2697" s="24"/>
    </row>
    <row r="2698" ht="15.75" hidden="1" customHeight="1">
      <c r="F2698" s="29"/>
      <c r="I2698" s="24"/>
      <c r="K2698" s="28"/>
      <c r="P2698" s="29"/>
      <c r="S2698" s="24"/>
    </row>
    <row r="2699" ht="15.75" hidden="1" customHeight="1">
      <c r="F2699" s="29"/>
      <c r="I2699" s="24"/>
      <c r="K2699" s="28"/>
      <c r="P2699" s="29"/>
      <c r="S2699" s="24"/>
    </row>
    <row r="2700" ht="15.75" hidden="1" customHeight="1">
      <c r="F2700" s="29"/>
      <c r="I2700" s="24"/>
      <c r="K2700" s="28"/>
      <c r="P2700" s="29"/>
      <c r="S2700" s="24"/>
    </row>
    <row r="2701" ht="15.75" hidden="1" customHeight="1">
      <c r="F2701" s="29"/>
      <c r="I2701" s="24"/>
      <c r="K2701" s="28"/>
      <c r="P2701" s="29"/>
      <c r="S2701" s="24"/>
    </row>
    <row r="2702" ht="15.75" hidden="1" customHeight="1">
      <c r="F2702" s="29"/>
      <c r="I2702" s="24"/>
      <c r="K2702" s="28"/>
      <c r="P2702" s="29"/>
      <c r="S2702" s="24"/>
    </row>
    <row r="2703" ht="15.75" hidden="1" customHeight="1">
      <c r="F2703" s="29"/>
      <c r="I2703" s="24"/>
      <c r="K2703" s="28"/>
      <c r="P2703" s="29"/>
      <c r="S2703" s="24"/>
    </row>
    <row r="2704" ht="15.75" hidden="1" customHeight="1">
      <c r="F2704" s="29"/>
      <c r="I2704" s="24"/>
      <c r="K2704" s="28"/>
      <c r="P2704" s="29"/>
      <c r="S2704" s="24"/>
    </row>
    <row r="2705" ht="15.75" hidden="1" customHeight="1">
      <c r="F2705" s="29"/>
      <c r="I2705" s="24"/>
      <c r="K2705" s="28"/>
      <c r="P2705" s="29"/>
      <c r="S2705" s="24"/>
    </row>
    <row r="2706" ht="15.75" hidden="1" customHeight="1">
      <c r="F2706" s="29"/>
      <c r="I2706" s="24"/>
      <c r="K2706" s="28"/>
      <c r="P2706" s="29"/>
      <c r="S2706" s="24"/>
    </row>
    <row r="2707" ht="15.75" hidden="1" customHeight="1">
      <c r="F2707" s="29"/>
      <c r="I2707" s="24"/>
      <c r="K2707" s="28"/>
      <c r="P2707" s="29"/>
      <c r="S2707" s="24"/>
    </row>
    <row r="2708" ht="15.75" hidden="1" customHeight="1">
      <c r="F2708" s="29"/>
      <c r="I2708" s="24"/>
      <c r="K2708" s="28"/>
      <c r="P2708" s="29"/>
      <c r="S2708" s="24"/>
    </row>
    <row r="2709" ht="15.75" hidden="1" customHeight="1">
      <c r="F2709" s="29"/>
      <c r="I2709" s="24"/>
      <c r="K2709" s="28"/>
      <c r="P2709" s="29"/>
      <c r="S2709" s="24"/>
    </row>
    <row r="2710" ht="15.75" hidden="1" customHeight="1">
      <c r="F2710" s="29"/>
      <c r="I2710" s="24"/>
      <c r="K2710" s="28"/>
      <c r="P2710" s="29"/>
      <c r="S2710" s="24"/>
    </row>
    <row r="2711" ht="15.75" hidden="1" customHeight="1">
      <c r="F2711" s="29"/>
      <c r="I2711" s="24"/>
      <c r="K2711" s="28"/>
      <c r="P2711" s="29"/>
      <c r="S2711" s="24"/>
    </row>
    <row r="2712" ht="15.75" hidden="1" customHeight="1">
      <c r="F2712" s="29"/>
      <c r="I2712" s="24"/>
      <c r="K2712" s="28"/>
      <c r="P2712" s="29"/>
      <c r="S2712" s="24"/>
    </row>
    <row r="2713" ht="15.75" hidden="1" customHeight="1">
      <c r="F2713" s="29"/>
      <c r="I2713" s="24"/>
      <c r="K2713" s="28"/>
      <c r="P2713" s="29"/>
      <c r="S2713" s="24"/>
    </row>
    <row r="2714" ht="15.75" hidden="1" customHeight="1">
      <c r="F2714" s="29"/>
      <c r="I2714" s="24"/>
      <c r="K2714" s="28"/>
      <c r="P2714" s="29"/>
      <c r="S2714" s="24"/>
    </row>
    <row r="2715" ht="15.75" hidden="1" customHeight="1">
      <c r="F2715" s="29"/>
      <c r="I2715" s="24"/>
      <c r="K2715" s="28"/>
      <c r="P2715" s="29"/>
      <c r="S2715" s="24"/>
    </row>
    <row r="2716" ht="15.75" hidden="1" customHeight="1">
      <c r="F2716" s="29"/>
      <c r="I2716" s="24"/>
      <c r="K2716" s="28"/>
      <c r="P2716" s="29"/>
      <c r="S2716" s="24"/>
    </row>
    <row r="2717" ht="15.75" hidden="1" customHeight="1">
      <c r="F2717" s="29"/>
      <c r="I2717" s="24"/>
      <c r="K2717" s="28"/>
      <c r="P2717" s="29"/>
      <c r="S2717" s="24"/>
    </row>
    <row r="2718" ht="15.75" hidden="1" customHeight="1">
      <c r="F2718" s="29"/>
      <c r="I2718" s="24"/>
      <c r="K2718" s="28"/>
      <c r="P2718" s="29"/>
      <c r="S2718" s="24"/>
    </row>
    <row r="2719" ht="15.75" hidden="1" customHeight="1">
      <c r="F2719" s="29"/>
      <c r="I2719" s="24"/>
      <c r="K2719" s="28"/>
      <c r="P2719" s="29"/>
      <c r="S2719" s="24"/>
    </row>
    <row r="2720" ht="15.75" hidden="1" customHeight="1">
      <c r="F2720" s="29"/>
      <c r="I2720" s="24"/>
      <c r="K2720" s="28"/>
      <c r="P2720" s="29"/>
      <c r="S2720" s="24"/>
    </row>
    <row r="2721" ht="15.75" hidden="1" customHeight="1">
      <c r="F2721" s="29"/>
      <c r="I2721" s="24"/>
      <c r="K2721" s="28"/>
      <c r="P2721" s="29"/>
      <c r="S2721" s="24"/>
    </row>
    <row r="2722" ht="15.75" hidden="1" customHeight="1">
      <c r="F2722" s="29"/>
      <c r="I2722" s="24"/>
      <c r="K2722" s="28"/>
      <c r="P2722" s="29"/>
      <c r="S2722" s="24"/>
    </row>
    <row r="2723" ht="15.75" hidden="1" customHeight="1">
      <c r="F2723" s="29"/>
      <c r="I2723" s="24"/>
      <c r="K2723" s="28"/>
      <c r="P2723" s="29"/>
      <c r="S2723" s="24"/>
    </row>
    <row r="2724" ht="15.75" hidden="1" customHeight="1">
      <c r="F2724" s="29"/>
      <c r="I2724" s="24"/>
      <c r="K2724" s="28"/>
      <c r="P2724" s="29"/>
      <c r="S2724" s="24"/>
    </row>
    <row r="2725" ht="15.75" hidden="1" customHeight="1">
      <c r="F2725" s="29"/>
      <c r="I2725" s="24"/>
      <c r="K2725" s="28"/>
      <c r="P2725" s="29"/>
      <c r="S2725" s="24"/>
    </row>
    <row r="2726" ht="15.75" hidden="1" customHeight="1">
      <c r="F2726" s="29"/>
      <c r="I2726" s="24"/>
      <c r="K2726" s="28"/>
      <c r="P2726" s="29"/>
      <c r="S2726" s="24"/>
    </row>
    <row r="2727" ht="15.75" hidden="1" customHeight="1">
      <c r="F2727" s="29"/>
      <c r="I2727" s="24"/>
      <c r="K2727" s="28"/>
      <c r="P2727" s="29"/>
      <c r="S2727" s="24"/>
    </row>
    <row r="2728" ht="15.75" hidden="1" customHeight="1">
      <c r="F2728" s="29"/>
      <c r="I2728" s="24"/>
      <c r="K2728" s="28"/>
      <c r="P2728" s="29"/>
      <c r="S2728" s="24"/>
    </row>
    <row r="2729" ht="15.75" hidden="1" customHeight="1">
      <c r="F2729" s="29"/>
      <c r="I2729" s="24"/>
      <c r="K2729" s="28"/>
      <c r="P2729" s="29"/>
      <c r="S2729" s="24"/>
    </row>
    <row r="2730" ht="15.75" hidden="1" customHeight="1">
      <c r="F2730" s="29"/>
      <c r="I2730" s="24"/>
      <c r="K2730" s="28"/>
      <c r="P2730" s="29"/>
      <c r="S2730" s="24"/>
    </row>
    <row r="2731" ht="15.75" hidden="1" customHeight="1">
      <c r="F2731" s="29"/>
      <c r="I2731" s="24"/>
      <c r="K2731" s="28"/>
      <c r="P2731" s="29"/>
      <c r="S2731" s="24"/>
    </row>
    <row r="2732" ht="15.75" hidden="1" customHeight="1">
      <c r="F2732" s="29"/>
      <c r="I2732" s="24"/>
      <c r="K2732" s="28"/>
      <c r="P2732" s="29"/>
      <c r="S2732" s="24"/>
    </row>
    <row r="2733" ht="15.75" hidden="1" customHeight="1">
      <c r="F2733" s="29"/>
      <c r="I2733" s="24"/>
      <c r="K2733" s="28"/>
      <c r="P2733" s="29"/>
      <c r="S2733" s="24"/>
    </row>
    <row r="2734" ht="15.75" hidden="1" customHeight="1">
      <c r="F2734" s="29"/>
      <c r="I2734" s="24"/>
      <c r="K2734" s="28"/>
      <c r="P2734" s="29"/>
      <c r="S2734" s="24"/>
    </row>
    <row r="2735" ht="15.75" hidden="1" customHeight="1">
      <c r="F2735" s="29"/>
      <c r="I2735" s="24"/>
      <c r="K2735" s="28"/>
      <c r="P2735" s="29"/>
      <c r="S2735" s="24"/>
    </row>
    <row r="2736" ht="15.75" hidden="1" customHeight="1">
      <c r="F2736" s="29"/>
      <c r="I2736" s="24"/>
      <c r="K2736" s="28"/>
      <c r="P2736" s="29"/>
      <c r="S2736" s="24"/>
    </row>
    <row r="2737" ht="15.75" hidden="1" customHeight="1">
      <c r="F2737" s="29"/>
      <c r="I2737" s="24"/>
      <c r="K2737" s="28"/>
      <c r="P2737" s="29"/>
      <c r="S2737" s="24"/>
    </row>
    <row r="2738" ht="15.75" hidden="1" customHeight="1">
      <c r="F2738" s="29"/>
      <c r="I2738" s="24"/>
      <c r="K2738" s="28"/>
      <c r="P2738" s="29"/>
      <c r="S2738" s="24"/>
    </row>
    <row r="2739" ht="15.75" hidden="1" customHeight="1">
      <c r="F2739" s="29"/>
      <c r="I2739" s="24"/>
      <c r="K2739" s="28"/>
      <c r="P2739" s="29"/>
      <c r="S2739" s="24"/>
    </row>
    <row r="2740" ht="15.75" hidden="1" customHeight="1">
      <c r="F2740" s="29"/>
      <c r="I2740" s="24"/>
      <c r="K2740" s="28"/>
      <c r="P2740" s="29"/>
      <c r="S2740" s="24"/>
    </row>
    <row r="2741" ht="15.75" hidden="1" customHeight="1">
      <c r="F2741" s="29"/>
      <c r="I2741" s="24"/>
      <c r="K2741" s="28"/>
      <c r="P2741" s="29"/>
      <c r="S2741" s="24"/>
    </row>
    <row r="2742" ht="15.75" hidden="1" customHeight="1">
      <c r="F2742" s="29"/>
      <c r="I2742" s="24"/>
      <c r="K2742" s="28"/>
      <c r="P2742" s="29"/>
      <c r="S2742" s="24"/>
    </row>
    <row r="2743" ht="15.75" hidden="1" customHeight="1">
      <c r="F2743" s="29"/>
      <c r="I2743" s="24"/>
      <c r="K2743" s="28"/>
      <c r="P2743" s="29"/>
      <c r="S2743" s="24"/>
    </row>
    <row r="2744" ht="15.75" hidden="1" customHeight="1">
      <c r="F2744" s="29"/>
      <c r="I2744" s="24"/>
      <c r="K2744" s="28"/>
      <c r="P2744" s="29"/>
      <c r="S2744" s="24"/>
    </row>
    <row r="2745" ht="15.75" hidden="1" customHeight="1">
      <c r="F2745" s="29"/>
      <c r="I2745" s="24"/>
      <c r="K2745" s="28"/>
      <c r="P2745" s="29"/>
      <c r="S2745" s="24"/>
    </row>
    <row r="2746" ht="15.75" hidden="1" customHeight="1">
      <c r="F2746" s="29"/>
      <c r="I2746" s="24"/>
      <c r="K2746" s="28"/>
      <c r="P2746" s="29"/>
      <c r="S2746" s="24"/>
    </row>
    <row r="2747" ht="15.75" hidden="1" customHeight="1">
      <c r="F2747" s="29"/>
      <c r="I2747" s="24"/>
      <c r="K2747" s="28"/>
      <c r="P2747" s="29"/>
      <c r="S2747" s="24"/>
    </row>
    <row r="2748" ht="15.75" hidden="1" customHeight="1">
      <c r="F2748" s="29"/>
      <c r="I2748" s="24"/>
      <c r="K2748" s="28"/>
      <c r="P2748" s="29"/>
      <c r="S2748" s="24"/>
    </row>
    <row r="2749" ht="15.75" hidden="1" customHeight="1">
      <c r="F2749" s="29"/>
      <c r="I2749" s="24"/>
      <c r="K2749" s="28"/>
      <c r="P2749" s="29"/>
      <c r="S2749" s="24"/>
    </row>
    <row r="2750" ht="15.75" hidden="1" customHeight="1">
      <c r="F2750" s="29"/>
      <c r="I2750" s="24"/>
      <c r="K2750" s="28"/>
      <c r="P2750" s="29"/>
      <c r="S2750" s="24"/>
    </row>
    <row r="2751" ht="15.75" hidden="1" customHeight="1">
      <c r="F2751" s="29"/>
      <c r="I2751" s="24"/>
      <c r="K2751" s="28"/>
      <c r="P2751" s="29"/>
      <c r="S2751" s="24"/>
    </row>
    <row r="2752" ht="15.75" hidden="1" customHeight="1">
      <c r="F2752" s="29"/>
      <c r="I2752" s="24"/>
      <c r="K2752" s="28"/>
      <c r="P2752" s="29"/>
      <c r="S2752" s="24"/>
    </row>
    <row r="2753" ht="15.75" hidden="1" customHeight="1">
      <c r="F2753" s="29"/>
      <c r="I2753" s="24"/>
      <c r="K2753" s="28"/>
      <c r="P2753" s="29"/>
      <c r="S2753" s="24"/>
    </row>
    <row r="2754" ht="15.75" hidden="1" customHeight="1">
      <c r="F2754" s="29"/>
      <c r="I2754" s="24"/>
      <c r="K2754" s="28"/>
      <c r="P2754" s="29"/>
      <c r="S2754" s="24"/>
    </row>
    <row r="2755" ht="15.75" hidden="1" customHeight="1">
      <c r="F2755" s="29"/>
      <c r="I2755" s="24"/>
      <c r="K2755" s="28"/>
      <c r="P2755" s="29"/>
      <c r="S2755" s="24"/>
    </row>
    <row r="2756" ht="15.75" hidden="1" customHeight="1">
      <c r="F2756" s="29"/>
      <c r="I2756" s="24"/>
      <c r="K2756" s="28"/>
      <c r="P2756" s="29"/>
      <c r="S2756" s="24"/>
    </row>
    <row r="2757" ht="15.75" hidden="1" customHeight="1">
      <c r="F2757" s="29"/>
      <c r="I2757" s="24"/>
      <c r="K2757" s="28"/>
      <c r="P2757" s="29"/>
      <c r="S2757" s="24"/>
    </row>
    <row r="2758" ht="15.75" hidden="1" customHeight="1">
      <c r="F2758" s="29"/>
      <c r="I2758" s="24"/>
      <c r="K2758" s="28"/>
      <c r="P2758" s="29"/>
      <c r="S2758" s="24"/>
    </row>
    <row r="2759" ht="15.75" hidden="1" customHeight="1">
      <c r="F2759" s="29"/>
      <c r="I2759" s="24"/>
      <c r="K2759" s="28"/>
      <c r="P2759" s="29"/>
      <c r="S2759" s="24"/>
    </row>
    <row r="2760" ht="15.75" hidden="1" customHeight="1">
      <c r="F2760" s="29"/>
      <c r="I2760" s="24"/>
      <c r="K2760" s="28"/>
      <c r="P2760" s="29"/>
      <c r="S2760" s="24"/>
    </row>
    <row r="2761" ht="15.75" hidden="1" customHeight="1">
      <c r="F2761" s="29"/>
      <c r="I2761" s="24"/>
      <c r="K2761" s="28"/>
      <c r="P2761" s="29"/>
      <c r="S2761" s="24"/>
    </row>
    <row r="2762" ht="15.75" hidden="1" customHeight="1">
      <c r="F2762" s="29"/>
      <c r="I2762" s="24"/>
      <c r="K2762" s="28"/>
      <c r="P2762" s="29"/>
      <c r="S2762" s="24"/>
    </row>
    <row r="2763" ht="15.75" hidden="1" customHeight="1">
      <c r="F2763" s="29"/>
      <c r="I2763" s="24"/>
      <c r="K2763" s="28"/>
      <c r="P2763" s="29"/>
      <c r="S2763" s="24"/>
    </row>
    <row r="2764" ht="15.75" hidden="1" customHeight="1">
      <c r="F2764" s="29"/>
      <c r="I2764" s="24"/>
      <c r="K2764" s="28"/>
      <c r="P2764" s="29"/>
      <c r="S2764" s="24"/>
    </row>
    <row r="2765" ht="15.75" hidden="1" customHeight="1">
      <c r="F2765" s="29"/>
      <c r="I2765" s="24"/>
      <c r="K2765" s="28"/>
      <c r="P2765" s="29"/>
      <c r="S2765" s="24"/>
    </row>
    <row r="2766" ht="15.75" hidden="1" customHeight="1">
      <c r="F2766" s="29"/>
      <c r="I2766" s="24"/>
      <c r="K2766" s="28"/>
      <c r="P2766" s="29"/>
      <c r="S2766" s="24"/>
    </row>
    <row r="2767" ht="15.75" hidden="1" customHeight="1">
      <c r="F2767" s="29"/>
      <c r="I2767" s="24"/>
      <c r="K2767" s="28"/>
      <c r="P2767" s="29"/>
      <c r="S2767" s="24"/>
    </row>
    <row r="2768" ht="15.75" hidden="1" customHeight="1">
      <c r="F2768" s="29"/>
      <c r="I2768" s="24"/>
      <c r="K2768" s="28"/>
      <c r="P2768" s="29"/>
      <c r="S2768" s="24"/>
    </row>
    <row r="2769" ht="15.75" hidden="1" customHeight="1">
      <c r="F2769" s="29"/>
      <c r="I2769" s="24"/>
      <c r="K2769" s="28"/>
      <c r="P2769" s="29"/>
      <c r="S2769" s="24"/>
    </row>
    <row r="2770" ht="15.75" hidden="1" customHeight="1">
      <c r="F2770" s="29"/>
      <c r="I2770" s="24"/>
      <c r="K2770" s="28"/>
      <c r="P2770" s="29"/>
      <c r="S2770" s="24"/>
    </row>
    <row r="2771" ht="15.75" hidden="1" customHeight="1">
      <c r="F2771" s="29"/>
      <c r="I2771" s="24"/>
      <c r="K2771" s="28"/>
      <c r="P2771" s="29"/>
      <c r="S2771" s="24"/>
    </row>
    <row r="2772" ht="15.75" hidden="1" customHeight="1">
      <c r="F2772" s="29"/>
      <c r="I2772" s="24"/>
      <c r="K2772" s="28"/>
      <c r="P2772" s="29"/>
      <c r="S2772" s="24"/>
    </row>
    <row r="2773" ht="15.75" hidden="1" customHeight="1">
      <c r="F2773" s="29"/>
      <c r="I2773" s="24"/>
      <c r="K2773" s="28"/>
      <c r="P2773" s="29"/>
      <c r="S2773" s="24"/>
    </row>
    <row r="2774" ht="15.75" hidden="1" customHeight="1">
      <c r="F2774" s="29"/>
      <c r="I2774" s="24"/>
      <c r="K2774" s="28"/>
      <c r="P2774" s="29"/>
      <c r="S2774" s="24"/>
    </row>
    <row r="2775" ht="15.75" hidden="1" customHeight="1">
      <c r="F2775" s="29"/>
      <c r="I2775" s="24"/>
      <c r="K2775" s="28"/>
      <c r="P2775" s="29"/>
      <c r="S2775" s="24"/>
    </row>
    <row r="2776" ht="15.75" hidden="1" customHeight="1">
      <c r="F2776" s="29"/>
      <c r="I2776" s="24"/>
      <c r="K2776" s="28"/>
      <c r="P2776" s="29"/>
      <c r="S2776" s="24"/>
    </row>
    <row r="2777" ht="15.75" hidden="1" customHeight="1">
      <c r="F2777" s="29"/>
      <c r="I2777" s="24"/>
      <c r="K2777" s="28"/>
      <c r="P2777" s="29"/>
      <c r="S2777" s="24"/>
    </row>
    <row r="2778" ht="15.75" hidden="1" customHeight="1">
      <c r="F2778" s="29"/>
      <c r="I2778" s="24"/>
      <c r="K2778" s="28"/>
      <c r="P2778" s="29"/>
      <c r="S2778" s="24"/>
    </row>
    <row r="2779" ht="15.75" hidden="1" customHeight="1">
      <c r="F2779" s="29"/>
      <c r="I2779" s="24"/>
      <c r="K2779" s="28"/>
      <c r="P2779" s="29"/>
      <c r="S2779" s="24"/>
    </row>
    <row r="2780" ht="15.75" hidden="1" customHeight="1">
      <c r="F2780" s="29"/>
      <c r="I2780" s="24"/>
      <c r="K2780" s="28"/>
      <c r="P2780" s="29"/>
      <c r="S2780" s="24"/>
    </row>
    <row r="2781" ht="15.75" hidden="1" customHeight="1">
      <c r="F2781" s="29"/>
      <c r="I2781" s="24"/>
      <c r="K2781" s="28"/>
      <c r="P2781" s="29"/>
      <c r="S2781" s="24"/>
    </row>
    <row r="2782" ht="15.75" hidden="1" customHeight="1">
      <c r="F2782" s="29"/>
      <c r="I2782" s="24"/>
      <c r="K2782" s="28"/>
      <c r="P2782" s="29"/>
      <c r="S2782" s="24"/>
    </row>
    <row r="2783" ht="15.75" hidden="1" customHeight="1">
      <c r="F2783" s="29"/>
      <c r="I2783" s="24"/>
      <c r="K2783" s="28"/>
      <c r="P2783" s="29"/>
      <c r="S2783" s="24"/>
    </row>
    <row r="2784" ht="15.75" hidden="1" customHeight="1">
      <c r="F2784" s="29"/>
      <c r="I2784" s="24"/>
      <c r="K2784" s="28"/>
      <c r="P2784" s="29"/>
      <c r="S2784" s="24"/>
    </row>
    <row r="2785" ht="15.75" hidden="1" customHeight="1">
      <c r="F2785" s="29"/>
      <c r="I2785" s="24"/>
      <c r="K2785" s="28"/>
      <c r="P2785" s="29"/>
      <c r="S2785" s="24"/>
    </row>
    <row r="2786" ht="15.75" hidden="1" customHeight="1">
      <c r="F2786" s="29"/>
      <c r="I2786" s="24"/>
      <c r="K2786" s="28"/>
      <c r="P2786" s="29"/>
      <c r="S2786" s="24"/>
    </row>
    <row r="2787" ht="15.75" hidden="1" customHeight="1">
      <c r="F2787" s="29"/>
      <c r="I2787" s="24"/>
      <c r="K2787" s="28"/>
      <c r="P2787" s="29"/>
      <c r="S2787" s="24"/>
    </row>
    <row r="2788" ht="15.75" hidden="1" customHeight="1">
      <c r="F2788" s="29"/>
      <c r="I2788" s="24"/>
      <c r="K2788" s="28"/>
      <c r="P2788" s="29"/>
      <c r="S2788" s="24"/>
    </row>
    <row r="2789" ht="15.75" hidden="1" customHeight="1">
      <c r="F2789" s="29"/>
      <c r="I2789" s="24"/>
      <c r="K2789" s="28"/>
      <c r="P2789" s="29"/>
      <c r="S2789" s="24"/>
    </row>
    <row r="2790" ht="15.75" hidden="1" customHeight="1">
      <c r="F2790" s="29"/>
      <c r="I2790" s="24"/>
      <c r="K2790" s="28"/>
      <c r="P2790" s="29"/>
      <c r="S2790" s="24"/>
    </row>
    <row r="2791" ht="15.75" hidden="1" customHeight="1">
      <c r="F2791" s="29"/>
      <c r="I2791" s="24"/>
      <c r="K2791" s="28"/>
      <c r="P2791" s="29"/>
      <c r="S2791" s="24"/>
    </row>
    <row r="2792" ht="15.75" hidden="1" customHeight="1">
      <c r="F2792" s="29"/>
      <c r="I2792" s="24"/>
      <c r="K2792" s="28"/>
      <c r="P2792" s="29"/>
      <c r="S2792" s="24"/>
    </row>
    <row r="2793" ht="15.75" hidden="1" customHeight="1">
      <c r="F2793" s="29"/>
      <c r="I2793" s="24"/>
      <c r="K2793" s="28"/>
      <c r="P2793" s="29"/>
      <c r="S2793" s="24"/>
    </row>
    <row r="2794" ht="15.75" hidden="1" customHeight="1">
      <c r="F2794" s="29"/>
      <c r="I2794" s="24"/>
      <c r="K2794" s="28"/>
      <c r="P2794" s="29"/>
      <c r="S2794" s="24"/>
    </row>
    <row r="2795" ht="15.75" hidden="1" customHeight="1">
      <c r="F2795" s="29"/>
      <c r="I2795" s="24"/>
      <c r="K2795" s="28"/>
      <c r="P2795" s="29"/>
      <c r="S2795" s="24"/>
    </row>
    <row r="2796" ht="15.75" hidden="1" customHeight="1">
      <c r="F2796" s="29"/>
      <c r="I2796" s="24"/>
      <c r="K2796" s="28"/>
      <c r="P2796" s="29"/>
      <c r="S2796" s="24"/>
    </row>
    <row r="2797" ht="15.75" hidden="1" customHeight="1">
      <c r="F2797" s="29"/>
      <c r="I2797" s="24"/>
      <c r="K2797" s="28"/>
      <c r="P2797" s="29"/>
      <c r="S2797" s="24"/>
    </row>
    <row r="2798" ht="15.75" hidden="1" customHeight="1">
      <c r="F2798" s="29"/>
      <c r="I2798" s="24"/>
      <c r="K2798" s="28"/>
      <c r="P2798" s="29"/>
      <c r="S2798" s="24"/>
    </row>
    <row r="2799" ht="15.75" hidden="1" customHeight="1">
      <c r="F2799" s="29"/>
      <c r="I2799" s="24"/>
      <c r="K2799" s="28"/>
      <c r="P2799" s="29"/>
      <c r="S2799" s="24"/>
    </row>
    <row r="2800" ht="15.75" hidden="1" customHeight="1">
      <c r="F2800" s="29"/>
      <c r="I2800" s="24"/>
      <c r="K2800" s="28"/>
      <c r="P2800" s="29"/>
      <c r="S2800" s="24"/>
    </row>
    <row r="2801" ht="15.75" hidden="1" customHeight="1">
      <c r="F2801" s="29"/>
      <c r="I2801" s="24"/>
      <c r="K2801" s="28"/>
      <c r="P2801" s="29"/>
      <c r="S2801" s="24"/>
    </row>
    <row r="2802" ht="15.75" hidden="1" customHeight="1">
      <c r="F2802" s="29"/>
      <c r="I2802" s="24"/>
      <c r="K2802" s="28"/>
      <c r="P2802" s="29"/>
      <c r="S2802" s="24"/>
    </row>
    <row r="2803" ht="15.75" hidden="1" customHeight="1">
      <c r="F2803" s="29"/>
      <c r="I2803" s="24"/>
      <c r="K2803" s="28"/>
      <c r="P2803" s="29"/>
      <c r="S2803" s="24"/>
    </row>
    <row r="2804" ht="15.75" hidden="1" customHeight="1">
      <c r="F2804" s="29"/>
      <c r="I2804" s="24"/>
      <c r="K2804" s="28"/>
      <c r="P2804" s="29"/>
      <c r="S2804" s="24"/>
    </row>
    <row r="2805" ht="15.75" hidden="1" customHeight="1">
      <c r="F2805" s="29"/>
      <c r="I2805" s="24"/>
      <c r="K2805" s="28"/>
      <c r="P2805" s="29"/>
      <c r="S2805" s="24"/>
    </row>
    <row r="2806" ht="15.75" hidden="1" customHeight="1">
      <c r="F2806" s="29"/>
      <c r="I2806" s="24"/>
      <c r="K2806" s="28"/>
      <c r="P2806" s="29"/>
      <c r="S2806" s="24"/>
    </row>
    <row r="2807" ht="15.75" hidden="1" customHeight="1">
      <c r="F2807" s="29"/>
      <c r="I2807" s="24"/>
      <c r="K2807" s="28"/>
      <c r="P2807" s="29"/>
      <c r="S2807" s="24"/>
    </row>
    <row r="2808" ht="15.75" hidden="1" customHeight="1">
      <c r="F2808" s="29"/>
      <c r="I2808" s="24"/>
      <c r="K2808" s="28"/>
      <c r="P2808" s="29"/>
      <c r="S2808" s="24"/>
    </row>
    <row r="2809" ht="15.75" hidden="1" customHeight="1">
      <c r="F2809" s="29"/>
      <c r="I2809" s="24"/>
      <c r="K2809" s="28"/>
      <c r="P2809" s="29"/>
      <c r="S2809" s="24"/>
    </row>
    <row r="2810" ht="15.75" hidden="1" customHeight="1">
      <c r="F2810" s="29"/>
      <c r="I2810" s="24"/>
      <c r="K2810" s="28"/>
      <c r="P2810" s="29"/>
      <c r="S2810" s="24"/>
    </row>
    <row r="2811" ht="15.75" hidden="1" customHeight="1">
      <c r="F2811" s="29"/>
      <c r="I2811" s="24"/>
      <c r="K2811" s="28"/>
      <c r="P2811" s="29"/>
      <c r="S2811" s="24"/>
    </row>
    <row r="2812" ht="15.75" hidden="1" customHeight="1">
      <c r="F2812" s="29"/>
      <c r="I2812" s="24"/>
      <c r="K2812" s="28"/>
      <c r="P2812" s="29"/>
      <c r="S2812" s="24"/>
    </row>
    <row r="2813" ht="15.75" hidden="1" customHeight="1">
      <c r="F2813" s="29"/>
      <c r="I2813" s="24"/>
      <c r="K2813" s="28"/>
      <c r="P2813" s="29"/>
      <c r="S2813" s="24"/>
    </row>
    <row r="2814" ht="15.75" hidden="1" customHeight="1">
      <c r="F2814" s="29"/>
      <c r="I2814" s="24"/>
      <c r="K2814" s="28"/>
      <c r="P2814" s="29"/>
      <c r="S2814" s="24"/>
    </row>
    <row r="2815" ht="15.75" hidden="1" customHeight="1">
      <c r="F2815" s="29"/>
      <c r="I2815" s="24"/>
      <c r="K2815" s="28"/>
      <c r="P2815" s="29"/>
      <c r="S2815" s="24"/>
    </row>
    <row r="2816" ht="15.75" hidden="1" customHeight="1">
      <c r="F2816" s="29"/>
      <c r="I2816" s="24"/>
      <c r="K2816" s="28"/>
      <c r="P2816" s="29"/>
      <c r="S2816" s="24"/>
    </row>
    <row r="2817" ht="15.75" hidden="1" customHeight="1">
      <c r="F2817" s="29"/>
      <c r="I2817" s="24"/>
      <c r="K2817" s="28"/>
      <c r="P2817" s="29"/>
      <c r="S2817" s="24"/>
    </row>
    <row r="2818" ht="15.75" hidden="1" customHeight="1">
      <c r="F2818" s="29"/>
      <c r="I2818" s="24"/>
      <c r="K2818" s="28"/>
      <c r="P2818" s="29"/>
      <c r="S2818" s="24"/>
    </row>
    <row r="2819" ht="15.75" hidden="1" customHeight="1">
      <c r="F2819" s="29"/>
      <c r="I2819" s="24"/>
      <c r="K2819" s="28"/>
      <c r="P2819" s="29"/>
      <c r="S2819" s="24"/>
    </row>
    <row r="2820" ht="15.75" hidden="1" customHeight="1">
      <c r="F2820" s="29"/>
      <c r="I2820" s="24"/>
      <c r="K2820" s="28"/>
      <c r="P2820" s="29"/>
      <c r="S2820" s="24"/>
    </row>
    <row r="2821" ht="15.75" hidden="1" customHeight="1">
      <c r="F2821" s="29"/>
      <c r="I2821" s="24"/>
      <c r="K2821" s="28"/>
      <c r="P2821" s="29"/>
      <c r="S2821" s="24"/>
    </row>
    <row r="2822" ht="15.75" hidden="1" customHeight="1">
      <c r="F2822" s="29"/>
      <c r="I2822" s="24"/>
      <c r="K2822" s="28"/>
      <c r="P2822" s="29"/>
      <c r="S2822" s="24"/>
    </row>
    <row r="2823" ht="15.75" hidden="1" customHeight="1">
      <c r="F2823" s="29"/>
      <c r="I2823" s="24"/>
      <c r="K2823" s="28"/>
      <c r="P2823" s="29"/>
      <c r="S2823" s="24"/>
    </row>
    <row r="2824" ht="15.75" hidden="1" customHeight="1">
      <c r="F2824" s="29"/>
      <c r="I2824" s="24"/>
      <c r="K2824" s="28"/>
      <c r="P2824" s="29"/>
      <c r="S2824" s="24"/>
    </row>
    <row r="2825" ht="15.75" hidden="1" customHeight="1">
      <c r="F2825" s="29"/>
      <c r="I2825" s="24"/>
      <c r="K2825" s="28"/>
      <c r="P2825" s="29"/>
      <c r="S2825" s="24"/>
    </row>
    <row r="2826" ht="15.75" hidden="1" customHeight="1">
      <c r="F2826" s="29"/>
      <c r="I2826" s="24"/>
      <c r="K2826" s="28"/>
      <c r="P2826" s="29"/>
      <c r="S2826" s="24"/>
    </row>
    <row r="2827" ht="15.75" hidden="1" customHeight="1">
      <c r="F2827" s="29"/>
      <c r="I2827" s="24"/>
      <c r="K2827" s="28"/>
      <c r="P2827" s="29"/>
      <c r="S2827" s="24"/>
    </row>
    <row r="2828" ht="15.75" hidden="1" customHeight="1">
      <c r="F2828" s="29"/>
      <c r="I2828" s="24"/>
      <c r="K2828" s="28"/>
      <c r="P2828" s="29"/>
      <c r="S2828" s="24"/>
    </row>
    <row r="2829" ht="15.75" hidden="1" customHeight="1">
      <c r="F2829" s="29"/>
      <c r="I2829" s="24"/>
      <c r="K2829" s="28"/>
      <c r="P2829" s="29"/>
      <c r="S2829" s="24"/>
    </row>
    <row r="2830" ht="15.75" hidden="1" customHeight="1">
      <c r="F2830" s="29"/>
      <c r="I2830" s="24"/>
      <c r="K2830" s="28"/>
      <c r="P2830" s="29"/>
      <c r="S2830" s="24"/>
    </row>
    <row r="2831" ht="15.75" hidden="1" customHeight="1">
      <c r="F2831" s="29"/>
      <c r="I2831" s="24"/>
      <c r="K2831" s="28"/>
      <c r="P2831" s="29"/>
      <c r="S2831" s="24"/>
    </row>
    <row r="2832" ht="15.75" hidden="1" customHeight="1">
      <c r="F2832" s="29"/>
      <c r="I2832" s="24"/>
      <c r="K2832" s="28"/>
      <c r="P2832" s="29"/>
      <c r="S2832" s="24"/>
    </row>
    <row r="2833" ht="15.75" hidden="1" customHeight="1">
      <c r="F2833" s="29"/>
      <c r="I2833" s="24"/>
      <c r="K2833" s="28"/>
      <c r="P2833" s="29"/>
      <c r="S2833" s="24"/>
    </row>
    <row r="2834" ht="15.75" hidden="1" customHeight="1">
      <c r="F2834" s="29"/>
      <c r="I2834" s="24"/>
      <c r="K2834" s="28"/>
      <c r="P2834" s="29"/>
      <c r="S2834" s="24"/>
    </row>
    <row r="2835" ht="15.75" hidden="1" customHeight="1">
      <c r="F2835" s="29"/>
      <c r="I2835" s="24"/>
      <c r="K2835" s="28"/>
      <c r="P2835" s="29"/>
      <c r="S2835" s="24"/>
    </row>
    <row r="2836" ht="15.75" hidden="1" customHeight="1">
      <c r="F2836" s="29"/>
      <c r="I2836" s="24"/>
      <c r="K2836" s="28"/>
      <c r="P2836" s="29"/>
      <c r="S2836" s="24"/>
    </row>
    <row r="2837" ht="15.75" hidden="1" customHeight="1">
      <c r="F2837" s="29"/>
      <c r="I2837" s="24"/>
      <c r="K2837" s="28"/>
      <c r="P2837" s="29"/>
      <c r="S2837" s="24"/>
    </row>
    <row r="2838" ht="15.75" hidden="1" customHeight="1">
      <c r="F2838" s="29"/>
      <c r="I2838" s="24"/>
      <c r="K2838" s="28"/>
      <c r="P2838" s="29"/>
      <c r="S2838" s="24"/>
    </row>
    <row r="2839" ht="15.75" hidden="1" customHeight="1">
      <c r="F2839" s="29"/>
      <c r="I2839" s="24"/>
      <c r="K2839" s="28"/>
      <c r="P2839" s="29"/>
      <c r="S2839" s="24"/>
    </row>
    <row r="2840" ht="15.75" hidden="1" customHeight="1">
      <c r="F2840" s="29"/>
      <c r="I2840" s="24"/>
      <c r="K2840" s="28"/>
      <c r="P2840" s="29"/>
      <c r="S2840" s="24"/>
    </row>
    <row r="2841" ht="15.75" hidden="1" customHeight="1">
      <c r="F2841" s="29"/>
      <c r="I2841" s="24"/>
      <c r="K2841" s="28"/>
      <c r="P2841" s="29"/>
      <c r="S2841" s="24"/>
    </row>
    <row r="2842" ht="15.75" hidden="1" customHeight="1">
      <c r="F2842" s="29"/>
      <c r="I2842" s="24"/>
      <c r="K2842" s="28"/>
      <c r="P2842" s="29"/>
      <c r="S2842" s="24"/>
    </row>
    <row r="2843" ht="15.75" hidden="1" customHeight="1">
      <c r="F2843" s="29"/>
      <c r="I2843" s="24"/>
      <c r="K2843" s="28"/>
      <c r="P2843" s="29"/>
      <c r="S2843" s="24"/>
    </row>
    <row r="2844" ht="15.75" hidden="1" customHeight="1">
      <c r="F2844" s="29"/>
      <c r="I2844" s="24"/>
      <c r="K2844" s="28"/>
      <c r="P2844" s="29"/>
      <c r="S2844" s="24"/>
    </row>
    <row r="2845" ht="15.75" hidden="1" customHeight="1">
      <c r="F2845" s="29"/>
      <c r="I2845" s="24"/>
      <c r="K2845" s="28"/>
      <c r="P2845" s="29"/>
      <c r="S2845" s="24"/>
    </row>
    <row r="2846" ht="15.75" hidden="1" customHeight="1">
      <c r="F2846" s="29"/>
      <c r="I2846" s="24"/>
      <c r="K2846" s="28"/>
      <c r="P2846" s="29"/>
      <c r="S2846" s="24"/>
    </row>
    <row r="2847" ht="15.75" hidden="1" customHeight="1">
      <c r="F2847" s="29"/>
      <c r="I2847" s="24"/>
      <c r="K2847" s="28"/>
      <c r="P2847" s="29"/>
      <c r="S2847" s="24"/>
    </row>
    <row r="2848" ht="15.75" hidden="1" customHeight="1">
      <c r="F2848" s="29"/>
      <c r="I2848" s="24"/>
      <c r="K2848" s="28"/>
      <c r="P2848" s="29"/>
      <c r="S2848" s="24"/>
    </row>
    <row r="2849" ht="15.75" hidden="1" customHeight="1">
      <c r="F2849" s="29"/>
      <c r="I2849" s="24"/>
      <c r="K2849" s="28"/>
      <c r="P2849" s="29"/>
      <c r="S2849" s="24"/>
    </row>
    <row r="2850" ht="15.75" hidden="1" customHeight="1">
      <c r="F2850" s="29"/>
      <c r="I2850" s="24"/>
      <c r="K2850" s="28"/>
      <c r="P2850" s="29"/>
      <c r="S2850" s="24"/>
    </row>
    <row r="2851" ht="15.75" hidden="1" customHeight="1">
      <c r="F2851" s="29"/>
      <c r="I2851" s="24"/>
      <c r="K2851" s="28"/>
      <c r="P2851" s="29"/>
      <c r="S2851" s="24"/>
    </row>
    <row r="2852" ht="15.75" hidden="1" customHeight="1">
      <c r="F2852" s="29"/>
      <c r="I2852" s="24"/>
      <c r="K2852" s="28"/>
      <c r="P2852" s="29"/>
      <c r="S2852" s="24"/>
    </row>
    <row r="2853" ht="15.75" hidden="1" customHeight="1">
      <c r="F2853" s="29"/>
      <c r="I2853" s="24"/>
      <c r="K2853" s="28"/>
      <c r="P2853" s="29"/>
      <c r="S2853" s="24"/>
    </row>
    <row r="2854" ht="15.75" hidden="1" customHeight="1">
      <c r="F2854" s="29"/>
      <c r="I2854" s="24"/>
      <c r="K2854" s="28"/>
      <c r="P2854" s="29"/>
      <c r="S2854" s="24"/>
    </row>
    <row r="2855" ht="15.75" hidden="1" customHeight="1">
      <c r="F2855" s="29"/>
      <c r="I2855" s="24"/>
      <c r="K2855" s="28"/>
      <c r="P2855" s="29"/>
      <c r="S2855" s="24"/>
    </row>
    <row r="2856" ht="15.75" hidden="1" customHeight="1">
      <c r="F2856" s="29"/>
      <c r="I2856" s="24"/>
      <c r="K2856" s="28"/>
      <c r="P2856" s="29"/>
      <c r="S2856" s="24"/>
    </row>
    <row r="2857" ht="15.75" hidden="1" customHeight="1">
      <c r="F2857" s="29"/>
      <c r="I2857" s="24"/>
      <c r="K2857" s="28"/>
      <c r="P2857" s="29"/>
      <c r="S2857" s="24"/>
    </row>
    <row r="2858" ht="15.75" hidden="1" customHeight="1">
      <c r="F2858" s="29"/>
      <c r="I2858" s="24"/>
      <c r="K2858" s="28"/>
      <c r="P2858" s="29"/>
      <c r="S2858" s="24"/>
    </row>
    <row r="2859" ht="15.75" hidden="1" customHeight="1">
      <c r="F2859" s="29"/>
      <c r="I2859" s="24"/>
      <c r="K2859" s="28"/>
      <c r="P2859" s="29"/>
      <c r="S2859" s="24"/>
    </row>
    <row r="2860" ht="15.75" hidden="1" customHeight="1">
      <c r="F2860" s="29"/>
      <c r="I2860" s="24"/>
      <c r="K2860" s="28"/>
      <c r="P2860" s="29"/>
      <c r="S2860" s="24"/>
    </row>
    <row r="2861" ht="15.75" hidden="1" customHeight="1">
      <c r="F2861" s="29"/>
      <c r="I2861" s="24"/>
      <c r="K2861" s="28"/>
      <c r="P2861" s="29"/>
      <c r="S2861" s="24"/>
    </row>
    <row r="2862" ht="15.75" hidden="1" customHeight="1">
      <c r="F2862" s="29"/>
      <c r="I2862" s="24"/>
      <c r="K2862" s="28"/>
      <c r="P2862" s="29"/>
      <c r="S2862" s="24"/>
    </row>
    <row r="2863" ht="15.75" hidden="1" customHeight="1">
      <c r="F2863" s="29"/>
      <c r="I2863" s="24"/>
      <c r="K2863" s="28"/>
      <c r="P2863" s="29"/>
      <c r="S2863" s="24"/>
    </row>
    <row r="2864" ht="15.75" hidden="1" customHeight="1">
      <c r="F2864" s="29"/>
      <c r="I2864" s="24"/>
      <c r="K2864" s="28"/>
      <c r="P2864" s="29"/>
      <c r="S2864" s="24"/>
    </row>
    <row r="2865" ht="15.75" hidden="1" customHeight="1">
      <c r="F2865" s="29"/>
      <c r="I2865" s="24"/>
      <c r="K2865" s="28"/>
      <c r="P2865" s="29"/>
      <c r="S2865" s="24"/>
    </row>
    <row r="2866" ht="15.75" hidden="1" customHeight="1">
      <c r="F2866" s="29"/>
      <c r="I2866" s="24"/>
      <c r="K2866" s="28"/>
      <c r="P2866" s="29"/>
      <c r="S2866" s="24"/>
    </row>
    <row r="2867" ht="15.75" hidden="1" customHeight="1">
      <c r="F2867" s="29"/>
      <c r="I2867" s="24"/>
      <c r="K2867" s="28"/>
      <c r="P2867" s="29"/>
      <c r="S2867" s="24"/>
    </row>
    <row r="2868" ht="15.75" hidden="1" customHeight="1">
      <c r="F2868" s="29"/>
      <c r="I2868" s="24"/>
      <c r="K2868" s="28"/>
      <c r="P2868" s="29"/>
      <c r="S2868" s="24"/>
    </row>
    <row r="2869" ht="15.75" hidden="1" customHeight="1">
      <c r="F2869" s="29"/>
      <c r="I2869" s="24"/>
      <c r="K2869" s="28"/>
      <c r="P2869" s="29"/>
      <c r="S2869" s="24"/>
    </row>
    <row r="2870" ht="15.75" hidden="1" customHeight="1">
      <c r="F2870" s="29"/>
      <c r="I2870" s="24"/>
      <c r="K2870" s="28"/>
      <c r="P2870" s="29"/>
      <c r="S2870" s="24"/>
    </row>
    <row r="2871" ht="15.75" hidden="1" customHeight="1">
      <c r="F2871" s="29"/>
      <c r="I2871" s="24"/>
      <c r="K2871" s="28"/>
      <c r="P2871" s="29"/>
      <c r="S2871" s="24"/>
    </row>
    <row r="2872" ht="15.75" hidden="1" customHeight="1">
      <c r="F2872" s="29"/>
      <c r="I2872" s="24"/>
      <c r="K2872" s="28"/>
      <c r="P2872" s="29"/>
      <c r="S2872" s="24"/>
    </row>
    <row r="2873" ht="15.75" hidden="1" customHeight="1">
      <c r="F2873" s="29"/>
      <c r="I2873" s="24"/>
      <c r="K2873" s="28"/>
      <c r="P2873" s="29"/>
      <c r="S2873" s="24"/>
    </row>
    <row r="2874" ht="15.75" hidden="1" customHeight="1">
      <c r="F2874" s="29"/>
      <c r="I2874" s="24"/>
      <c r="K2874" s="28"/>
      <c r="P2874" s="29"/>
      <c r="S2874" s="24"/>
    </row>
    <row r="2875" ht="15.75" hidden="1" customHeight="1">
      <c r="F2875" s="29"/>
      <c r="I2875" s="24"/>
      <c r="K2875" s="28"/>
      <c r="P2875" s="29"/>
      <c r="S2875" s="24"/>
    </row>
    <row r="2876" ht="15.75" hidden="1" customHeight="1">
      <c r="F2876" s="29"/>
      <c r="I2876" s="24"/>
      <c r="K2876" s="28"/>
      <c r="P2876" s="29"/>
      <c r="S2876" s="24"/>
    </row>
    <row r="2877" ht="15.75" hidden="1" customHeight="1">
      <c r="F2877" s="29"/>
      <c r="I2877" s="24"/>
      <c r="K2877" s="28"/>
      <c r="P2877" s="29"/>
      <c r="S2877" s="24"/>
    </row>
    <row r="2878" ht="15.75" hidden="1" customHeight="1">
      <c r="F2878" s="29"/>
      <c r="I2878" s="24"/>
      <c r="K2878" s="28"/>
      <c r="P2878" s="29"/>
      <c r="S2878" s="24"/>
    </row>
    <row r="2879" ht="15.75" hidden="1" customHeight="1">
      <c r="F2879" s="29"/>
      <c r="I2879" s="24"/>
      <c r="K2879" s="28"/>
      <c r="P2879" s="29"/>
      <c r="S2879" s="24"/>
    </row>
    <row r="2880" ht="15.75" hidden="1" customHeight="1">
      <c r="F2880" s="29"/>
      <c r="I2880" s="24"/>
      <c r="K2880" s="28"/>
      <c r="P2880" s="29"/>
      <c r="S2880" s="24"/>
    </row>
    <row r="2881" ht="15.75" hidden="1" customHeight="1">
      <c r="F2881" s="29"/>
      <c r="I2881" s="24"/>
      <c r="K2881" s="28"/>
      <c r="P2881" s="29"/>
      <c r="S2881" s="24"/>
    </row>
    <row r="2882" ht="15.75" hidden="1" customHeight="1">
      <c r="F2882" s="29"/>
      <c r="I2882" s="24"/>
      <c r="K2882" s="28"/>
      <c r="P2882" s="29"/>
      <c r="S2882" s="24"/>
    </row>
    <row r="2883" ht="15.75" hidden="1" customHeight="1">
      <c r="F2883" s="29"/>
      <c r="I2883" s="24"/>
      <c r="K2883" s="28"/>
      <c r="P2883" s="29"/>
      <c r="S2883" s="24"/>
    </row>
    <row r="2884" ht="15.75" hidden="1" customHeight="1">
      <c r="F2884" s="29"/>
      <c r="I2884" s="24"/>
      <c r="K2884" s="28"/>
      <c r="P2884" s="29"/>
      <c r="S2884" s="24"/>
    </row>
    <row r="2885" ht="15.75" hidden="1" customHeight="1">
      <c r="F2885" s="29"/>
      <c r="I2885" s="24"/>
      <c r="K2885" s="28"/>
      <c r="P2885" s="29"/>
      <c r="S2885" s="24"/>
    </row>
    <row r="2886" ht="15.75" hidden="1" customHeight="1">
      <c r="F2886" s="29"/>
      <c r="I2886" s="24"/>
      <c r="K2886" s="28"/>
      <c r="P2886" s="29"/>
      <c r="S2886" s="24"/>
    </row>
    <row r="2887" ht="15.75" hidden="1" customHeight="1">
      <c r="F2887" s="29"/>
      <c r="I2887" s="24"/>
      <c r="K2887" s="28"/>
      <c r="P2887" s="29"/>
      <c r="S2887" s="24"/>
    </row>
    <row r="2888" ht="15.75" hidden="1" customHeight="1">
      <c r="F2888" s="29"/>
      <c r="I2888" s="24"/>
      <c r="K2888" s="28"/>
      <c r="P2888" s="29"/>
      <c r="S2888" s="24"/>
    </row>
    <row r="2889" ht="15.75" hidden="1" customHeight="1">
      <c r="F2889" s="29"/>
      <c r="I2889" s="24"/>
      <c r="K2889" s="28"/>
      <c r="P2889" s="29"/>
      <c r="S2889" s="24"/>
    </row>
    <row r="2890" ht="15.75" hidden="1" customHeight="1">
      <c r="F2890" s="29"/>
      <c r="I2890" s="24"/>
      <c r="K2890" s="28"/>
      <c r="P2890" s="29"/>
      <c r="S2890" s="24"/>
    </row>
    <row r="2891" ht="15.75" hidden="1" customHeight="1">
      <c r="F2891" s="29"/>
      <c r="I2891" s="24"/>
      <c r="K2891" s="28"/>
      <c r="P2891" s="29"/>
      <c r="S2891" s="24"/>
    </row>
    <row r="2892" ht="15.75" hidden="1" customHeight="1">
      <c r="F2892" s="29"/>
      <c r="I2892" s="24"/>
      <c r="K2892" s="28"/>
      <c r="P2892" s="29"/>
      <c r="S2892" s="24"/>
    </row>
    <row r="2893" ht="15.75" hidden="1" customHeight="1">
      <c r="F2893" s="29"/>
      <c r="I2893" s="24"/>
      <c r="K2893" s="28"/>
      <c r="P2893" s="29"/>
      <c r="S2893" s="24"/>
    </row>
    <row r="2894" ht="15.75" hidden="1" customHeight="1">
      <c r="F2894" s="29"/>
      <c r="I2894" s="24"/>
      <c r="K2894" s="28"/>
      <c r="P2894" s="29"/>
      <c r="S2894" s="24"/>
    </row>
    <row r="2895" ht="15.75" hidden="1" customHeight="1">
      <c r="F2895" s="29"/>
      <c r="I2895" s="24"/>
      <c r="K2895" s="28"/>
      <c r="P2895" s="29"/>
      <c r="S2895" s="24"/>
    </row>
    <row r="2896" ht="15.75" hidden="1" customHeight="1">
      <c r="F2896" s="29"/>
      <c r="I2896" s="24"/>
      <c r="K2896" s="28"/>
      <c r="P2896" s="29"/>
      <c r="S2896" s="24"/>
    </row>
    <row r="2897" ht="15.75" hidden="1" customHeight="1">
      <c r="F2897" s="29"/>
      <c r="I2897" s="24"/>
      <c r="K2897" s="28"/>
      <c r="P2897" s="29"/>
      <c r="S2897" s="24"/>
    </row>
    <row r="2898" ht="15.75" hidden="1" customHeight="1">
      <c r="F2898" s="29"/>
      <c r="I2898" s="24"/>
      <c r="K2898" s="28"/>
      <c r="P2898" s="29"/>
      <c r="S2898" s="24"/>
    </row>
    <row r="2899" ht="15.75" hidden="1" customHeight="1">
      <c r="F2899" s="29"/>
      <c r="I2899" s="24"/>
      <c r="K2899" s="28"/>
      <c r="P2899" s="29"/>
      <c r="S2899" s="24"/>
    </row>
    <row r="2900" ht="15.75" hidden="1" customHeight="1">
      <c r="F2900" s="29"/>
      <c r="I2900" s="24"/>
      <c r="K2900" s="28"/>
      <c r="P2900" s="29"/>
      <c r="S2900" s="24"/>
    </row>
    <row r="2901" ht="15.75" hidden="1" customHeight="1">
      <c r="F2901" s="29"/>
      <c r="I2901" s="24"/>
      <c r="K2901" s="28"/>
      <c r="P2901" s="29"/>
      <c r="S2901" s="24"/>
    </row>
    <row r="2902" ht="15.75" hidden="1" customHeight="1">
      <c r="F2902" s="29"/>
      <c r="I2902" s="24"/>
      <c r="K2902" s="28"/>
      <c r="P2902" s="29"/>
      <c r="S2902" s="24"/>
    </row>
    <row r="2903" ht="15.75" hidden="1" customHeight="1">
      <c r="F2903" s="29"/>
      <c r="I2903" s="24"/>
      <c r="K2903" s="28"/>
      <c r="P2903" s="29"/>
      <c r="S2903" s="24"/>
    </row>
    <row r="2904" ht="15.75" hidden="1" customHeight="1">
      <c r="F2904" s="29"/>
      <c r="I2904" s="24"/>
      <c r="K2904" s="28"/>
      <c r="P2904" s="29"/>
      <c r="S2904" s="24"/>
    </row>
    <row r="2905" ht="15.75" hidden="1" customHeight="1">
      <c r="F2905" s="29"/>
      <c r="I2905" s="24"/>
      <c r="K2905" s="28"/>
      <c r="P2905" s="29"/>
      <c r="S2905" s="24"/>
    </row>
    <row r="2906" ht="15.75" hidden="1" customHeight="1">
      <c r="F2906" s="29"/>
      <c r="I2906" s="24"/>
      <c r="K2906" s="28"/>
      <c r="P2906" s="29"/>
      <c r="S2906" s="24"/>
    </row>
    <row r="2907" ht="15.75" hidden="1" customHeight="1">
      <c r="F2907" s="29"/>
      <c r="I2907" s="24"/>
      <c r="K2907" s="28"/>
      <c r="P2907" s="29"/>
      <c r="S2907" s="24"/>
    </row>
    <row r="2908" ht="15.75" hidden="1" customHeight="1">
      <c r="F2908" s="29"/>
      <c r="I2908" s="24"/>
      <c r="K2908" s="28"/>
      <c r="P2908" s="29"/>
      <c r="S2908" s="24"/>
    </row>
    <row r="2909" ht="15.75" hidden="1" customHeight="1">
      <c r="F2909" s="29"/>
      <c r="I2909" s="24"/>
      <c r="K2909" s="28"/>
      <c r="P2909" s="29"/>
      <c r="S2909" s="24"/>
    </row>
    <row r="2910" ht="15.75" hidden="1" customHeight="1">
      <c r="F2910" s="29"/>
      <c r="I2910" s="24"/>
      <c r="K2910" s="28"/>
      <c r="P2910" s="29"/>
      <c r="S2910" s="24"/>
    </row>
    <row r="2911" ht="15.75" hidden="1" customHeight="1">
      <c r="F2911" s="29"/>
      <c r="I2911" s="24"/>
      <c r="K2911" s="28"/>
      <c r="P2911" s="29"/>
      <c r="S2911" s="24"/>
    </row>
    <row r="2912" ht="15.75" hidden="1" customHeight="1">
      <c r="F2912" s="29"/>
      <c r="I2912" s="24"/>
      <c r="K2912" s="28"/>
      <c r="P2912" s="29"/>
      <c r="S2912" s="24"/>
    </row>
    <row r="2913" ht="15.75" hidden="1" customHeight="1">
      <c r="F2913" s="29"/>
      <c r="I2913" s="24"/>
      <c r="K2913" s="28"/>
      <c r="P2913" s="29"/>
      <c r="S2913" s="24"/>
    </row>
    <row r="2914" ht="15.75" hidden="1" customHeight="1">
      <c r="F2914" s="29"/>
      <c r="I2914" s="24"/>
      <c r="K2914" s="28"/>
      <c r="P2914" s="29"/>
      <c r="S2914" s="24"/>
    </row>
    <row r="2915" ht="15.75" hidden="1" customHeight="1">
      <c r="F2915" s="29"/>
      <c r="I2915" s="24"/>
      <c r="K2915" s="28"/>
      <c r="P2915" s="29"/>
      <c r="S2915" s="24"/>
    </row>
    <row r="2916" ht="15.75" hidden="1" customHeight="1">
      <c r="F2916" s="29"/>
      <c r="I2916" s="24"/>
      <c r="K2916" s="28"/>
      <c r="P2916" s="29"/>
      <c r="S2916" s="24"/>
    </row>
    <row r="2917" ht="15.75" hidden="1" customHeight="1">
      <c r="F2917" s="29"/>
      <c r="I2917" s="24"/>
      <c r="K2917" s="28"/>
      <c r="P2917" s="29"/>
      <c r="S2917" s="24"/>
    </row>
    <row r="2918" ht="15.75" hidden="1" customHeight="1">
      <c r="F2918" s="29"/>
      <c r="I2918" s="24"/>
      <c r="K2918" s="28"/>
      <c r="P2918" s="29"/>
      <c r="S2918" s="24"/>
    </row>
    <row r="2919" ht="15.75" hidden="1" customHeight="1">
      <c r="F2919" s="29"/>
      <c r="I2919" s="24"/>
      <c r="K2919" s="28"/>
      <c r="P2919" s="29"/>
      <c r="S2919" s="24"/>
    </row>
    <row r="2920" ht="15.75" hidden="1" customHeight="1">
      <c r="F2920" s="29"/>
      <c r="I2920" s="24"/>
      <c r="K2920" s="28"/>
      <c r="P2920" s="29"/>
      <c r="S2920" s="24"/>
    </row>
    <row r="2921" ht="15.75" hidden="1" customHeight="1">
      <c r="F2921" s="29"/>
      <c r="I2921" s="24"/>
      <c r="K2921" s="28"/>
      <c r="P2921" s="29"/>
      <c r="S2921" s="24"/>
    </row>
    <row r="2922" ht="15.75" hidden="1" customHeight="1">
      <c r="F2922" s="29"/>
      <c r="I2922" s="24"/>
      <c r="K2922" s="28"/>
      <c r="P2922" s="29"/>
      <c r="S2922" s="24"/>
    </row>
    <row r="2923" ht="15.75" hidden="1" customHeight="1">
      <c r="F2923" s="29"/>
      <c r="I2923" s="24"/>
      <c r="K2923" s="28"/>
      <c r="P2923" s="29"/>
      <c r="S2923" s="24"/>
    </row>
    <row r="2924" ht="15.75" hidden="1" customHeight="1">
      <c r="F2924" s="29"/>
      <c r="I2924" s="24"/>
      <c r="K2924" s="28"/>
      <c r="P2924" s="29"/>
      <c r="S2924" s="24"/>
    </row>
    <row r="2925" ht="15.75" hidden="1" customHeight="1">
      <c r="F2925" s="29"/>
      <c r="I2925" s="24"/>
      <c r="K2925" s="28"/>
      <c r="P2925" s="29"/>
      <c r="S2925" s="24"/>
    </row>
    <row r="2926" ht="15.75" hidden="1" customHeight="1">
      <c r="F2926" s="29"/>
      <c r="I2926" s="24"/>
      <c r="K2926" s="28"/>
      <c r="P2926" s="29"/>
      <c r="S2926" s="24"/>
    </row>
    <row r="2927" ht="15.75" hidden="1" customHeight="1">
      <c r="F2927" s="29"/>
      <c r="I2927" s="24"/>
      <c r="K2927" s="28"/>
      <c r="P2927" s="29"/>
      <c r="S2927" s="24"/>
    </row>
    <row r="2928" ht="15.75" hidden="1" customHeight="1">
      <c r="F2928" s="29"/>
      <c r="I2928" s="24"/>
      <c r="K2928" s="28"/>
      <c r="P2928" s="29"/>
      <c r="S2928" s="24"/>
    </row>
    <row r="2929" ht="15.75" hidden="1" customHeight="1">
      <c r="F2929" s="29"/>
      <c r="I2929" s="24"/>
      <c r="K2929" s="28"/>
      <c r="P2929" s="29"/>
      <c r="S2929" s="24"/>
    </row>
    <row r="2930" ht="15.75" hidden="1" customHeight="1">
      <c r="F2930" s="29"/>
      <c r="I2930" s="24"/>
      <c r="K2930" s="28"/>
      <c r="P2930" s="29"/>
      <c r="S2930" s="24"/>
    </row>
    <row r="2931" ht="15.75" hidden="1" customHeight="1">
      <c r="F2931" s="29"/>
      <c r="I2931" s="24"/>
      <c r="K2931" s="28"/>
      <c r="P2931" s="29"/>
      <c r="S2931" s="24"/>
    </row>
    <row r="2932" ht="15.75" hidden="1" customHeight="1">
      <c r="F2932" s="29"/>
      <c r="I2932" s="24"/>
      <c r="K2932" s="28"/>
      <c r="P2932" s="29"/>
      <c r="S2932" s="24"/>
    </row>
    <row r="2933" ht="15.75" hidden="1" customHeight="1">
      <c r="F2933" s="29"/>
      <c r="I2933" s="24"/>
      <c r="K2933" s="28"/>
      <c r="P2933" s="29"/>
      <c r="S2933" s="24"/>
    </row>
    <row r="2934" ht="15.75" hidden="1" customHeight="1">
      <c r="F2934" s="29"/>
      <c r="I2934" s="24"/>
      <c r="K2934" s="28"/>
      <c r="P2934" s="29"/>
      <c r="S2934" s="24"/>
    </row>
    <row r="2935" ht="15.75" hidden="1" customHeight="1">
      <c r="F2935" s="29"/>
      <c r="I2935" s="24"/>
      <c r="K2935" s="28"/>
      <c r="P2935" s="29"/>
      <c r="S2935" s="24"/>
    </row>
    <row r="2936" ht="15.75" hidden="1" customHeight="1">
      <c r="F2936" s="29"/>
      <c r="I2936" s="24"/>
      <c r="K2936" s="28"/>
      <c r="P2936" s="29"/>
      <c r="S2936" s="24"/>
    </row>
    <row r="2937" ht="15.75" hidden="1" customHeight="1">
      <c r="F2937" s="29"/>
      <c r="I2937" s="24"/>
      <c r="K2937" s="28"/>
      <c r="P2937" s="29"/>
      <c r="S2937" s="24"/>
    </row>
    <row r="2938" ht="15.75" hidden="1" customHeight="1">
      <c r="F2938" s="29"/>
      <c r="I2938" s="24"/>
      <c r="K2938" s="28"/>
      <c r="P2938" s="29"/>
      <c r="S2938" s="24"/>
    </row>
    <row r="2939" ht="15.75" hidden="1" customHeight="1">
      <c r="F2939" s="29"/>
      <c r="I2939" s="24"/>
      <c r="K2939" s="28"/>
      <c r="P2939" s="29"/>
      <c r="S2939" s="24"/>
    </row>
    <row r="2940" ht="15.75" hidden="1" customHeight="1">
      <c r="F2940" s="29"/>
      <c r="I2940" s="24"/>
      <c r="K2940" s="28"/>
      <c r="P2940" s="29"/>
      <c r="S2940" s="24"/>
    </row>
    <row r="2941" ht="15.75" hidden="1" customHeight="1">
      <c r="F2941" s="29"/>
      <c r="I2941" s="24"/>
      <c r="K2941" s="28"/>
      <c r="P2941" s="29"/>
      <c r="S2941" s="24"/>
    </row>
    <row r="2942" ht="15.75" hidden="1" customHeight="1">
      <c r="F2942" s="29"/>
      <c r="I2942" s="24"/>
      <c r="K2942" s="28"/>
      <c r="P2942" s="29"/>
      <c r="S2942" s="24"/>
    </row>
    <row r="2943" ht="15.75" hidden="1" customHeight="1">
      <c r="F2943" s="29"/>
      <c r="I2943" s="24"/>
      <c r="K2943" s="28"/>
      <c r="P2943" s="29"/>
      <c r="S2943" s="24"/>
    </row>
    <row r="2944" ht="15.75" hidden="1" customHeight="1">
      <c r="F2944" s="29"/>
      <c r="I2944" s="24"/>
      <c r="K2944" s="28"/>
      <c r="P2944" s="29"/>
      <c r="S2944" s="24"/>
    </row>
    <row r="2945" ht="15.75" hidden="1" customHeight="1">
      <c r="F2945" s="29"/>
      <c r="I2945" s="24"/>
      <c r="K2945" s="28"/>
      <c r="P2945" s="29"/>
      <c r="S2945" s="24"/>
    </row>
    <row r="2946" ht="15.75" hidden="1" customHeight="1">
      <c r="F2946" s="29"/>
      <c r="I2946" s="24"/>
      <c r="K2946" s="28"/>
      <c r="P2946" s="29"/>
      <c r="S2946" s="24"/>
    </row>
    <row r="2947" ht="15.75" hidden="1" customHeight="1">
      <c r="F2947" s="29"/>
      <c r="I2947" s="24"/>
      <c r="K2947" s="28"/>
      <c r="P2947" s="29"/>
      <c r="S2947" s="24"/>
    </row>
    <row r="2948" ht="15.75" hidden="1" customHeight="1">
      <c r="F2948" s="29"/>
      <c r="I2948" s="24"/>
      <c r="K2948" s="28"/>
      <c r="P2948" s="29"/>
      <c r="S2948" s="24"/>
    </row>
    <row r="2949" ht="15.75" hidden="1" customHeight="1">
      <c r="F2949" s="29"/>
      <c r="I2949" s="24"/>
      <c r="K2949" s="28"/>
      <c r="P2949" s="29"/>
      <c r="S2949" s="24"/>
    </row>
    <row r="2950" ht="15.75" hidden="1" customHeight="1">
      <c r="F2950" s="29"/>
      <c r="I2950" s="24"/>
      <c r="K2950" s="28"/>
      <c r="P2950" s="29"/>
      <c r="S2950" s="24"/>
    </row>
    <row r="2951" ht="15.75" hidden="1" customHeight="1">
      <c r="F2951" s="29"/>
      <c r="I2951" s="24"/>
      <c r="K2951" s="28"/>
      <c r="P2951" s="29"/>
      <c r="S2951" s="24"/>
    </row>
    <row r="2952" ht="15.75" hidden="1" customHeight="1">
      <c r="F2952" s="29"/>
      <c r="I2952" s="24"/>
      <c r="K2952" s="28"/>
      <c r="P2952" s="29"/>
      <c r="S2952" s="24"/>
    </row>
    <row r="2953" ht="15.75" hidden="1" customHeight="1">
      <c r="F2953" s="29"/>
      <c r="I2953" s="24"/>
      <c r="K2953" s="28"/>
      <c r="P2953" s="29"/>
      <c r="S2953" s="24"/>
    </row>
    <row r="2954" ht="15.75" hidden="1" customHeight="1">
      <c r="F2954" s="29"/>
      <c r="I2954" s="24"/>
      <c r="K2954" s="28"/>
      <c r="P2954" s="29"/>
      <c r="S2954" s="24"/>
    </row>
    <row r="2955" ht="15.75" hidden="1" customHeight="1">
      <c r="F2955" s="29"/>
      <c r="I2955" s="24"/>
      <c r="K2955" s="28"/>
      <c r="P2955" s="29"/>
      <c r="S2955" s="24"/>
    </row>
    <row r="2956" ht="15.75" hidden="1" customHeight="1">
      <c r="F2956" s="29"/>
      <c r="I2956" s="24"/>
      <c r="K2956" s="28"/>
      <c r="P2956" s="29"/>
      <c r="S2956" s="24"/>
    </row>
    <row r="2957" ht="15.75" hidden="1" customHeight="1">
      <c r="F2957" s="29"/>
      <c r="I2957" s="24"/>
      <c r="K2957" s="28"/>
      <c r="P2957" s="29"/>
      <c r="S2957" s="24"/>
    </row>
    <row r="2958" ht="15.75" hidden="1" customHeight="1">
      <c r="F2958" s="29"/>
      <c r="I2958" s="24"/>
      <c r="K2958" s="28"/>
      <c r="P2958" s="29"/>
      <c r="S2958" s="24"/>
    </row>
    <row r="2959" ht="15.75" hidden="1" customHeight="1">
      <c r="F2959" s="29"/>
      <c r="I2959" s="24"/>
      <c r="K2959" s="28"/>
      <c r="P2959" s="29"/>
      <c r="S2959" s="24"/>
    </row>
    <row r="2960" ht="15.75" hidden="1" customHeight="1">
      <c r="F2960" s="29"/>
      <c r="I2960" s="24"/>
      <c r="K2960" s="28"/>
      <c r="P2960" s="29"/>
      <c r="S2960" s="24"/>
    </row>
    <row r="2961" ht="15.75" hidden="1" customHeight="1">
      <c r="F2961" s="29"/>
      <c r="I2961" s="24"/>
      <c r="K2961" s="28"/>
      <c r="P2961" s="29"/>
      <c r="S2961" s="24"/>
    </row>
    <row r="2962" ht="15.75" hidden="1" customHeight="1">
      <c r="F2962" s="29"/>
      <c r="I2962" s="24"/>
      <c r="K2962" s="28"/>
      <c r="P2962" s="29"/>
      <c r="S2962" s="24"/>
    </row>
    <row r="2963" ht="15.75" hidden="1" customHeight="1">
      <c r="F2963" s="29"/>
      <c r="I2963" s="24"/>
      <c r="K2963" s="28"/>
      <c r="P2963" s="29"/>
      <c r="S2963" s="24"/>
    </row>
    <row r="2964" ht="15.75" hidden="1" customHeight="1">
      <c r="F2964" s="29"/>
      <c r="I2964" s="24"/>
      <c r="K2964" s="28"/>
      <c r="P2964" s="29"/>
      <c r="S2964" s="24"/>
    </row>
    <row r="2965" ht="15.75" hidden="1" customHeight="1">
      <c r="F2965" s="29"/>
      <c r="I2965" s="24"/>
      <c r="K2965" s="28"/>
      <c r="P2965" s="29"/>
      <c r="S2965" s="24"/>
    </row>
    <row r="2966" ht="15.75" hidden="1" customHeight="1">
      <c r="F2966" s="29"/>
      <c r="I2966" s="24"/>
      <c r="K2966" s="28"/>
      <c r="P2966" s="29"/>
      <c r="S2966" s="24"/>
    </row>
    <row r="2967" ht="15.75" hidden="1" customHeight="1">
      <c r="F2967" s="29"/>
      <c r="I2967" s="24"/>
      <c r="K2967" s="28"/>
      <c r="P2967" s="29"/>
      <c r="S2967" s="24"/>
    </row>
    <row r="2968" ht="15.75" hidden="1" customHeight="1">
      <c r="F2968" s="29"/>
      <c r="I2968" s="24"/>
      <c r="K2968" s="28"/>
      <c r="P2968" s="29"/>
      <c r="S2968" s="24"/>
    </row>
    <row r="2969" ht="15.75" hidden="1" customHeight="1">
      <c r="F2969" s="29"/>
      <c r="I2969" s="24"/>
      <c r="K2969" s="28"/>
      <c r="P2969" s="29"/>
      <c r="S2969" s="24"/>
    </row>
    <row r="2970" ht="15.75" hidden="1" customHeight="1">
      <c r="F2970" s="29"/>
      <c r="I2970" s="24"/>
      <c r="K2970" s="28"/>
      <c r="P2970" s="29"/>
      <c r="S2970" s="24"/>
    </row>
    <row r="2971" ht="15.75" hidden="1" customHeight="1">
      <c r="F2971" s="29"/>
      <c r="I2971" s="24"/>
      <c r="K2971" s="28"/>
      <c r="P2971" s="29"/>
      <c r="S2971" s="24"/>
    </row>
    <row r="2972" ht="15.75" hidden="1" customHeight="1">
      <c r="F2972" s="29"/>
      <c r="I2972" s="24"/>
      <c r="K2972" s="28"/>
      <c r="P2972" s="29"/>
      <c r="S2972" s="24"/>
    </row>
    <row r="2973" ht="15.75" hidden="1" customHeight="1">
      <c r="F2973" s="29"/>
      <c r="I2973" s="24"/>
      <c r="K2973" s="28"/>
      <c r="P2973" s="29"/>
      <c r="S2973" s="24"/>
    </row>
    <row r="2974" ht="15.75" hidden="1" customHeight="1">
      <c r="F2974" s="29"/>
      <c r="I2974" s="24"/>
      <c r="K2974" s="28"/>
      <c r="P2974" s="29"/>
      <c r="S2974" s="24"/>
    </row>
    <row r="2975" ht="15.75" hidden="1" customHeight="1">
      <c r="F2975" s="29"/>
      <c r="I2975" s="24"/>
      <c r="K2975" s="28"/>
      <c r="P2975" s="29"/>
      <c r="S2975" s="24"/>
    </row>
    <row r="2976" ht="15.75" hidden="1" customHeight="1">
      <c r="F2976" s="29"/>
      <c r="I2976" s="24"/>
      <c r="K2976" s="28"/>
      <c r="P2976" s="29"/>
      <c r="S2976" s="24"/>
    </row>
    <row r="2977" ht="15.75" hidden="1" customHeight="1">
      <c r="F2977" s="29"/>
      <c r="I2977" s="24"/>
      <c r="K2977" s="28"/>
      <c r="P2977" s="29"/>
      <c r="S2977" s="24"/>
    </row>
    <row r="2978" ht="15.75" hidden="1" customHeight="1">
      <c r="F2978" s="29"/>
      <c r="I2978" s="24"/>
      <c r="K2978" s="28"/>
      <c r="P2978" s="29"/>
      <c r="S2978" s="24"/>
    </row>
    <row r="2979" ht="15.75" hidden="1" customHeight="1">
      <c r="F2979" s="29"/>
      <c r="I2979" s="24"/>
      <c r="K2979" s="28"/>
      <c r="P2979" s="29"/>
      <c r="S2979" s="24"/>
    </row>
    <row r="2980" ht="15.75" hidden="1" customHeight="1">
      <c r="F2980" s="29"/>
      <c r="I2980" s="24"/>
      <c r="K2980" s="28"/>
      <c r="P2980" s="29"/>
      <c r="S2980" s="24"/>
    </row>
    <row r="2981" ht="15.75" hidden="1" customHeight="1">
      <c r="F2981" s="29"/>
      <c r="I2981" s="24"/>
      <c r="K2981" s="28"/>
      <c r="P2981" s="29"/>
      <c r="S2981" s="24"/>
    </row>
    <row r="2982" ht="15.75" hidden="1" customHeight="1">
      <c r="F2982" s="29"/>
      <c r="I2982" s="24"/>
      <c r="K2982" s="28"/>
      <c r="P2982" s="29"/>
      <c r="S2982" s="24"/>
    </row>
    <row r="2983" ht="15.75" hidden="1" customHeight="1">
      <c r="F2983" s="29"/>
      <c r="I2983" s="24"/>
      <c r="K2983" s="28"/>
      <c r="P2983" s="29"/>
      <c r="S2983" s="24"/>
    </row>
    <row r="2984" ht="15.75" hidden="1" customHeight="1">
      <c r="F2984" s="29"/>
      <c r="I2984" s="24"/>
      <c r="K2984" s="28"/>
      <c r="P2984" s="29"/>
      <c r="S2984" s="24"/>
    </row>
    <row r="2985" ht="15.75" hidden="1" customHeight="1">
      <c r="F2985" s="29"/>
      <c r="I2985" s="24"/>
      <c r="K2985" s="28"/>
      <c r="P2985" s="29"/>
      <c r="S2985" s="24"/>
    </row>
    <row r="2986" ht="15.75" hidden="1" customHeight="1">
      <c r="F2986" s="29"/>
      <c r="I2986" s="24"/>
      <c r="K2986" s="28"/>
      <c r="P2986" s="29"/>
      <c r="S2986" s="24"/>
    </row>
    <row r="2987" ht="15.75" hidden="1" customHeight="1">
      <c r="F2987" s="29"/>
      <c r="I2987" s="24"/>
      <c r="K2987" s="28"/>
      <c r="P2987" s="29"/>
      <c r="S2987" s="24"/>
    </row>
    <row r="2988" ht="15.75" hidden="1" customHeight="1">
      <c r="F2988" s="29"/>
      <c r="I2988" s="24"/>
      <c r="K2988" s="28"/>
      <c r="P2988" s="29"/>
      <c r="S2988" s="24"/>
    </row>
    <row r="2989" ht="15.75" hidden="1" customHeight="1">
      <c r="F2989" s="29"/>
      <c r="I2989" s="24"/>
      <c r="K2989" s="28"/>
      <c r="P2989" s="29"/>
      <c r="S2989" s="24"/>
    </row>
    <row r="2990" ht="15.75" hidden="1" customHeight="1">
      <c r="F2990" s="29"/>
      <c r="I2990" s="24"/>
      <c r="K2990" s="28"/>
      <c r="P2990" s="29"/>
      <c r="S2990" s="24"/>
    </row>
    <row r="2991" ht="15.75" hidden="1" customHeight="1">
      <c r="F2991" s="29"/>
      <c r="I2991" s="24"/>
      <c r="K2991" s="28"/>
      <c r="P2991" s="29"/>
      <c r="S2991" s="24"/>
    </row>
    <row r="2992" ht="15.75" hidden="1" customHeight="1">
      <c r="F2992" s="29"/>
      <c r="I2992" s="24"/>
      <c r="K2992" s="28"/>
      <c r="P2992" s="29"/>
      <c r="S2992" s="24"/>
    </row>
    <row r="2993" ht="15.75" hidden="1" customHeight="1">
      <c r="F2993" s="29"/>
      <c r="I2993" s="24"/>
      <c r="K2993" s="28"/>
      <c r="P2993" s="29"/>
      <c r="S2993" s="24"/>
    </row>
    <row r="2994" ht="15.75" hidden="1" customHeight="1">
      <c r="F2994" s="29"/>
      <c r="I2994" s="24"/>
      <c r="K2994" s="28"/>
      <c r="P2994" s="29"/>
      <c r="S2994" s="24"/>
    </row>
    <row r="2995" ht="15.75" hidden="1" customHeight="1">
      <c r="F2995" s="29"/>
      <c r="I2995" s="24"/>
      <c r="K2995" s="28"/>
      <c r="P2995" s="29"/>
      <c r="S2995" s="24"/>
    </row>
    <row r="2996" ht="15.75" hidden="1" customHeight="1">
      <c r="F2996" s="29"/>
      <c r="I2996" s="24"/>
      <c r="K2996" s="28"/>
      <c r="P2996" s="29"/>
      <c r="S2996" s="24"/>
    </row>
    <row r="2997" ht="15.75" hidden="1" customHeight="1">
      <c r="F2997" s="29"/>
      <c r="I2997" s="24"/>
      <c r="K2997" s="28"/>
      <c r="P2997" s="29"/>
      <c r="S2997" s="24"/>
    </row>
    <row r="2998" ht="15.75" hidden="1" customHeight="1">
      <c r="F2998" s="29"/>
      <c r="I2998" s="24"/>
      <c r="K2998" s="28"/>
      <c r="P2998" s="29"/>
      <c r="S2998" s="24"/>
    </row>
    <row r="2999" ht="15.75" hidden="1" customHeight="1">
      <c r="F2999" s="29"/>
      <c r="I2999" s="24"/>
      <c r="K2999" s="28"/>
      <c r="P2999" s="29"/>
      <c r="S2999" s="24"/>
    </row>
  </sheetData>
  <autoFilter ref="$A$1:$Q$2999">
    <filterColumn colId="5">
      <filters>
        <filter val="88.44"/>
        <filter val="72.98"/>
        <filter val="92.66"/>
        <filter val="78.48"/>
        <filter val="76.68"/>
        <filter val="81.16"/>
        <filter val="85.58"/>
        <filter val="88.04"/>
        <filter val="62.96"/>
        <filter val="89.46"/>
        <filter val="89.02"/>
        <filter val="88.74"/>
        <filter val="87.62"/>
        <filter val="88.72"/>
        <filter val="82.1"/>
        <filter val="96.14"/>
        <filter val="93.62"/>
        <filter val="91.42"/>
        <filter val="90.32"/>
        <filter val="75.11"/>
        <filter val="77.9"/>
        <filter val="78.38"/>
        <filter val="85.08"/>
        <filter val="79.8"/>
        <filter val="80.72"/>
        <filter val="83.26"/>
        <filter val="75.3"/>
        <filter val="4.3 Dividend"/>
        <filter val="66.66"/>
        <filter val="75.6"/>
        <filter val="86.42"/>
        <filter val="85.74"/>
        <filter val="70.99"/>
        <filter val="76.84"/>
        <filter val="75.26"/>
        <filter val="92.02"/>
        <filter val="96.46"/>
        <filter val="88.9"/>
        <filter val="84.3"/>
        <filter val="72"/>
        <filter val="64.52"/>
        <filter val="80.22"/>
        <filter val="83.52"/>
        <filter val="83.82"/>
        <filter val="87.44"/>
        <filter val="87.42"/>
        <filter val="90.14"/>
        <filter val="72.05"/>
        <filter val="77.84"/>
        <filter val="96.32"/>
        <filter val="72.41"/>
        <filter val="78.1"/>
      </filters>
    </filterColumn>
  </autoFilter>
  <mergeCells count="2">
    <mergeCell ref="B45:G45"/>
    <mergeCell ref="L46:Q46"/>
  </mergeCells>
  <hyperlinks>
    <hyperlink r:id="rId1" ref="H1"/>
    <hyperlink r:id="rId2" ref="R1"/>
    <hyperlink r:id="rId3" ref="AB1"/>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s>
  <sheetData>
    <row r="1">
      <c r="A1" s="1" t="s">
        <v>0</v>
      </c>
      <c r="B1" s="37" t="s">
        <v>8</v>
      </c>
      <c r="C1" s="38" t="s">
        <v>11</v>
      </c>
      <c r="D1" s="39" t="s">
        <v>13</v>
      </c>
      <c r="E1" s="4" t="s">
        <v>5</v>
      </c>
      <c r="G1" s="40" t="s">
        <v>18</v>
      </c>
      <c r="H1" s="40" t="s">
        <v>19</v>
      </c>
      <c r="I1" s="40" t="s">
        <v>20</v>
      </c>
      <c r="J1" s="41" t="s">
        <v>21</v>
      </c>
      <c r="K1" s="41" t="s">
        <v>22</v>
      </c>
      <c r="L1" s="41" t="s">
        <v>20</v>
      </c>
    </row>
    <row r="2">
      <c r="A2" s="16">
        <v>46090.0</v>
      </c>
      <c r="B2" s="42">
        <f>VLOOKUP(A2,'Raw data 1 and 2'!A:F,6,0)</f>
        <v>78.38</v>
      </c>
      <c r="C2" s="42">
        <f>VLOOKUP(A2,'Raw data 1 and 2'!K:P,6,0)</f>
        <v>53.97</v>
      </c>
      <c r="D2" s="43">
        <f>VLOOKUP(A2, 'Raw data 1 and 2'!U:AA,6,0)</f>
        <v>6795.99</v>
      </c>
      <c r="G2" s="44">
        <f t="shared" ref="G2:I2" si="1">B2/B3-1</f>
        <v>-0.01779448622</v>
      </c>
      <c r="H2" s="44">
        <f t="shared" si="1"/>
        <v>-0.0147864184</v>
      </c>
      <c r="I2" s="44">
        <f t="shared" si="1"/>
        <v>0.008304129661</v>
      </c>
      <c r="J2" s="45">
        <f t="shared" ref="J2:L2" si="2">LN(A2/A3)</f>
        <v>0.0001518882973</v>
      </c>
      <c r="K2" s="45">
        <f t="shared" si="2"/>
        <v>-0.01795471168</v>
      </c>
      <c r="L2" s="45">
        <f t="shared" si="2"/>
        <v>-0.0148968272</v>
      </c>
    </row>
    <row r="3">
      <c r="A3" s="16">
        <v>46083.0</v>
      </c>
      <c r="B3" s="42">
        <f>VLOOKUP(A3,'Raw data 1 and 2'!A:F,6,0)</f>
        <v>79.8</v>
      </c>
      <c r="C3" s="42">
        <f>VLOOKUP(A3,'Raw data 1 and 2'!K:P,6,0)</f>
        <v>54.78</v>
      </c>
      <c r="D3" s="43">
        <f>VLOOKUP(A3, 'Raw data 1 and 2'!U:AA,6,0)</f>
        <v>6740.02</v>
      </c>
      <c r="G3" s="44">
        <f t="shared" ref="G3:I3" si="3">B3/B4-1</f>
        <v>-0.1079812207</v>
      </c>
      <c r="H3" s="44">
        <f t="shared" si="3"/>
        <v>-0.07152542373</v>
      </c>
      <c r="I3" s="44">
        <f t="shared" si="3"/>
        <v>-0.0201864257</v>
      </c>
      <c r="J3" s="45">
        <f t="shared" ref="J3:L3" si="4">LN(A3/A4)</f>
        <v>0.0001519113709</v>
      </c>
      <c r="K3" s="45">
        <f t="shared" si="4"/>
        <v>-0.1142680935</v>
      </c>
      <c r="L3" s="45">
        <f t="shared" si="4"/>
        <v>-0.07421228007</v>
      </c>
    </row>
    <row r="4">
      <c r="A4" s="16">
        <v>46076.0</v>
      </c>
      <c r="B4" s="42">
        <f>VLOOKUP(A4,'Raw data 1 and 2'!A:F,6,0)</f>
        <v>89.46</v>
      </c>
      <c r="C4" s="42">
        <f>VLOOKUP(A4,'Raw data 1 and 2'!K:P,6,0)</f>
        <v>59</v>
      </c>
      <c r="D4" s="43">
        <f>VLOOKUP(A4, 'Raw data 1 and 2'!U:AA,6,0)</f>
        <v>6878.88</v>
      </c>
      <c r="G4" s="44">
        <f t="shared" ref="G4:I4" si="5">B4/B5-1</f>
        <v>-0.00952170062</v>
      </c>
      <c r="H4" s="44">
        <f t="shared" si="5"/>
        <v>-0.004051316678</v>
      </c>
      <c r="I4" s="44">
        <f t="shared" si="5"/>
        <v>-0.004433020576</v>
      </c>
      <c r="J4" s="45">
        <f t="shared" ref="J4:L4" si="6">LN(A4/A5)</f>
        <v>0.0001519344514</v>
      </c>
      <c r="K4" s="45">
        <f t="shared" si="6"/>
        <v>-0.009567321837</v>
      </c>
      <c r="L4" s="45">
        <f t="shared" si="6"/>
        <v>-0.004059545494</v>
      </c>
    </row>
    <row r="5">
      <c r="A5" s="16">
        <v>46069.0</v>
      </c>
      <c r="B5" s="42">
        <f>VLOOKUP(A5,'Raw data 1 and 2'!A:F,6,0)</f>
        <v>90.32</v>
      </c>
      <c r="C5" s="42">
        <f>VLOOKUP(A5,'Raw data 1 and 2'!K:P,6,0)</f>
        <v>59.24</v>
      </c>
      <c r="D5" s="43">
        <f>VLOOKUP(A5, 'Raw data 1 and 2'!U:AA,6,0)</f>
        <v>6909.51</v>
      </c>
      <c r="G5" s="44">
        <f t="shared" ref="G5:I5" si="7">B5/B6-1</f>
        <v>0.01597300337</v>
      </c>
      <c r="H5" s="44">
        <f t="shared" si="7"/>
        <v>0.02811523776</v>
      </c>
      <c r="I5" s="44">
        <f t="shared" si="7"/>
        <v>0.0107282294</v>
      </c>
      <c r="J5" s="45">
        <f t="shared" ref="J5:L5" si="8">LN(A5/A6)</f>
        <v>0.000151957539</v>
      </c>
      <c r="K5" s="45">
        <f t="shared" si="8"/>
        <v>0.01584677732</v>
      </c>
      <c r="L5" s="45">
        <f t="shared" si="8"/>
        <v>0.02772725974</v>
      </c>
    </row>
    <row r="6">
      <c r="A6" s="16">
        <v>46062.0</v>
      </c>
      <c r="B6" s="42">
        <f>VLOOKUP(A6,'Raw data 1 and 2'!A:F,6,0)</f>
        <v>88.9</v>
      </c>
      <c r="C6" s="42">
        <f>VLOOKUP(A6,'Raw data 1 and 2'!K:P,6,0)</f>
        <v>57.62</v>
      </c>
      <c r="D6" s="43">
        <f>VLOOKUP(A6, 'Raw data 1 and 2'!U:AA,6,0)</f>
        <v>6836.17</v>
      </c>
      <c r="G6" s="44">
        <f t="shared" ref="G6:I6" si="9">B6/B7-1</f>
        <v>0.005201266395</v>
      </c>
      <c r="H6" s="44">
        <f t="shared" si="9"/>
        <v>-0.01973460361</v>
      </c>
      <c r="I6" s="44">
        <f t="shared" si="9"/>
        <v>-0.01386697056</v>
      </c>
      <c r="J6" s="45">
        <f t="shared" ref="J6:L6" si="10">LN(A6/A7)</f>
        <v>0.0001519806336</v>
      </c>
      <c r="K6" s="45">
        <f t="shared" si="10"/>
        <v>0.005187786531</v>
      </c>
      <c r="L6" s="45">
        <f t="shared" si="10"/>
        <v>-0.01993193133</v>
      </c>
    </row>
    <row r="7">
      <c r="A7" s="16">
        <v>46055.0</v>
      </c>
      <c r="B7" s="42">
        <f>VLOOKUP(A7,'Raw data 1 and 2'!A:F,6,0)</f>
        <v>88.44</v>
      </c>
      <c r="C7" s="42">
        <f>VLOOKUP(A7,'Raw data 1 and 2'!K:P,6,0)</f>
        <v>58.78</v>
      </c>
      <c r="D7" s="43">
        <f>VLOOKUP(A7, 'Raw data 1 and 2'!U:AA,6,0)</f>
        <v>6932.3</v>
      </c>
      <c r="G7" s="44">
        <f t="shared" ref="G7:I7" si="11">B7/B8-1</f>
        <v>0.01166781057</v>
      </c>
      <c r="H7" s="44">
        <f t="shared" si="11"/>
        <v>0.01713099152</v>
      </c>
      <c r="I7" s="44">
        <f t="shared" si="11"/>
        <v>-0.0009698761931</v>
      </c>
      <c r="J7" s="45">
        <f t="shared" ref="J7:L7" si="12">LN(A7/A8)</f>
        <v>0.0001520037352</v>
      </c>
      <c r="K7" s="45">
        <f t="shared" si="12"/>
        <v>0.01160026655</v>
      </c>
      <c r="L7" s="45">
        <f t="shared" si="12"/>
        <v>0.01698591066</v>
      </c>
    </row>
    <row r="8">
      <c r="A8" s="16">
        <v>46048.0</v>
      </c>
      <c r="B8" s="42">
        <f>VLOOKUP(A8,'Raw data 1 and 2'!A:F,6,0)</f>
        <v>87.42</v>
      </c>
      <c r="C8" s="42">
        <f>VLOOKUP(A8,'Raw data 1 and 2'!K:P,6,0)</f>
        <v>57.79</v>
      </c>
      <c r="D8" s="43">
        <f>VLOOKUP(A8, 'Raw data 1 and 2'!U:AA,6,0)</f>
        <v>6939.03</v>
      </c>
      <c r="G8" s="44">
        <f t="shared" ref="G8:I8" si="13">B8/B9-1</f>
        <v>-0.002282583885</v>
      </c>
      <c r="H8" s="44">
        <f t="shared" si="13"/>
        <v>-0.008747855918</v>
      </c>
      <c r="I8" s="44">
        <f t="shared" si="13"/>
        <v>0.003386541462</v>
      </c>
      <c r="J8" s="45">
        <f t="shared" ref="J8:L8" si="14">LN(A8/A9)</f>
        <v>0.0001520268439</v>
      </c>
      <c r="K8" s="45">
        <f t="shared" si="14"/>
        <v>-0.002285192951</v>
      </c>
      <c r="L8" s="45">
        <f t="shared" si="14"/>
        <v>-0.008786343027</v>
      </c>
    </row>
    <row r="9">
      <c r="A9" s="16">
        <v>46041.0</v>
      </c>
      <c r="B9" s="42">
        <f>VLOOKUP(A9,'Raw data 1 and 2'!A:F,6,0)</f>
        <v>87.62</v>
      </c>
      <c r="C9" s="42">
        <f>VLOOKUP(A9,'Raw data 1 and 2'!K:P,6,0)</f>
        <v>58.3</v>
      </c>
      <c r="D9" s="43">
        <f>VLOOKUP(A9, 'Raw data 1 and 2'!U:AA,6,0)</f>
        <v>6915.61</v>
      </c>
      <c r="G9" s="44">
        <f t="shared" ref="G9:I9" si="15">B9/B10-1</f>
        <v>-0.01239855726</v>
      </c>
      <c r="H9" s="44">
        <f t="shared" si="15"/>
        <v>-0.008840530432</v>
      </c>
      <c r="I9" s="44">
        <f t="shared" si="15"/>
        <v>-0.003515845078</v>
      </c>
      <c r="J9" s="45">
        <f t="shared" ref="J9:L9" si="16">LN(A9/A10)</f>
        <v>0.0001520499596</v>
      </c>
      <c r="K9" s="45">
        <f t="shared" si="16"/>
        <v>-0.01247606066</v>
      </c>
      <c r="L9" s="45">
        <f t="shared" si="16"/>
        <v>-0.008879839769</v>
      </c>
    </row>
    <row r="10">
      <c r="A10" s="16">
        <v>46034.0</v>
      </c>
      <c r="B10" s="42">
        <f>VLOOKUP(A10,'Raw data 1 and 2'!A:F,6,0)</f>
        <v>88.72</v>
      </c>
      <c r="C10" s="42">
        <f>VLOOKUP(A10,'Raw data 1 and 2'!K:P,6,0)</f>
        <v>58.82</v>
      </c>
      <c r="D10" s="43">
        <f>VLOOKUP(A10, 'Raw data 1 and 2'!U:AA,6,0)</f>
        <v>6940.01</v>
      </c>
      <c r="G10" s="44">
        <f t="shared" ref="G10:I10" si="17">B10/B11-1</f>
        <v>-0.03586176918</v>
      </c>
      <c r="H10" s="44">
        <f t="shared" si="17"/>
        <v>-0.02567500414</v>
      </c>
      <c r="I10" s="44">
        <f t="shared" si="17"/>
        <v>-0.003771022698</v>
      </c>
      <c r="J10" s="45">
        <f t="shared" ref="J10:L10" si="18">LN(A10/A11)</f>
        <v>0.0001520730823</v>
      </c>
      <c r="K10" s="45">
        <f t="shared" si="18"/>
        <v>-0.03652060169</v>
      </c>
      <c r="L10" s="45">
        <f t="shared" si="18"/>
        <v>-0.02601035968</v>
      </c>
    </row>
    <row r="11">
      <c r="A11" s="16">
        <v>46027.0</v>
      </c>
      <c r="B11" s="42">
        <f>VLOOKUP(A11,'Raw data 1 and 2'!A:F,6,0)</f>
        <v>92.02</v>
      </c>
      <c r="C11" s="42">
        <f>VLOOKUP(A11,'Raw data 1 and 2'!K:P,6,0)</f>
        <v>60.37</v>
      </c>
      <c r="D11" s="43">
        <f>VLOOKUP(A11, 'Raw data 1 and 2'!U:AA,6,0)</f>
        <v>6966.28</v>
      </c>
      <c r="G11" s="44">
        <f t="shared" ref="G11:I11" si="19">B11/B12-1</f>
        <v>-0.04464285714</v>
      </c>
      <c r="H11" s="44">
        <f t="shared" si="19"/>
        <v>-0.02518973034</v>
      </c>
      <c r="I11" s="44">
        <f t="shared" si="19"/>
        <v>0.01571924934</v>
      </c>
      <c r="J11" s="45">
        <f t="shared" ref="J11:L11" si="20">LN(A11/A12)</f>
        <v>0.000152096212</v>
      </c>
      <c r="K11" s="45">
        <f t="shared" si="20"/>
        <v>-0.04567003683</v>
      </c>
      <c r="L11" s="45">
        <f t="shared" si="20"/>
        <v>-0.02551242214</v>
      </c>
    </row>
    <row r="12">
      <c r="A12" s="16">
        <v>46020.0</v>
      </c>
      <c r="B12" s="42">
        <f>VLOOKUP(A12,'Raw data 1 and 2'!A:F,6,0)</f>
        <v>96.32</v>
      </c>
      <c r="C12" s="42">
        <f>VLOOKUP(A12,'Raw data 1 and 2'!K:P,6,0)</f>
        <v>61.93</v>
      </c>
      <c r="D12" s="43">
        <f>VLOOKUP(A12, 'Raw data 1 and 2'!U:AA,6,0)</f>
        <v>6858.47</v>
      </c>
      <c r="G12" s="44">
        <f t="shared" ref="G12:I12" si="21">B12/B13-1</f>
        <v>0.03949924455</v>
      </c>
      <c r="H12" s="44">
        <f t="shared" si="21"/>
        <v>0.04435075885</v>
      </c>
      <c r="I12" s="44">
        <f t="shared" si="21"/>
        <v>-0.01031322061</v>
      </c>
      <c r="J12" s="45">
        <f t="shared" ref="J12:L12" si="22">LN(A12/A13)</f>
        <v>0.0001521193488</v>
      </c>
      <c r="K12" s="45">
        <f t="shared" si="22"/>
        <v>0.03873910157</v>
      </c>
      <c r="L12" s="45">
        <f t="shared" si="22"/>
        <v>0.04339540895</v>
      </c>
    </row>
    <row r="13">
      <c r="A13" s="16">
        <v>46013.0</v>
      </c>
      <c r="B13" s="42">
        <f>VLOOKUP(A13,'Raw data 1 and 2'!A:F,6,0)</f>
        <v>92.66</v>
      </c>
      <c r="C13" s="42">
        <f>VLOOKUP(A13,'Raw data 1 and 2'!K:P,6,0)</f>
        <v>59.3</v>
      </c>
      <c r="D13" s="43">
        <f>VLOOKUP(A13, 'Raw data 1 and 2'!U:AA,6,0)</f>
        <v>6929.94</v>
      </c>
      <c r="G13" s="44">
        <f t="shared" ref="G13:I13" si="23">B13/B14-1</f>
        <v>-0.01025421918</v>
      </c>
      <c r="H13" s="44">
        <f t="shared" si="23"/>
        <v>-0.009024064171</v>
      </c>
      <c r="I13" s="44">
        <f t="shared" si="23"/>
        <v>0.01396444509</v>
      </c>
      <c r="J13" s="45">
        <f t="shared" ref="J13:L13" si="24">LN(A13/A14)</f>
        <v>0.0001521424926</v>
      </c>
      <c r="K13" s="45">
        <f t="shared" si="24"/>
        <v>-0.01030715588</v>
      </c>
      <c r="L13" s="45">
        <f t="shared" si="24"/>
        <v>-0.009065027663</v>
      </c>
    </row>
    <row r="14">
      <c r="A14" s="16">
        <v>46006.0</v>
      </c>
      <c r="B14" s="42">
        <f>VLOOKUP(A14,'Raw data 1 and 2'!A:F,6,0)</f>
        <v>93.62</v>
      </c>
      <c r="C14" s="42">
        <f>VLOOKUP(A14,'Raw data 1 and 2'!K:P,6,0)</f>
        <v>59.84</v>
      </c>
      <c r="D14" s="43">
        <f>VLOOKUP(A14, 'Raw data 1 and 2'!U:AA,6,0)</f>
        <v>6834.5</v>
      </c>
      <c r="G14" s="44">
        <f t="shared" ref="G14:I14" si="25">B14/B15-1</f>
        <v>-0.0262117745</v>
      </c>
      <c r="H14" s="44">
        <f t="shared" si="25"/>
        <v>-0.02998865294</v>
      </c>
      <c r="I14" s="44">
        <f t="shared" si="25"/>
        <v>0.001038461144</v>
      </c>
      <c r="J14" s="45">
        <f t="shared" ref="J14:L14" si="26">LN(A14/A15)</f>
        <v>0.0001521656435</v>
      </c>
      <c r="K14" s="45">
        <f t="shared" si="26"/>
        <v>-0.02656142659</v>
      </c>
      <c r="L14" s="45">
        <f t="shared" si="26"/>
        <v>-0.03044750956</v>
      </c>
    </row>
    <row r="15">
      <c r="A15" s="16">
        <v>45999.0</v>
      </c>
      <c r="B15" s="42">
        <f>VLOOKUP(A15,'Raw data 1 and 2'!A:F,6,0)</f>
        <v>96.14</v>
      </c>
      <c r="C15" s="42">
        <f>VLOOKUP(A15,'Raw data 1 and 2'!K:P,6,0)</f>
        <v>61.69</v>
      </c>
      <c r="D15" s="43">
        <f>VLOOKUP(A15, 'Raw data 1 and 2'!U:AA,6,0)</f>
        <v>6827.41</v>
      </c>
      <c r="G15" s="44">
        <f t="shared" ref="G15:I15" si="27">B15/B16-1</f>
        <v>-0.00331743728</v>
      </c>
      <c r="H15" s="44">
        <f t="shared" si="27"/>
        <v>0.001461038961</v>
      </c>
      <c r="I15" s="44">
        <f t="shared" si="27"/>
        <v>-0.006257277597</v>
      </c>
      <c r="J15" s="45">
        <f t="shared" ref="J15:L15" si="28">LN(A15/A16)</f>
        <v>0.0001521888014</v>
      </c>
      <c r="K15" s="45">
        <f t="shared" si="28"/>
        <v>-0.003322952175</v>
      </c>
      <c r="L15" s="45">
        <f t="shared" si="28"/>
        <v>0.001459972682</v>
      </c>
    </row>
    <row r="16">
      <c r="A16" s="16">
        <v>45992.0</v>
      </c>
      <c r="B16" s="42">
        <f>VLOOKUP(A16,'Raw data 1 and 2'!A:F,6,0)</f>
        <v>96.46</v>
      </c>
      <c r="C16" s="42">
        <f>VLOOKUP(A16,'Raw data 1 and 2'!K:P,6,0)</f>
        <v>61.6</v>
      </c>
      <c r="D16" s="43">
        <f>VLOOKUP(A16, 'Raw data 1 and 2'!U:AA,6,0)</f>
        <v>6870.4</v>
      </c>
      <c r="G16" s="44">
        <f t="shared" ref="G16:I16" si="29">B16/B17-1</f>
        <v>0.09563834621</v>
      </c>
      <c r="H16" s="44">
        <f t="shared" si="29"/>
        <v>0.05914718019</v>
      </c>
      <c r="I16" s="44">
        <f t="shared" si="29"/>
        <v>0.003111362239</v>
      </c>
      <c r="J16" s="45">
        <f t="shared" ref="J16:L16" si="30">LN(A16/A17)</f>
        <v>0.0001522119663</v>
      </c>
      <c r="K16" s="45">
        <f t="shared" si="30"/>
        <v>0.09133715798</v>
      </c>
      <c r="L16" s="45">
        <f t="shared" si="30"/>
        <v>0.05746403731</v>
      </c>
    </row>
    <row r="17">
      <c r="A17" s="16">
        <v>45985.0</v>
      </c>
      <c r="B17" s="42">
        <f>VLOOKUP(A17,'Raw data 1 and 2'!A:F,6,0)</f>
        <v>88.04</v>
      </c>
      <c r="C17" s="42">
        <f>VLOOKUP(A17,'Raw data 1 and 2'!K:P,6,0)</f>
        <v>58.16</v>
      </c>
      <c r="D17" s="43">
        <f>VLOOKUP(A17, 'Raw data 1 and 2'!U:AA,6,0)</f>
        <v>6849.09</v>
      </c>
      <c r="G17" s="44">
        <f t="shared" ref="G17:I17" si="31">B17/B18-1</f>
        <v>0.03479078514</v>
      </c>
      <c r="H17" s="44">
        <f t="shared" si="31"/>
        <v>0.01999298492</v>
      </c>
      <c r="I17" s="44">
        <f t="shared" si="31"/>
        <v>0.0372709939</v>
      </c>
      <c r="J17" s="45">
        <f t="shared" ref="J17:L17" si="32">LN(A17/A18)</f>
        <v>0.0001522351383</v>
      </c>
      <c r="K17" s="45">
        <f t="shared" si="32"/>
        <v>0.03419926633</v>
      </c>
      <c r="L17" s="45">
        <f t="shared" si="32"/>
        <v>0.01979574974</v>
      </c>
    </row>
    <row r="18">
      <c r="A18" s="16">
        <v>45978.0</v>
      </c>
      <c r="B18" s="42">
        <f>VLOOKUP(A18,'Raw data 1 and 2'!A:F,6,0)</f>
        <v>85.08</v>
      </c>
      <c r="C18" s="42">
        <f>VLOOKUP(A18,'Raw data 1 and 2'!K:P,6,0)</f>
        <v>57.02</v>
      </c>
      <c r="D18" s="43">
        <f>VLOOKUP(A18, 'Raw data 1 and 2'!U:AA,6,0)</f>
        <v>6602.99</v>
      </c>
      <c r="G18" s="44">
        <f t="shared" ref="G18:I18" si="33">B18/B19-1</f>
        <v>-0.04124408384</v>
      </c>
      <c r="H18" s="44">
        <f t="shared" si="33"/>
        <v>-0.04264607119</v>
      </c>
      <c r="I18" s="44">
        <f t="shared" si="33"/>
        <v>-0.01947102141</v>
      </c>
      <c r="J18" s="45">
        <f t="shared" ref="J18:L18" si="34">LN(A18/A19)</f>
        <v>0.0001522583174</v>
      </c>
      <c r="K18" s="45">
        <f t="shared" si="34"/>
        <v>-0.04211875562</v>
      </c>
      <c r="L18" s="45">
        <f t="shared" si="34"/>
        <v>-0.04358212433</v>
      </c>
    </row>
    <row r="19">
      <c r="A19" s="16">
        <v>45971.0</v>
      </c>
      <c r="B19" s="42">
        <f>VLOOKUP(A19,'Raw data 1 and 2'!A:F,6,0)</f>
        <v>88.74</v>
      </c>
      <c r="C19" s="42">
        <f>VLOOKUP(A19,'Raw data 1 and 2'!K:P,6,0)</f>
        <v>59.56</v>
      </c>
      <c r="D19" s="43">
        <f>VLOOKUP(A19, 'Raw data 1 and 2'!U:AA,6,0)</f>
        <v>6734.11</v>
      </c>
      <c r="G19" s="44">
        <f t="shared" ref="G19:I19" si="35">B19/B20-1</f>
        <v>0.05266903915</v>
      </c>
      <c r="H19" s="44">
        <f t="shared" si="35"/>
        <v>0.02354356419</v>
      </c>
      <c r="I19" s="44">
        <f t="shared" si="35"/>
        <v>0.000789145167</v>
      </c>
      <c r="J19" s="45">
        <f t="shared" ref="J19:L19" si="36">LN(A19/A20)</f>
        <v>0.0001522815035</v>
      </c>
      <c r="K19" s="45">
        <f t="shared" si="36"/>
        <v>0.05132888094</v>
      </c>
      <c r="L19" s="45">
        <f t="shared" si="36"/>
        <v>0.02327068915</v>
      </c>
    </row>
    <row r="20">
      <c r="A20" s="16">
        <v>45964.0</v>
      </c>
      <c r="B20" s="42">
        <f>VLOOKUP(A20,'Raw data 1 and 2'!A:F,6,0)</f>
        <v>84.3</v>
      </c>
      <c r="C20" s="42">
        <f>VLOOKUP(A20,'Raw data 1 and 2'!K:P,6,0)</f>
        <v>58.19</v>
      </c>
      <c r="D20" s="43">
        <f>VLOOKUP(A20, 'Raw data 1 and 2'!U:AA,6,0)</f>
        <v>6728.8</v>
      </c>
      <c r="G20" s="44">
        <f t="shared" ref="G20:I20" si="37">B20/B21-1</f>
        <v>0.04435084242</v>
      </c>
      <c r="H20" s="44">
        <f t="shared" si="37"/>
        <v>0.03522504892</v>
      </c>
      <c r="I20" s="44">
        <f t="shared" si="37"/>
        <v>-0.01628607351</v>
      </c>
      <c r="J20" s="45">
        <f t="shared" ref="J20:L20" si="38">LN(A20/A21)</f>
        <v>0.0001523046967</v>
      </c>
      <c r="K20" s="45">
        <f t="shared" si="38"/>
        <v>0.04339548896</v>
      </c>
      <c r="L20" s="45">
        <f t="shared" si="38"/>
        <v>0.03461884165</v>
      </c>
    </row>
    <row r="21">
      <c r="A21" s="16">
        <v>45957.0</v>
      </c>
      <c r="B21" s="42">
        <f>VLOOKUP(A21,'Raw data 1 and 2'!A:F,6,0)</f>
        <v>80.72</v>
      </c>
      <c r="C21" s="42">
        <f>VLOOKUP(A21,'Raw data 1 and 2'!K:P,6,0)</f>
        <v>56.21</v>
      </c>
      <c r="D21" s="43">
        <f>VLOOKUP(A21, 'Raw data 1 and 2'!U:AA,6,0)</f>
        <v>6840.2</v>
      </c>
      <c r="G21" s="44">
        <f t="shared" ref="G21:I21" si="39">B21/B22-1</f>
        <v>-0.005421389847</v>
      </c>
      <c r="H21" s="44">
        <f t="shared" si="39"/>
        <v>0.04576744186</v>
      </c>
      <c r="I21" s="44">
        <f t="shared" si="39"/>
        <v>0.007142552148</v>
      </c>
      <c r="J21" s="45">
        <f t="shared" ref="J21:L21" si="40">LN(A21/A22)</f>
        <v>0.000152327897</v>
      </c>
      <c r="K21" s="45">
        <f t="shared" si="40"/>
        <v>-0.005436138912</v>
      </c>
      <c r="L21" s="45">
        <f t="shared" si="40"/>
        <v>0.04475101001</v>
      </c>
    </row>
    <row r="22">
      <c r="A22" s="16">
        <v>45950.0</v>
      </c>
      <c r="B22" s="42">
        <f>VLOOKUP(A22,'Raw data 1 and 2'!A:F,6,0)</f>
        <v>81.16</v>
      </c>
      <c r="C22" s="42">
        <f>VLOOKUP(A22,'Raw data 1 and 2'!K:P,6,0)</f>
        <v>53.75</v>
      </c>
      <c r="D22" s="43">
        <f>VLOOKUP(A22, 'Raw data 1 and 2'!U:AA,6,0)</f>
        <v>6791.69</v>
      </c>
      <c r="G22" s="44">
        <f t="shared" ref="G22:I22" si="41">B22/B23-1</f>
        <v>0.01171777612</v>
      </c>
      <c r="H22" s="44">
        <f t="shared" si="41"/>
        <v>0.007120104928</v>
      </c>
      <c r="I22" s="44">
        <f t="shared" si="41"/>
        <v>0.01915963511</v>
      </c>
      <c r="J22" s="45">
        <f t="shared" ref="J22:L22" si="42">LN(A22/A23)</f>
        <v>0.0001523511043</v>
      </c>
      <c r="K22" s="45">
        <f t="shared" si="42"/>
        <v>0.01164965462</v>
      </c>
      <c r="L22" s="45">
        <f t="shared" si="42"/>
        <v>0.007094876662</v>
      </c>
    </row>
    <row r="23">
      <c r="A23" s="16">
        <v>45943.0</v>
      </c>
      <c r="B23" s="42">
        <f>VLOOKUP(A23,'Raw data 1 and 2'!A:F,6,0)</f>
        <v>80.22</v>
      </c>
      <c r="C23" s="42">
        <f>VLOOKUP(A23,'Raw data 1 and 2'!K:P,6,0)</f>
        <v>53.37</v>
      </c>
      <c r="D23" s="43">
        <f>VLOOKUP(A23, 'Raw data 1 and 2'!U:AA,6,0)</f>
        <v>6664.01</v>
      </c>
      <c r="G23" s="44">
        <f t="shared" ref="G23:I23" si="43">B23/B24-1</f>
        <v>0.02217125382</v>
      </c>
      <c r="H23" s="44">
        <f t="shared" si="43"/>
        <v>0.003195488722</v>
      </c>
      <c r="I23" s="44">
        <f t="shared" si="43"/>
        <v>0.01701637998</v>
      </c>
      <c r="J23" s="45">
        <f t="shared" ref="J23:L23" si="44">LN(A23/A24)</f>
        <v>0.0001523743187</v>
      </c>
      <c r="K23" s="45">
        <f t="shared" si="44"/>
        <v>0.02192904508</v>
      </c>
      <c r="L23" s="45">
        <f t="shared" si="44"/>
        <v>0.003190393998</v>
      </c>
    </row>
    <row r="24">
      <c r="A24" s="16">
        <v>45936.0</v>
      </c>
      <c r="B24" s="42">
        <f>VLOOKUP(A24,'Raw data 1 and 2'!A:F,6,0)</f>
        <v>78.48</v>
      </c>
      <c r="C24" s="42">
        <f>VLOOKUP(A24,'Raw data 1 and 2'!K:P,6,0)</f>
        <v>53.2</v>
      </c>
      <c r="D24" s="43">
        <f>VLOOKUP(A24, 'Raw data 1 and 2'!U:AA,6,0)</f>
        <v>6552.51</v>
      </c>
      <c r="G24" s="44">
        <f t="shared" ref="G24:I24" si="45">B24/B25-1</f>
        <v>-0.09187688035</v>
      </c>
      <c r="H24" s="44">
        <f t="shared" si="45"/>
        <v>-0.03988449738</v>
      </c>
      <c r="I24" s="44">
        <f t="shared" si="45"/>
        <v>-0.02431285076</v>
      </c>
      <c r="J24" s="45">
        <f t="shared" ref="J24:L24" si="46">LN(A24/A25)</f>
        <v>0.0001523975402</v>
      </c>
      <c r="K24" s="45">
        <f t="shared" si="46"/>
        <v>-0.09637531525</v>
      </c>
      <c r="L24" s="45">
        <f t="shared" si="46"/>
        <v>-0.04070168653</v>
      </c>
    </row>
    <row r="25">
      <c r="A25" s="16">
        <v>45929.0</v>
      </c>
      <c r="B25" s="42">
        <f>VLOOKUP(A25,'Raw data 1 and 2'!A:F,6,0)</f>
        <v>86.42</v>
      </c>
      <c r="C25" s="42">
        <f>VLOOKUP(A25,'Raw data 1 and 2'!K:P,6,0)</f>
        <v>55.41</v>
      </c>
      <c r="D25" s="43">
        <f>VLOOKUP(A25, 'Raw data 1 and 2'!U:AA,6,0)</f>
        <v>6715.79</v>
      </c>
      <c r="G25" s="44">
        <f t="shared" ref="G25:I25" si="47">B25/B26-1</f>
        <v>0.007930954047</v>
      </c>
      <c r="H25" s="44">
        <f t="shared" si="47"/>
        <v>0.03919729932</v>
      </c>
      <c r="I25" s="44">
        <f t="shared" si="47"/>
        <v>0.01085088129</v>
      </c>
      <c r="J25" s="45">
        <f t="shared" ref="J25:L25" si="48">LN(A25/A26)</f>
        <v>0.0001524207687</v>
      </c>
      <c r="K25" s="45">
        <f t="shared" si="48"/>
        <v>0.007899669334</v>
      </c>
      <c r="L25" s="45">
        <f t="shared" si="48"/>
        <v>0.03844858757</v>
      </c>
    </row>
    <row r="26">
      <c r="A26" s="16">
        <v>45922.0</v>
      </c>
      <c r="B26" s="42">
        <f>VLOOKUP(A26,'Raw data 1 and 2'!A:F,6,0)</f>
        <v>85.74</v>
      </c>
      <c r="C26" s="42">
        <f>VLOOKUP(A26,'Raw data 1 and 2'!K:P,6,0)</f>
        <v>53.32</v>
      </c>
      <c r="D26" s="43">
        <f>VLOOKUP(A26, 'Raw data 1 and 2'!U:AA,6,0)</f>
        <v>6643.7</v>
      </c>
      <c r="G26" s="44">
        <f t="shared" ref="G26:I26" si="49">B26/B27-1</f>
        <v>0.02978621187</v>
      </c>
      <c r="H26" s="44">
        <f t="shared" si="49"/>
        <v>0.03574203574</v>
      </c>
      <c r="I26" s="44">
        <f t="shared" si="49"/>
        <v>-0.003100072625</v>
      </c>
      <c r="J26" s="45">
        <f t="shared" ref="J26:L26" si="50">LN(A26/A27)</f>
        <v>0.0001524440043</v>
      </c>
      <c r="K26" s="45">
        <f t="shared" si="50"/>
        <v>0.0293512194</v>
      </c>
      <c r="L26" s="45">
        <f t="shared" si="50"/>
        <v>0.03511811258</v>
      </c>
    </row>
    <row r="27">
      <c r="A27" s="16">
        <v>45915.0</v>
      </c>
      <c r="B27" s="42">
        <f>VLOOKUP(A27,'Raw data 1 and 2'!A:F,6,0)</f>
        <v>83.26</v>
      </c>
      <c r="C27" s="42">
        <f>VLOOKUP(A27,'Raw data 1 and 2'!K:P,6,0)</f>
        <v>51.48</v>
      </c>
      <c r="D27" s="43">
        <f>VLOOKUP(A27, 'Raw data 1 and 2'!U:AA,6,0)</f>
        <v>6664.36</v>
      </c>
      <c r="G27" s="44">
        <f t="shared" ref="G27:I27" si="51">B27/B28-1</f>
        <v>-0.006680983059</v>
      </c>
      <c r="H27" s="44">
        <f t="shared" si="51"/>
        <v>-0.00406268137</v>
      </c>
      <c r="I27" s="44">
        <f t="shared" si="51"/>
        <v>0.01216076449</v>
      </c>
      <c r="J27" s="45">
        <f t="shared" ref="J27:L27" si="52">LN(A27/A28)</f>
        <v>0.0001524672471</v>
      </c>
      <c r="K27" s="45">
        <f t="shared" si="52"/>
        <v>-0.00670340073</v>
      </c>
      <c r="L27" s="45">
        <f t="shared" si="52"/>
        <v>-0.00407095648</v>
      </c>
    </row>
    <row r="28">
      <c r="A28" s="16">
        <v>45908.0</v>
      </c>
      <c r="B28" s="42">
        <f>VLOOKUP(A28,'Raw data 1 and 2'!A:F,6,0)</f>
        <v>83.82</v>
      </c>
      <c r="C28" s="42">
        <f>VLOOKUP(A28,'Raw data 1 and 2'!K:P,6,0)</f>
        <v>51.69</v>
      </c>
      <c r="D28" s="43">
        <f>VLOOKUP(A28, 'Raw data 1 and 2'!U:AA,6,0)</f>
        <v>6584.29</v>
      </c>
      <c r="G28" s="44">
        <f t="shared" ref="G28:I28" si="53">B28/B29-1</f>
        <v>-0.05223880597</v>
      </c>
      <c r="H28" s="44">
        <f t="shared" si="53"/>
        <v>-0.02324263039</v>
      </c>
      <c r="I28" s="44">
        <f t="shared" si="53"/>
        <v>0.01585898326</v>
      </c>
      <c r="J28" s="45">
        <f t="shared" ref="J28:L28" si="54">LN(A28/A29)</f>
        <v>0.0001524904969</v>
      </c>
      <c r="K28" s="45">
        <f t="shared" si="54"/>
        <v>-0.05365271349</v>
      </c>
      <c r="L28" s="45">
        <f t="shared" si="54"/>
        <v>-0.02351700004</v>
      </c>
    </row>
    <row r="29">
      <c r="A29" s="16">
        <v>45901.0</v>
      </c>
      <c r="B29" s="42">
        <f>VLOOKUP(A29,'Raw data 1 and 2'!A:F,6,0)</f>
        <v>88.44</v>
      </c>
      <c r="C29" s="42">
        <f>VLOOKUP(A29,'Raw data 1 and 2'!K:P,6,0)</f>
        <v>52.92</v>
      </c>
      <c r="D29" s="43">
        <f>VLOOKUP(A29, 'Raw data 1 and 2'!U:AA,6,0)</f>
        <v>6481.5</v>
      </c>
      <c r="G29" s="44">
        <f t="shared" ref="G29:I29" si="55">B29/B30-1</f>
        <v>-0.0114017438</v>
      </c>
      <c r="H29" s="44">
        <f t="shared" si="55"/>
        <v>-0.008059981256</v>
      </c>
      <c r="I29" s="44">
        <f t="shared" si="55"/>
        <v>0.003287793371</v>
      </c>
      <c r="J29" s="45">
        <f t="shared" ref="J29:L29" si="56">LN(A29/A30)</f>
        <v>0.0001525137538</v>
      </c>
      <c r="K29" s="45">
        <f t="shared" si="56"/>
        <v>-0.01146724202</v>
      </c>
      <c r="L29" s="45">
        <f t="shared" si="56"/>
        <v>-0.008092638501</v>
      </c>
    </row>
    <row r="30">
      <c r="A30" s="16">
        <v>45894.0</v>
      </c>
      <c r="B30" s="42">
        <f>VLOOKUP(A30,'Raw data 1 and 2'!A:F,6,0)</f>
        <v>89.46</v>
      </c>
      <c r="C30" s="42">
        <f>VLOOKUP(A30,'Raw data 1 and 2'!K:P,6,0)</f>
        <v>53.35</v>
      </c>
      <c r="D30" s="43">
        <f>VLOOKUP(A30, 'Raw data 1 and 2'!U:AA,6,0)</f>
        <v>6460.26</v>
      </c>
      <c r="G30" s="44">
        <f t="shared" ref="G30:I30" si="57">B30/B31-1</f>
        <v>-0.02143950995</v>
      </c>
      <c r="H30" s="44">
        <f t="shared" si="57"/>
        <v>-0.03246282191</v>
      </c>
      <c r="I30" s="44">
        <f t="shared" si="57"/>
        <v>-0.001028311821</v>
      </c>
      <c r="J30" s="45">
        <f t="shared" ref="J30:L30" si="58">LN(A30/A31)</f>
        <v>0.0001525370178</v>
      </c>
      <c r="K30" s="45">
        <f t="shared" si="58"/>
        <v>-0.0216726749</v>
      </c>
      <c r="L30" s="45">
        <f t="shared" si="58"/>
        <v>-0.03300142785</v>
      </c>
    </row>
    <row r="31">
      <c r="A31" s="16">
        <v>45887.0</v>
      </c>
      <c r="B31" s="42">
        <f>VLOOKUP(A31,'Raw data 1 and 2'!A:F,6,0)</f>
        <v>91.42</v>
      </c>
      <c r="C31" s="42">
        <f>VLOOKUP(A31,'Raw data 1 and 2'!K:P,6,0)</f>
        <v>55.14</v>
      </c>
      <c r="D31" s="43">
        <f>VLOOKUP(A31, 'Raw data 1 and 2'!U:AA,6,0)</f>
        <v>6466.91</v>
      </c>
      <c r="G31" s="44">
        <f t="shared" ref="G31:I31" si="59">B31/B32-1</f>
        <v>0.01420013313</v>
      </c>
      <c r="H31" s="44">
        <f t="shared" si="59"/>
        <v>0.03046159596</v>
      </c>
      <c r="I31" s="44">
        <f t="shared" si="59"/>
        <v>0.002652795436</v>
      </c>
      <c r="J31" s="45">
        <f t="shared" ref="J31:L31" si="60">LN(A31/A32)</f>
        <v>0.0001525602889</v>
      </c>
      <c r="K31" s="45">
        <f t="shared" si="60"/>
        <v>0.01410025564</v>
      </c>
      <c r="L31" s="45">
        <f t="shared" si="60"/>
        <v>0.03000685327</v>
      </c>
    </row>
    <row r="32">
      <c r="A32" s="16">
        <v>45880.0</v>
      </c>
      <c r="B32" s="42">
        <f>VLOOKUP(A32,'Raw data 1 and 2'!A:F,6,0)</f>
        <v>90.14</v>
      </c>
      <c r="C32" s="42">
        <f>VLOOKUP(A32,'Raw data 1 and 2'!K:P,6,0)</f>
        <v>53.51</v>
      </c>
      <c r="D32" s="43">
        <f>VLOOKUP(A32, 'Raw data 1 and 2'!U:AA,6,0)</f>
        <v>6449.8</v>
      </c>
      <c r="G32" s="44">
        <f t="shared" ref="G32:I32" si="61">B32/B33-1</f>
        <v>0.03087831656</v>
      </c>
      <c r="H32" s="44">
        <f t="shared" si="61"/>
        <v>0.02666922487</v>
      </c>
      <c r="I32" s="44">
        <f t="shared" si="61"/>
        <v>0.009445257417</v>
      </c>
      <c r="J32" s="45">
        <f t="shared" ref="J32:L32" si="62">LN(A32/A33)</f>
        <v>0.000152583567</v>
      </c>
      <c r="K32" s="45">
        <f t="shared" si="62"/>
        <v>0.03041117339</v>
      </c>
      <c r="L32" s="45">
        <f t="shared" si="62"/>
        <v>0.02631980007</v>
      </c>
    </row>
    <row r="33">
      <c r="A33" s="16">
        <v>45873.0</v>
      </c>
      <c r="B33" s="42">
        <f>VLOOKUP(A33,'Raw data 1 and 2'!A:F,6,0)</f>
        <v>87.44</v>
      </c>
      <c r="C33" s="42">
        <f>VLOOKUP(A33,'Raw data 1 and 2'!K:P,6,0)</f>
        <v>52.12</v>
      </c>
      <c r="D33" s="43">
        <f>VLOOKUP(A33, 'Raw data 1 and 2'!U:AA,6,0)</f>
        <v>6389.45</v>
      </c>
      <c r="G33" s="44">
        <f t="shared" ref="G33:I33" si="63">B33/B34-1</f>
        <v>0.06504263094</v>
      </c>
      <c r="H33" s="44">
        <f t="shared" si="63"/>
        <v>0.06150712831</v>
      </c>
      <c r="I33" s="44">
        <f t="shared" si="63"/>
        <v>0.02427697294</v>
      </c>
      <c r="J33" s="45">
        <f t="shared" ref="J33:L33" si="64">LN(A33/A34)</f>
        <v>0.0001526068523</v>
      </c>
      <c r="K33" s="45">
        <f t="shared" si="64"/>
        <v>0.06301482741</v>
      </c>
      <c r="L33" s="45">
        <f t="shared" si="64"/>
        <v>0.05968971746</v>
      </c>
    </row>
    <row r="34">
      <c r="A34" s="16">
        <v>45866.0</v>
      </c>
      <c r="B34" s="42">
        <f>VLOOKUP(A34,'Raw data 1 and 2'!A:F,6,0)</f>
        <v>82.1</v>
      </c>
      <c r="C34" s="42">
        <f>VLOOKUP(A34,'Raw data 1 and 2'!K:P,6,0)</f>
        <v>49.1</v>
      </c>
      <c r="D34" s="43">
        <f>VLOOKUP(A34, 'Raw data 1 and 2'!U:AA,6,0)</f>
        <v>6238.01</v>
      </c>
      <c r="G34" s="44">
        <f t="shared" ref="G34:I34" si="65">B34/B35-1</f>
        <v>-0.07773534037</v>
      </c>
      <c r="H34" s="44">
        <f t="shared" si="65"/>
        <v>-0.1151558839</v>
      </c>
      <c r="I34" s="44">
        <f t="shared" si="65"/>
        <v>-0.02357778807</v>
      </c>
      <c r="J34" s="45">
        <f t="shared" ref="J34:L34" si="66">LN(A34/A35)</f>
        <v>0.0001526301447</v>
      </c>
      <c r="K34" s="45">
        <f t="shared" si="66"/>
        <v>-0.08092304713</v>
      </c>
      <c r="L34" s="45">
        <f t="shared" si="66"/>
        <v>-0.1223437895</v>
      </c>
    </row>
    <row r="35">
      <c r="A35" s="16">
        <v>45859.0</v>
      </c>
      <c r="B35" s="42">
        <f>VLOOKUP(A35,'Raw data 1 and 2'!A:F,6,0)</f>
        <v>89.02</v>
      </c>
      <c r="C35" s="42">
        <f>VLOOKUP(A35,'Raw data 1 and 2'!K:P,6,0)</f>
        <v>55.49</v>
      </c>
      <c r="D35" s="43">
        <f>VLOOKUP(A35, 'Raw data 1 and 2'!U:AA,6,0)</f>
        <v>6388.64</v>
      </c>
      <c r="G35" s="44">
        <f t="shared" ref="G35:I35" si="67">B35/B36-1</f>
        <v>0.06585249042</v>
      </c>
      <c r="H35" s="44">
        <f t="shared" si="67"/>
        <v>0.08104422365</v>
      </c>
      <c r="I35" s="44">
        <f t="shared" si="67"/>
        <v>0.0145867974</v>
      </c>
      <c r="J35" s="45">
        <f t="shared" ref="J35:L35" si="68">LN(A35/A36)</f>
        <v>0.0001526534443</v>
      </c>
      <c r="K35" s="45">
        <f t="shared" si="68"/>
        <v>0.06377493945</v>
      </c>
      <c r="L35" s="45">
        <f t="shared" si="68"/>
        <v>0.07792744777</v>
      </c>
    </row>
    <row r="36">
      <c r="A36" s="16">
        <v>45852.0</v>
      </c>
      <c r="B36" s="42">
        <f>VLOOKUP(A36,'Raw data 1 and 2'!A:F,6,0)</f>
        <v>83.52</v>
      </c>
      <c r="C36" s="42">
        <f>VLOOKUP(A36,'Raw data 1 and 2'!K:P,6,0)</f>
        <v>51.33</v>
      </c>
      <c r="D36" s="43">
        <f>VLOOKUP(A36, 'Raw data 1 and 2'!U:AA,6,0)</f>
        <v>6296.79</v>
      </c>
      <c r="G36" s="44">
        <f t="shared" ref="G36:I36" si="69">B36/B37-1</f>
        <v>-0.02407104464</v>
      </c>
      <c r="H36" s="44">
        <f t="shared" si="69"/>
        <v>-0.03351534551</v>
      </c>
      <c r="I36" s="44">
        <f t="shared" si="69"/>
        <v>0.005917169216</v>
      </c>
      <c r="J36" s="45">
        <f t="shared" ref="J36:L36" si="70">LN(A36/A37)</f>
        <v>0.0001526767509</v>
      </c>
      <c r="K36" s="45">
        <f t="shared" si="70"/>
        <v>-0.02436548685</v>
      </c>
      <c r="L36" s="45">
        <f t="shared" si="70"/>
        <v>-0.03408985786</v>
      </c>
    </row>
    <row r="37">
      <c r="A37" s="16">
        <v>45845.0</v>
      </c>
      <c r="B37" s="42">
        <f>VLOOKUP(A37,'Raw data 1 and 2'!A:F,6,0)</f>
        <v>85.58</v>
      </c>
      <c r="C37" s="42">
        <f>VLOOKUP(A37,'Raw data 1 and 2'!K:P,6,0)</f>
        <v>53.11</v>
      </c>
      <c r="D37" s="43">
        <f>VLOOKUP(A37, 'Raw data 1 and 2'!U:AA,6,0)</f>
        <v>6259.75</v>
      </c>
      <c r="G37" s="44">
        <f t="shared" ref="G37:I37" si="71">B37/B38-1</f>
        <v>0.09943473792</v>
      </c>
      <c r="H37" s="44">
        <f t="shared" si="71"/>
        <v>0.06050319489</v>
      </c>
      <c r="I37" s="44">
        <f t="shared" si="71"/>
        <v>-0.003121342177</v>
      </c>
      <c r="J37" s="45">
        <f t="shared" ref="J37:L37" si="72">LN(A37/A38)</f>
        <v>0.0001527000646</v>
      </c>
      <c r="K37" s="45">
        <f t="shared" si="72"/>
        <v>0.09479617311</v>
      </c>
      <c r="L37" s="45">
        <f t="shared" si="72"/>
        <v>0.05874350764</v>
      </c>
    </row>
    <row r="38">
      <c r="A38" s="16">
        <v>45838.0</v>
      </c>
      <c r="B38" s="42">
        <f>VLOOKUP(A38,'Raw data 1 and 2'!A:F,6,0)</f>
        <v>77.84</v>
      </c>
      <c r="C38" s="42">
        <f>VLOOKUP(A38,'Raw data 1 and 2'!K:P,6,0)</f>
        <v>50.08</v>
      </c>
      <c r="D38" s="43">
        <f>VLOOKUP(A38, 'Raw data 1 and 2'!U:AA,6,0)</f>
        <v>6279.35</v>
      </c>
      <c r="G38" s="44">
        <f t="shared" ref="G38:I38" si="73">B38/B39-1</f>
        <v>0.01301405518</v>
      </c>
      <c r="H38" s="44">
        <f t="shared" si="73"/>
        <v>-0.008120419885</v>
      </c>
      <c r="I38" s="44">
        <f t="shared" si="73"/>
        <v>0.01721671713</v>
      </c>
      <c r="J38" s="45">
        <f t="shared" ref="J38:L38" si="74">LN(A38/A39)</f>
        <v>0.0001527233855</v>
      </c>
      <c r="K38" s="45">
        <f t="shared" si="74"/>
        <v>0.01293009998</v>
      </c>
      <c r="L38" s="45">
        <f t="shared" si="74"/>
        <v>-0.008153570079</v>
      </c>
    </row>
    <row r="39">
      <c r="A39" s="16">
        <v>45831.0</v>
      </c>
      <c r="B39" s="42">
        <f>VLOOKUP(A39,'Raw data 1 and 2'!A:F,6,0)</f>
        <v>76.84</v>
      </c>
      <c r="C39" s="42">
        <f>VLOOKUP(A39,'Raw data 1 and 2'!K:P,6,0)</f>
        <v>50.49</v>
      </c>
      <c r="D39" s="43">
        <f>VLOOKUP(A39, 'Raw data 1 and 2'!U:AA,6,0)</f>
        <v>6173.07</v>
      </c>
      <c r="G39" s="44">
        <f t="shared" ref="G39:I39" si="75">B39/B40-1</f>
        <v>0.06722222222</v>
      </c>
      <c r="H39" s="44">
        <f t="shared" si="75"/>
        <v>0.03824799506</v>
      </c>
      <c r="I39" s="44">
        <f t="shared" si="75"/>
        <v>0.03438932679</v>
      </c>
      <c r="J39" s="45">
        <f t="shared" ref="J39:L39" si="76">LN(A39/A40)</f>
        <v>0.0001527467135</v>
      </c>
      <c r="K39" s="45">
        <f t="shared" si="76"/>
        <v>0.06505921888</v>
      </c>
      <c r="L39" s="45">
        <f t="shared" si="76"/>
        <v>0.03753467246</v>
      </c>
    </row>
    <row r="40">
      <c r="A40" s="16">
        <v>45824.0</v>
      </c>
      <c r="B40" s="42">
        <f>VLOOKUP(A40,'Raw data 1 and 2'!A:F,6,0)</f>
        <v>72</v>
      </c>
      <c r="C40" s="42">
        <f>VLOOKUP(A40,'Raw data 1 and 2'!K:P,6,0)</f>
        <v>48.63</v>
      </c>
      <c r="D40" s="43">
        <f>VLOOKUP(A40, 'Raw data 1 and 2'!U:AA,6,0)</f>
        <v>5967.84</v>
      </c>
      <c r="G40" s="44">
        <f t="shared" ref="G40:I40" si="77">B40/B41-1</f>
        <v>-0.0438247012</v>
      </c>
      <c r="H40" s="44">
        <f t="shared" si="77"/>
        <v>-0.04309327037</v>
      </c>
      <c r="I40" s="44">
        <f t="shared" si="77"/>
        <v>-0.001527529835</v>
      </c>
      <c r="J40" s="45">
        <f t="shared" ref="J40:L40" si="78">LN(A40/A41)</f>
        <v>0.0001527700486</v>
      </c>
      <c r="K40" s="45">
        <f t="shared" si="78"/>
        <v>-0.04481401579</v>
      </c>
      <c r="L40" s="45">
        <f t="shared" si="78"/>
        <v>-0.04404935348</v>
      </c>
    </row>
    <row r="41">
      <c r="A41" s="16">
        <v>45817.0</v>
      </c>
      <c r="B41" s="42">
        <f>VLOOKUP(A41,'Raw data 1 and 2'!A:F,6,0)</f>
        <v>75.3</v>
      </c>
      <c r="C41" s="42">
        <f>VLOOKUP(A41,'Raw data 1 and 2'!K:P,6,0)</f>
        <v>50.82</v>
      </c>
      <c r="D41" s="43">
        <f>VLOOKUP(A41, 'Raw data 1 and 2'!U:AA,6,0)</f>
        <v>5976.97</v>
      </c>
      <c r="G41" s="44">
        <f t="shared" ref="G41:I41" si="79">B41/B42-1</f>
        <v>-0.01799687011</v>
      </c>
      <c r="H41" s="44">
        <f t="shared" si="79"/>
        <v>-0.01032132425</v>
      </c>
      <c r="I41" s="44">
        <f t="shared" si="79"/>
        <v>-0.003898099447</v>
      </c>
      <c r="J41" s="45">
        <f t="shared" ref="J41:L41" si="80">LN(A41/A42)</f>
        <v>0.0001527933909</v>
      </c>
      <c r="K41" s="45">
        <f t="shared" si="80"/>
        <v>-0.01816078337</v>
      </c>
      <c r="L41" s="45">
        <f t="shared" si="80"/>
        <v>-0.01037495848</v>
      </c>
    </row>
    <row r="42">
      <c r="A42" s="16">
        <v>45810.0</v>
      </c>
      <c r="B42" s="42">
        <f>VLOOKUP(A42,'Raw data 1 and 2'!A:F,6,0)</f>
        <v>76.68</v>
      </c>
      <c r="C42" s="42">
        <f>VLOOKUP(A42,'Raw data 1 and 2'!K:P,6,0)</f>
        <v>51.35</v>
      </c>
      <c r="D42" s="43">
        <f>VLOOKUP(A42, 'Raw data 1 and 2'!U:AA,6,0)</f>
        <v>6000.36</v>
      </c>
      <c r="G42" s="44">
        <f t="shared" ref="G42:I42" si="81">B42/B43-1</f>
        <v>-0.01818181818</v>
      </c>
      <c r="H42" s="44">
        <f t="shared" si="81"/>
        <v>-0.02357862712</v>
      </c>
      <c r="I42" s="44">
        <f t="shared" si="81"/>
        <v>0.01499909501</v>
      </c>
      <c r="J42" s="45">
        <f t="shared" ref="J42:L42" si="82">LN(A42/A43)</f>
        <v>0.0001528167403</v>
      </c>
      <c r="K42" s="45">
        <f t="shared" si="82"/>
        <v>-0.01834913867</v>
      </c>
      <c r="L42" s="45">
        <f t="shared" si="82"/>
        <v>-0.02386105123</v>
      </c>
    </row>
    <row r="43">
      <c r="A43" s="16">
        <v>45803.0</v>
      </c>
      <c r="B43" s="42">
        <f>VLOOKUP(A43,'Raw data 1 and 2'!A:F,6,0)</f>
        <v>78.1</v>
      </c>
      <c r="C43" s="42">
        <f>VLOOKUP(A43,'Raw data 1 and 2'!K:P,6,0)</f>
        <v>52.59</v>
      </c>
      <c r="D43" s="43">
        <f>VLOOKUP(A43, 'Raw data 1 and 2'!U:AA,6,0)</f>
        <v>5911.69</v>
      </c>
      <c r="G43" s="44">
        <f t="shared" ref="G43:I43" si="83">B43/B44-1</f>
        <v>0.03773584906</v>
      </c>
      <c r="H43" s="44">
        <f t="shared" si="83"/>
        <v>0.04056193114</v>
      </c>
      <c r="I43" s="44">
        <f t="shared" si="83"/>
        <v>0.01876156765</v>
      </c>
      <c r="J43" s="45">
        <f t="shared" ref="J43:L43" si="84">LN(A43/A44)</f>
        <v>0.0001528400968</v>
      </c>
      <c r="K43" s="45">
        <f t="shared" si="84"/>
        <v>0.03704127168</v>
      </c>
      <c r="L43" s="45">
        <f t="shared" si="84"/>
        <v>0.03976088564</v>
      </c>
    </row>
    <row r="44">
      <c r="A44" s="16">
        <v>45796.0</v>
      </c>
      <c r="B44" s="42">
        <f>VLOOKUP(A44,'Raw data 1 and 2'!A:F,6,0)</f>
        <v>75.26</v>
      </c>
      <c r="C44" s="42">
        <f>VLOOKUP(A44,'Raw data 1 and 2'!K:P,6,0)</f>
        <v>50.54</v>
      </c>
      <c r="D44" s="43">
        <f>VLOOKUP(A44, 'Raw data 1 and 2'!U:AA,6,0)</f>
        <v>5802.82</v>
      </c>
      <c r="G44" s="44">
        <f t="shared" ref="G44:I44" si="85">B44/B45-1</f>
        <v>0.03124143601</v>
      </c>
      <c r="H44" s="44">
        <f t="shared" si="85"/>
        <v>-0.03733333333</v>
      </c>
      <c r="I44" s="44">
        <f t="shared" si="85"/>
        <v>-0.02610776755</v>
      </c>
      <c r="J44" s="45">
        <f t="shared" ref="J44:L44" si="86">LN(A44/A45)</f>
        <v>0.0001528634605</v>
      </c>
      <c r="K44" s="45">
        <f t="shared" si="86"/>
        <v>0.03076335416</v>
      </c>
      <c r="L44" s="45">
        <f t="shared" si="86"/>
        <v>-0.03804806764</v>
      </c>
    </row>
    <row r="45">
      <c r="A45" s="16">
        <v>45789.0</v>
      </c>
      <c r="B45" s="42">
        <f>VLOOKUP(A45,'Raw data 1 and 2'!A:F,6,0)</f>
        <v>72.98</v>
      </c>
      <c r="C45" s="42">
        <f>VLOOKUP(A45,'Raw data 1 and 2'!K:P,6,0)</f>
        <v>52.5</v>
      </c>
      <c r="D45" s="43">
        <f>VLOOKUP(A45, 'Raw data 1 and 2'!U:AA,6,0)</f>
        <v>5958.38</v>
      </c>
      <c r="G45" s="44">
        <f t="shared" ref="G45:I45" si="87">B45/B46-1</f>
        <v>-0.03465608466</v>
      </c>
      <c r="H45" s="44">
        <f t="shared" si="87"/>
        <v>0.1170212766</v>
      </c>
      <c r="I45" s="44">
        <f t="shared" si="87"/>
        <v>0.05273405408</v>
      </c>
      <c r="J45" s="45">
        <f t="shared" ref="J45:L45" si="88">LN(A45/A46)</f>
        <v>0.0001528868313</v>
      </c>
      <c r="K45" s="45">
        <f t="shared" si="88"/>
        <v>-0.03527085218</v>
      </c>
      <c r="L45" s="45">
        <f t="shared" si="88"/>
        <v>0.1106655679</v>
      </c>
    </row>
    <row r="46">
      <c r="A46" s="16">
        <v>45782.0</v>
      </c>
      <c r="B46" s="42">
        <f>VLOOKUP(A46,'Raw data 1 and 2'!A:F,6,0)</f>
        <v>75.6</v>
      </c>
      <c r="C46" s="42">
        <f>VLOOKUP(A46,'Raw data 1 and 2'!K:P,6,0)</f>
        <v>47</v>
      </c>
      <c r="D46" s="43">
        <f>VLOOKUP(A46, 'Raw data 1 and 2'!U:AA,6,0)</f>
        <v>5659.91</v>
      </c>
      <c r="G46" s="44">
        <f t="shared" ref="G46:I46" si="89">B46/B47-1</f>
        <v>0.06493872376</v>
      </c>
      <c r="H46" s="44">
        <f t="shared" si="89"/>
        <v>-0.04179408767</v>
      </c>
      <c r="I46" s="44">
        <f t="shared" si="89"/>
        <v>-0.004705741673</v>
      </c>
      <c r="J46" s="45">
        <f t="shared" ref="J46:L46" si="90">LN(A46/A47)</f>
        <v>0.0001529102092</v>
      </c>
      <c r="K46" s="45">
        <f t="shared" si="90"/>
        <v>0.06291726113</v>
      </c>
      <c r="L46" s="45">
        <f t="shared" si="90"/>
        <v>-0.0426925843</v>
      </c>
    </row>
    <row r="47">
      <c r="A47" s="16">
        <v>45775.0</v>
      </c>
      <c r="B47" s="42">
        <f>VLOOKUP(A47,'Raw data 1 and 2'!A:F,6,0)</f>
        <v>70.99</v>
      </c>
      <c r="C47" s="42">
        <f>VLOOKUP(A47,'Raw data 1 and 2'!K:P,6,0)</f>
        <v>49.05</v>
      </c>
      <c r="D47" s="43">
        <f>VLOOKUP(A47, 'Raw data 1 and 2'!U:AA,6,0)</f>
        <v>5686.67</v>
      </c>
      <c r="G47" s="44">
        <f t="shared" ref="G47:I47" si="91">B47/B48-1</f>
        <v>-0.01961055103</v>
      </c>
      <c r="H47" s="44">
        <f t="shared" si="91"/>
        <v>-0.02368630573</v>
      </c>
      <c r="I47" s="44">
        <f t="shared" si="91"/>
        <v>0.0292224187</v>
      </c>
      <c r="J47" s="45">
        <f t="shared" ref="J47:L47" si="92">LN(A47/A48)</f>
        <v>0.0001529335943</v>
      </c>
      <c r="K47" s="45">
        <f t="shared" si="92"/>
        <v>-0.01980538935</v>
      </c>
      <c r="L47" s="45">
        <f t="shared" si="92"/>
        <v>-0.02397133615</v>
      </c>
    </row>
    <row r="48">
      <c r="A48" s="16">
        <v>45768.0</v>
      </c>
      <c r="B48" s="42">
        <f>VLOOKUP(A48,'Raw data 1 and 2'!A:F,6,0)</f>
        <v>72.41</v>
      </c>
      <c r="C48" s="42">
        <f>VLOOKUP(A48,'Raw data 1 and 2'!K:P,6,0)</f>
        <v>50.24</v>
      </c>
      <c r="D48" s="43">
        <f>VLOOKUP(A48, 'Raw data 1 and 2'!U:AA,6,0)</f>
        <v>5525.21</v>
      </c>
      <c r="G48" s="44">
        <f t="shared" ref="G48:I48" si="93">B48/B49-1</f>
        <v>0.08625862586</v>
      </c>
      <c r="H48" s="44">
        <f t="shared" si="93"/>
        <v>0.08674021198</v>
      </c>
      <c r="I48" s="44">
        <f t="shared" si="93"/>
        <v>0.04590644935</v>
      </c>
      <c r="J48" s="45">
        <f t="shared" ref="J48:L48" si="94">LN(A48/A49)</f>
        <v>0.0001529569866</v>
      </c>
      <c r="K48" s="45">
        <f t="shared" si="94"/>
        <v>0.08273933852</v>
      </c>
      <c r="L48" s="45">
        <f t="shared" si="94"/>
        <v>0.08318258416</v>
      </c>
    </row>
    <row r="49">
      <c r="A49" s="16">
        <v>45761.0</v>
      </c>
      <c r="B49" s="42">
        <f>VLOOKUP(A49,'Raw data 1 and 2'!A:F,6,0)</f>
        <v>66.66</v>
      </c>
      <c r="C49" s="42">
        <f>VLOOKUP(A49,'Raw data 1 and 2'!K:P,6,0)</f>
        <v>46.23</v>
      </c>
      <c r="D49" s="43">
        <f>VLOOKUP(A49, 'Raw data 1 and 2'!U:AA,6,0)</f>
        <v>5282.7</v>
      </c>
      <c r="G49" s="44">
        <f t="shared" ref="G49:I49" si="95">B49/B50-1</f>
        <v>0.05876747141</v>
      </c>
      <c r="H49" s="44">
        <f t="shared" si="95"/>
        <v>0.04215509468</v>
      </c>
      <c r="I49" s="44">
        <f t="shared" si="95"/>
        <v>-0.01503907998</v>
      </c>
      <c r="J49" s="45">
        <f t="shared" ref="J49:L49" si="96">LN(A49/A50)</f>
        <v>0.000152980386</v>
      </c>
      <c r="K49" s="45">
        <f t="shared" si="96"/>
        <v>0.05710546877</v>
      </c>
      <c r="L49" s="45">
        <f t="shared" si="96"/>
        <v>0.04129077552</v>
      </c>
    </row>
    <row r="50">
      <c r="A50" s="16">
        <v>45754.0</v>
      </c>
      <c r="B50" s="42">
        <f>VLOOKUP(A50,'Raw data 1 and 2'!A:F,6,0)</f>
        <v>62.96</v>
      </c>
      <c r="C50" s="42">
        <f>VLOOKUP(A50,'Raw data 1 and 2'!K:P,6,0)</f>
        <v>44.36</v>
      </c>
      <c r="D50" s="43">
        <f>VLOOKUP(A50, 'Raw data 1 and 2'!U:AA,6,0)</f>
        <v>5363.36</v>
      </c>
      <c r="G50" s="44">
        <f t="shared" ref="G50:I50" si="97">B50/B51-1</f>
        <v>-0.02417854929</v>
      </c>
      <c r="H50" s="44">
        <f t="shared" si="97"/>
        <v>-0.01771479185</v>
      </c>
      <c r="I50" s="44">
        <f t="shared" si="97"/>
        <v>0.05701132028</v>
      </c>
      <c r="J50" s="45">
        <f t="shared" ref="J50:L50" si="98">LN(A50/A51)</f>
        <v>0.0001530037926</v>
      </c>
      <c r="K50" s="45">
        <f t="shared" si="98"/>
        <v>-0.02447564915</v>
      </c>
      <c r="L50" s="45">
        <f t="shared" si="98"/>
        <v>-0.0178735768</v>
      </c>
    </row>
    <row r="51">
      <c r="A51" s="16">
        <v>45747.0</v>
      </c>
      <c r="B51" s="42">
        <f>VLOOKUP(A51,'Raw data 1 and 2'!A:F,6,0)</f>
        <v>64.52</v>
      </c>
      <c r="C51" s="42">
        <f>VLOOKUP(A51,'Raw data 1 and 2'!K:P,6,0)</f>
        <v>45.16</v>
      </c>
      <c r="D51" s="43">
        <f>VLOOKUP(A51, 'Raw data 1 and 2'!U:AA,6,0)</f>
        <v>5074.08</v>
      </c>
      <c r="G51" s="44">
        <f t="shared" ref="G51:I51" si="99">B51/B52-1</f>
        <v>-0.1045107564</v>
      </c>
      <c r="H51" s="44">
        <f t="shared" si="99"/>
        <v>-0.1198596765</v>
      </c>
      <c r="I51" s="44">
        <f t="shared" si="99"/>
        <v>-0.09081982605</v>
      </c>
      <c r="J51" s="45">
        <f t="shared" ref="J51:L51" si="100">LN(A51/A52)</f>
        <v>0.0001530272063</v>
      </c>
      <c r="K51" s="45">
        <f t="shared" si="100"/>
        <v>-0.1103850692</v>
      </c>
      <c r="L51" s="45">
        <f t="shared" si="100"/>
        <v>-0.1276739257</v>
      </c>
    </row>
    <row r="52">
      <c r="A52" s="16">
        <v>45740.0</v>
      </c>
      <c r="B52" s="42">
        <f>VLOOKUP(A52,'Raw data 1 and 2'!A:F,6,0)</f>
        <v>72.05</v>
      </c>
      <c r="C52" s="42">
        <f>VLOOKUP(A52,'Raw data 1 and 2'!K:P,6,0)</f>
        <v>51.31</v>
      </c>
      <c r="D52" s="43">
        <f>VLOOKUP(A52, 'Raw data 1 and 2'!U:AA,6,0)</f>
        <v>5580.94</v>
      </c>
      <c r="G52" s="44">
        <f t="shared" ref="G52:I52" si="101">B52/B53-1</f>
        <v>-0.04074024764</v>
      </c>
      <c r="H52" s="44">
        <f t="shared" si="101"/>
        <v>-0.04468441631</v>
      </c>
      <c r="I52" s="44">
        <f t="shared" si="101"/>
        <v>-0.01528347296</v>
      </c>
      <c r="J52" s="45">
        <f t="shared" ref="J52:L52" si="102">LN(A52/A53)</f>
        <v>0.0001530506273</v>
      </c>
      <c r="K52" s="45">
        <f t="shared" si="102"/>
        <v>-0.04159338325</v>
      </c>
      <c r="L52" s="45">
        <f t="shared" si="102"/>
        <v>-0.04571353896</v>
      </c>
    </row>
    <row r="53">
      <c r="A53" s="16">
        <v>45733.0</v>
      </c>
      <c r="B53" s="42">
        <f>VLOOKUP(A53,'Raw data 1 and 2'!A:F,6,0)</f>
        <v>75.11</v>
      </c>
      <c r="C53" s="42">
        <f>VLOOKUP(A53,'Raw data 1 and 2'!K:P,6,0)</f>
        <v>53.71</v>
      </c>
      <c r="D53" s="43">
        <f>VLOOKUP(A53, 'Raw data 1 and 2'!U:AA,6,0)</f>
        <v>5667.56</v>
      </c>
      <c r="G53" s="44">
        <f t="shared" ref="G53:I53" si="103">B53/B54-1</f>
        <v>-0.03581514763</v>
      </c>
      <c r="H53" s="44">
        <f t="shared" si="103"/>
        <v>-0.02681645226</v>
      </c>
      <c r="I53" s="44">
        <f t="shared" si="103"/>
        <v>0.005075421976</v>
      </c>
      <c r="J53" s="45">
        <f t="shared" ref="J53:L53" si="104">LN(A53/A54)</f>
        <v>0.0001530740553</v>
      </c>
      <c r="K53" s="45">
        <f t="shared" si="104"/>
        <v>-0.03647224718</v>
      </c>
      <c r="L53" s="45">
        <f t="shared" si="104"/>
        <v>-0.02718257353</v>
      </c>
    </row>
    <row r="54">
      <c r="A54" s="16">
        <v>45726.0</v>
      </c>
      <c r="B54" s="42">
        <f>VLOOKUP(A54,'Raw data 1 and 2'!A:F,6,0)</f>
        <v>77.9</v>
      </c>
      <c r="C54" s="42">
        <f>VLOOKUP(A54,'Raw data 1 and 2'!K:P,6,0)</f>
        <v>55.19</v>
      </c>
      <c r="D54" s="43">
        <f>VLOOKUP(A54, 'Raw data 1 and 2'!U:AA,6,0)</f>
        <v>5638.94</v>
      </c>
      <c r="G54" s="46"/>
      <c r="H54" s="46"/>
      <c r="I54" s="46"/>
      <c r="J54" s="43"/>
      <c r="K54" s="43"/>
      <c r="L54" s="43"/>
    </row>
    <row r="55">
      <c r="A55" s="30"/>
      <c r="G55" s="46"/>
      <c r="H55" s="46"/>
      <c r="I55" s="46"/>
      <c r="J55" s="43"/>
      <c r="K55" s="43"/>
      <c r="L55" s="43"/>
    </row>
    <row r="56">
      <c r="A56" s="30"/>
      <c r="G56" s="46"/>
      <c r="H56" s="46"/>
      <c r="I56" s="46"/>
      <c r="J56" s="43"/>
      <c r="K56" s="43"/>
      <c r="L56" s="43"/>
    </row>
    <row r="57">
      <c r="A57" s="30"/>
      <c r="G57" s="46"/>
      <c r="H57" s="46"/>
      <c r="I57" s="46"/>
      <c r="J57" s="43"/>
      <c r="K57" s="43"/>
      <c r="L57" s="43"/>
    </row>
    <row r="58">
      <c r="A58" s="30"/>
      <c r="G58" s="46"/>
      <c r="H58" s="46"/>
      <c r="I58" s="46"/>
      <c r="J58" s="43"/>
      <c r="K58" s="43"/>
      <c r="L58" s="43"/>
    </row>
    <row r="59">
      <c r="A59" s="34"/>
      <c r="G59" s="46"/>
      <c r="H59" s="46"/>
      <c r="I59" s="46"/>
      <c r="J59" s="43"/>
      <c r="K59" s="43"/>
      <c r="L59" s="43"/>
    </row>
    <row r="60">
      <c r="A60" s="34"/>
      <c r="G60" s="46"/>
      <c r="H60" s="46"/>
      <c r="I60" s="46"/>
      <c r="J60" s="43"/>
      <c r="K60" s="43"/>
      <c r="L60" s="43"/>
    </row>
    <row r="61">
      <c r="A61" s="34"/>
      <c r="G61" s="46"/>
      <c r="H61" s="46"/>
      <c r="I61" s="46"/>
      <c r="J61" s="43"/>
      <c r="K61" s="43"/>
      <c r="L61" s="43"/>
    </row>
    <row r="62">
      <c r="A62" s="34"/>
      <c r="G62" s="46"/>
      <c r="H62" s="46"/>
      <c r="I62" s="46"/>
      <c r="J62" s="43"/>
      <c r="K62" s="43"/>
      <c r="L62" s="43"/>
    </row>
    <row r="63">
      <c r="A63" s="34"/>
      <c r="G63" s="46"/>
      <c r="H63" s="46"/>
      <c r="I63" s="46"/>
      <c r="J63" s="43"/>
      <c r="K63" s="43"/>
      <c r="L63" s="43"/>
    </row>
    <row r="64">
      <c r="A64" s="34"/>
      <c r="G64" s="46"/>
      <c r="H64" s="46"/>
      <c r="I64" s="46"/>
      <c r="J64" s="43"/>
      <c r="K64" s="43"/>
      <c r="L64" s="43"/>
    </row>
    <row r="65">
      <c r="A65" s="34"/>
      <c r="G65" s="46"/>
      <c r="H65" s="46"/>
      <c r="I65" s="46"/>
      <c r="J65" s="43"/>
      <c r="K65" s="43"/>
      <c r="L65" s="43"/>
    </row>
    <row r="66">
      <c r="A66" s="34"/>
      <c r="G66" s="46"/>
      <c r="H66" s="46"/>
      <c r="I66" s="46"/>
      <c r="J66" s="43"/>
      <c r="K66" s="43"/>
      <c r="L66" s="43"/>
    </row>
    <row r="67">
      <c r="A67" s="34"/>
      <c r="G67" s="46"/>
      <c r="H67" s="46"/>
      <c r="I67" s="46"/>
      <c r="J67" s="43"/>
      <c r="K67" s="43"/>
      <c r="L67" s="43"/>
    </row>
    <row r="68">
      <c r="A68" s="34"/>
      <c r="G68" s="46"/>
      <c r="H68" s="46"/>
      <c r="I68" s="46"/>
      <c r="J68" s="43"/>
      <c r="K68" s="43"/>
      <c r="L68" s="43"/>
    </row>
    <row r="69">
      <c r="A69" s="34"/>
      <c r="G69" s="46"/>
      <c r="H69" s="46"/>
      <c r="I69" s="46"/>
      <c r="J69" s="43"/>
      <c r="K69" s="43"/>
      <c r="L69" s="43"/>
    </row>
    <row r="70">
      <c r="A70" s="34"/>
      <c r="G70" s="46"/>
      <c r="H70" s="46"/>
      <c r="I70" s="46"/>
      <c r="J70" s="43"/>
      <c r="K70" s="43"/>
      <c r="L70" s="43"/>
    </row>
    <row r="71">
      <c r="A71" s="34"/>
      <c r="G71" s="46"/>
      <c r="H71" s="46"/>
      <c r="I71" s="46"/>
      <c r="J71" s="43"/>
      <c r="K71" s="43"/>
      <c r="L71" s="43"/>
    </row>
    <row r="72">
      <c r="A72" s="34"/>
      <c r="G72" s="46"/>
      <c r="H72" s="46"/>
      <c r="I72" s="46"/>
      <c r="J72" s="43"/>
      <c r="K72" s="43"/>
      <c r="L72" s="43"/>
    </row>
    <row r="73">
      <c r="A73" s="34"/>
      <c r="G73" s="46"/>
      <c r="H73" s="46"/>
      <c r="I73" s="46"/>
      <c r="J73" s="43"/>
      <c r="K73" s="43"/>
      <c r="L73" s="43"/>
    </row>
    <row r="74">
      <c r="A74" s="34"/>
      <c r="G74" s="46"/>
      <c r="H74" s="46"/>
      <c r="I74" s="46"/>
      <c r="J74" s="43"/>
      <c r="K74" s="43"/>
      <c r="L74" s="43"/>
    </row>
    <row r="75">
      <c r="A75" s="34"/>
      <c r="G75" s="46"/>
      <c r="H75" s="46"/>
      <c r="I75" s="46"/>
      <c r="J75" s="43"/>
      <c r="K75" s="43"/>
      <c r="L75" s="43"/>
    </row>
    <row r="76">
      <c r="A76" s="34"/>
      <c r="G76" s="46"/>
      <c r="H76" s="46"/>
      <c r="I76" s="46"/>
      <c r="J76" s="43"/>
      <c r="K76" s="43"/>
      <c r="L76" s="43"/>
    </row>
    <row r="77">
      <c r="A77" s="34"/>
      <c r="G77" s="46"/>
      <c r="H77" s="46"/>
      <c r="I77" s="46"/>
      <c r="J77" s="43"/>
      <c r="K77" s="43"/>
      <c r="L77" s="43"/>
    </row>
    <row r="78">
      <c r="A78" s="34"/>
      <c r="G78" s="46"/>
      <c r="H78" s="46"/>
      <c r="I78" s="46"/>
      <c r="J78" s="43"/>
      <c r="K78" s="43"/>
      <c r="L78" s="43"/>
    </row>
    <row r="79">
      <c r="A79" s="34"/>
      <c r="G79" s="46"/>
      <c r="H79" s="46"/>
      <c r="I79" s="46"/>
      <c r="J79" s="43"/>
      <c r="K79" s="43"/>
      <c r="L79" s="43"/>
    </row>
    <row r="80">
      <c r="A80" s="34"/>
      <c r="G80" s="46"/>
      <c r="H80" s="46"/>
      <c r="I80" s="46"/>
      <c r="J80" s="43"/>
      <c r="K80" s="43"/>
      <c r="L80" s="43"/>
    </row>
    <row r="81">
      <c r="A81" s="34"/>
      <c r="G81" s="46"/>
      <c r="H81" s="46"/>
      <c r="I81" s="46"/>
      <c r="J81" s="43"/>
      <c r="K81" s="43"/>
      <c r="L81" s="43"/>
    </row>
    <row r="82">
      <c r="A82" s="34"/>
      <c r="G82" s="46"/>
      <c r="H82" s="46"/>
      <c r="I82" s="46"/>
      <c r="J82" s="43"/>
      <c r="K82" s="43"/>
      <c r="L82" s="43"/>
    </row>
    <row r="83">
      <c r="A83" s="34"/>
      <c r="G83" s="46"/>
      <c r="H83" s="46"/>
      <c r="I83" s="46"/>
      <c r="J83" s="43"/>
      <c r="K83" s="43"/>
      <c r="L83" s="43"/>
    </row>
    <row r="84">
      <c r="A84" s="34"/>
      <c r="G84" s="46"/>
      <c r="H84" s="46"/>
      <c r="I84" s="46"/>
      <c r="J84" s="43"/>
      <c r="K84" s="43"/>
      <c r="L84" s="43"/>
    </row>
    <row r="85">
      <c r="A85" s="34"/>
      <c r="G85" s="46"/>
      <c r="H85" s="46"/>
      <c r="I85" s="46"/>
      <c r="J85" s="43"/>
      <c r="K85" s="43"/>
      <c r="L85" s="43"/>
    </row>
    <row r="86">
      <c r="A86" s="34"/>
      <c r="G86" s="46"/>
      <c r="H86" s="46"/>
      <c r="I86" s="46"/>
      <c r="J86" s="43"/>
      <c r="K86" s="43"/>
      <c r="L86" s="43"/>
    </row>
    <row r="87">
      <c r="A87" s="34"/>
      <c r="G87" s="46"/>
      <c r="H87" s="46"/>
      <c r="I87" s="46"/>
      <c r="J87" s="43"/>
      <c r="K87" s="43"/>
      <c r="L87" s="43"/>
    </row>
    <row r="88">
      <c r="A88" s="34"/>
      <c r="G88" s="46"/>
      <c r="H88" s="46"/>
      <c r="I88" s="46"/>
      <c r="J88" s="43"/>
      <c r="K88" s="43"/>
      <c r="L88" s="43"/>
    </row>
    <row r="89">
      <c r="A89" s="34"/>
      <c r="G89" s="46"/>
      <c r="H89" s="46"/>
      <c r="I89" s="46"/>
      <c r="J89" s="43"/>
      <c r="K89" s="43"/>
      <c r="L89" s="43"/>
    </row>
    <row r="90">
      <c r="A90" s="34"/>
      <c r="G90" s="46"/>
      <c r="H90" s="46"/>
      <c r="I90" s="46"/>
      <c r="J90" s="43"/>
      <c r="K90" s="43"/>
      <c r="L90" s="43"/>
    </row>
    <row r="91">
      <c r="A91" s="34"/>
      <c r="G91" s="46"/>
      <c r="H91" s="46"/>
      <c r="I91" s="46"/>
      <c r="J91" s="43"/>
      <c r="K91" s="43"/>
      <c r="L91" s="43"/>
    </row>
    <row r="92">
      <c r="A92" s="34"/>
      <c r="G92" s="46"/>
      <c r="H92" s="46"/>
      <c r="I92" s="46"/>
      <c r="J92" s="43"/>
      <c r="K92" s="43"/>
      <c r="L92" s="43"/>
    </row>
    <row r="93">
      <c r="A93" s="34"/>
      <c r="G93" s="46"/>
      <c r="H93" s="46"/>
      <c r="I93" s="46"/>
      <c r="J93" s="43"/>
      <c r="K93" s="43"/>
      <c r="L93" s="43"/>
    </row>
    <row r="94">
      <c r="A94" s="34"/>
      <c r="G94" s="46"/>
      <c r="H94" s="46"/>
      <c r="I94" s="46"/>
      <c r="J94" s="43"/>
      <c r="K94" s="43"/>
      <c r="L94" s="43"/>
    </row>
    <row r="95">
      <c r="A95" s="34"/>
      <c r="G95" s="46"/>
      <c r="H95" s="46"/>
      <c r="I95" s="46"/>
      <c r="J95" s="43"/>
      <c r="K95" s="43"/>
      <c r="L95" s="43"/>
    </row>
    <row r="96">
      <c r="A96" s="34"/>
      <c r="G96" s="46"/>
      <c r="H96" s="46"/>
      <c r="I96" s="46"/>
      <c r="J96" s="43"/>
      <c r="K96" s="43"/>
      <c r="L96" s="43"/>
    </row>
    <row r="97">
      <c r="A97" s="34"/>
      <c r="G97" s="46"/>
      <c r="H97" s="46"/>
      <c r="I97" s="46"/>
      <c r="J97" s="43"/>
      <c r="K97" s="43"/>
      <c r="L97" s="43"/>
    </row>
    <row r="98">
      <c r="A98" s="34"/>
      <c r="G98" s="46"/>
      <c r="H98" s="46"/>
      <c r="I98" s="46"/>
      <c r="J98" s="43"/>
      <c r="K98" s="43"/>
      <c r="L98" s="43"/>
    </row>
    <row r="99">
      <c r="A99" s="34"/>
      <c r="G99" s="46"/>
      <c r="H99" s="46"/>
      <c r="I99" s="46"/>
      <c r="J99" s="43"/>
      <c r="K99" s="43"/>
      <c r="L99" s="43"/>
    </row>
    <row r="100">
      <c r="A100" s="34"/>
      <c r="G100" s="46"/>
      <c r="H100" s="46"/>
      <c r="I100" s="46"/>
      <c r="J100" s="43"/>
      <c r="K100" s="43"/>
      <c r="L100" s="43"/>
    </row>
    <row r="101">
      <c r="A101" s="34"/>
      <c r="G101" s="46"/>
      <c r="H101" s="46"/>
      <c r="I101" s="46"/>
      <c r="J101" s="43"/>
      <c r="K101" s="43"/>
      <c r="L101" s="43"/>
    </row>
    <row r="102">
      <c r="A102" s="34"/>
      <c r="G102" s="46"/>
      <c r="H102" s="46"/>
      <c r="I102" s="46"/>
      <c r="J102" s="43"/>
      <c r="K102" s="43"/>
      <c r="L102" s="43"/>
    </row>
    <row r="103">
      <c r="A103" s="34"/>
      <c r="G103" s="46"/>
      <c r="H103" s="46"/>
      <c r="I103" s="46"/>
      <c r="J103" s="43"/>
      <c r="K103" s="43"/>
      <c r="L103" s="43"/>
    </row>
    <row r="104">
      <c r="A104" s="34"/>
      <c r="G104" s="46"/>
      <c r="H104" s="46"/>
      <c r="I104" s="46"/>
      <c r="J104" s="43"/>
      <c r="K104" s="43"/>
      <c r="L104" s="43"/>
    </row>
    <row r="105">
      <c r="A105" s="34"/>
      <c r="G105" s="46"/>
      <c r="H105" s="46"/>
      <c r="I105" s="46"/>
      <c r="J105" s="43"/>
      <c r="K105" s="43"/>
      <c r="L105" s="43"/>
    </row>
    <row r="106">
      <c r="A106" s="34"/>
      <c r="G106" s="46"/>
      <c r="H106" s="46"/>
      <c r="I106" s="46"/>
      <c r="J106" s="43"/>
      <c r="K106" s="43"/>
      <c r="L106" s="43"/>
    </row>
    <row r="107">
      <c r="A107" s="34"/>
      <c r="G107" s="46"/>
      <c r="H107" s="46"/>
      <c r="I107" s="46"/>
      <c r="J107" s="43"/>
      <c r="K107" s="43"/>
      <c r="L107" s="43"/>
    </row>
    <row r="108">
      <c r="A108" s="34"/>
      <c r="G108" s="46"/>
      <c r="H108" s="46"/>
      <c r="I108" s="46"/>
      <c r="J108" s="43"/>
      <c r="K108" s="43"/>
      <c r="L108" s="43"/>
    </row>
    <row r="109">
      <c r="A109" s="34"/>
      <c r="G109" s="46"/>
      <c r="H109" s="46"/>
      <c r="I109" s="46"/>
      <c r="J109" s="43"/>
      <c r="K109" s="43"/>
      <c r="L109" s="43"/>
    </row>
    <row r="110">
      <c r="A110" s="34"/>
      <c r="G110" s="46"/>
      <c r="H110" s="46"/>
      <c r="I110" s="46"/>
      <c r="J110" s="43"/>
      <c r="K110" s="43"/>
      <c r="L110" s="43"/>
    </row>
    <row r="111">
      <c r="A111" s="34"/>
      <c r="G111" s="46"/>
      <c r="H111" s="46"/>
      <c r="I111" s="46"/>
      <c r="J111" s="43"/>
      <c r="K111" s="43"/>
      <c r="L111" s="43"/>
    </row>
    <row r="112">
      <c r="A112" s="34"/>
      <c r="G112" s="46"/>
      <c r="H112" s="46"/>
      <c r="I112" s="46"/>
      <c r="J112" s="43"/>
      <c r="K112" s="43"/>
      <c r="L112" s="43"/>
    </row>
    <row r="113">
      <c r="A113" s="34"/>
      <c r="G113" s="46"/>
      <c r="H113" s="46"/>
      <c r="I113" s="46"/>
      <c r="J113" s="43"/>
      <c r="K113" s="43"/>
      <c r="L113" s="43"/>
    </row>
    <row r="114">
      <c r="A114" s="34"/>
      <c r="G114" s="46"/>
      <c r="H114" s="46"/>
      <c r="I114" s="46"/>
      <c r="J114" s="43"/>
      <c r="K114" s="43"/>
      <c r="L114" s="43"/>
    </row>
    <row r="115">
      <c r="A115" s="34"/>
      <c r="G115" s="46"/>
      <c r="H115" s="46"/>
      <c r="I115" s="46"/>
      <c r="J115" s="43"/>
      <c r="K115" s="43"/>
      <c r="L115" s="43"/>
    </row>
    <row r="116">
      <c r="A116" s="34"/>
      <c r="G116" s="46"/>
      <c r="H116" s="46"/>
      <c r="I116" s="46"/>
      <c r="J116" s="43"/>
      <c r="K116" s="43"/>
      <c r="L116" s="43"/>
    </row>
    <row r="117">
      <c r="A117" s="34"/>
      <c r="G117" s="46"/>
      <c r="H117" s="46"/>
      <c r="I117" s="46"/>
      <c r="J117" s="43"/>
      <c r="K117" s="43"/>
      <c r="L117" s="43"/>
    </row>
    <row r="118">
      <c r="A118" s="34"/>
      <c r="G118" s="46"/>
      <c r="H118" s="46"/>
      <c r="I118" s="46"/>
      <c r="J118" s="43"/>
      <c r="K118" s="43"/>
      <c r="L118" s="43"/>
    </row>
    <row r="119">
      <c r="A119" s="34"/>
      <c r="G119" s="46"/>
      <c r="H119" s="46"/>
      <c r="I119" s="46"/>
      <c r="J119" s="43"/>
      <c r="K119" s="43"/>
      <c r="L119" s="43"/>
    </row>
    <row r="120">
      <c r="A120" s="34"/>
      <c r="G120" s="46"/>
      <c r="H120" s="46"/>
      <c r="I120" s="46"/>
      <c r="J120" s="43"/>
      <c r="K120" s="43"/>
      <c r="L120" s="43"/>
    </row>
    <row r="121">
      <c r="A121" s="34"/>
      <c r="G121" s="46"/>
      <c r="H121" s="46"/>
      <c r="I121" s="46"/>
      <c r="J121" s="43"/>
      <c r="K121" s="43"/>
      <c r="L121" s="43"/>
    </row>
    <row r="122">
      <c r="A122" s="34"/>
      <c r="G122" s="46"/>
      <c r="H122" s="46"/>
      <c r="I122" s="46"/>
      <c r="J122" s="43"/>
      <c r="K122" s="43"/>
      <c r="L122" s="43"/>
    </row>
    <row r="123">
      <c r="A123" s="34"/>
      <c r="G123" s="46"/>
      <c r="H123" s="46"/>
      <c r="I123" s="46"/>
      <c r="J123" s="43"/>
      <c r="K123" s="43"/>
      <c r="L123" s="43"/>
    </row>
    <row r="124">
      <c r="A124" s="34"/>
      <c r="G124" s="46"/>
      <c r="H124" s="46"/>
      <c r="I124" s="46"/>
      <c r="J124" s="43"/>
      <c r="K124" s="43"/>
      <c r="L124" s="43"/>
    </row>
    <row r="125">
      <c r="A125" s="34"/>
      <c r="G125" s="46"/>
      <c r="H125" s="46"/>
      <c r="I125" s="46"/>
      <c r="J125" s="43"/>
      <c r="K125" s="43"/>
      <c r="L125" s="43"/>
    </row>
    <row r="126">
      <c r="A126" s="34"/>
      <c r="G126" s="46"/>
      <c r="H126" s="46"/>
      <c r="I126" s="46"/>
      <c r="J126" s="43"/>
      <c r="K126" s="43"/>
      <c r="L126" s="43"/>
    </row>
    <row r="127">
      <c r="A127" s="34"/>
      <c r="G127" s="46"/>
      <c r="H127" s="46"/>
      <c r="I127" s="46"/>
      <c r="J127" s="43"/>
      <c r="K127" s="43"/>
      <c r="L127" s="43"/>
    </row>
    <row r="128">
      <c r="A128" s="34"/>
      <c r="G128" s="46"/>
      <c r="H128" s="46"/>
      <c r="I128" s="46"/>
      <c r="J128" s="43"/>
      <c r="K128" s="43"/>
      <c r="L128" s="43"/>
    </row>
    <row r="129">
      <c r="A129" s="34"/>
      <c r="G129" s="46"/>
      <c r="H129" s="46"/>
      <c r="I129" s="46"/>
      <c r="J129" s="43"/>
      <c r="K129" s="43"/>
      <c r="L129" s="43"/>
    </row>
    <row r="130">
      <c r="A130" s="34"/>
      <c r="G130" s="46"/>
      <c r="H130" s="46"/>
      <c r="I130" s="46"/>
      <c r="J130" s="43"/>
      <c r="K130" s="43"/>
      <c r="L130" s="43"/>
    </row>
    <row r="131">
      <c r="A131" s="34"/>
      <c r="G131" s="46"/>
      <c r="H131" s="46"/>
      <c r="I131" s="46"/>
      <c r="J131" s="43"/>
      <c r="K131" s="43"/>
      <c r="L131" s="43"/>
    </row>
    <row r="132">
      <c r="A132" s="34"/>
      <c r="G132" s="46"/>
      <c r="H132" s="46"/>
      <c r="I132" s="46"/>
      <c r="J132" s="43"/>
      <c r="K132" s="43"/>
      <c r="L132" s="43"/>
    </row>
    <row r="133">
      <c r="A133" s="34"/>
      <c r="G133" s="46"/>
      <c r="H133" s="46"/>
      <c r="I133" s="46"/>
      <c r="J133" s="43"/>
      <c r="K133" s="43"/>
      <c r="L133" s="43"/>
    </row>
    <row r="134">
      <c r="A134" s="34"/>
      <c r="G134" s="46"/>
      <c r="H134" s="46"/>
      <c r="I134" s="46"/>
      <c r="J134" s="43"/>
      <c r="K134" s="43"/>
      <c r="L134" s="43"/>
    </row>
    <row r="135">
      <c r="A135" s="34"/>
      <c r="G135" s="46"/>
      <c r="H135" s="46"/>
      <c r="I135" s="46"/>
      <c r="J135" s="43"/>
      <c r="K135" s="43"/>
      <c r="L135" s="43"/>
    </row>
    <row r="136">
      <c r="A136" s="34"/>
      <c r="G136" s="46"/>
      <c r="H136" s="46"/>
      <c r="I136" s="46"/>
      <c r="J136" s="43"/>
      <c r="K136" s="43"/>
      <c r="L136" s="43"/>
    </row>
    <row r="137">
      <c r="A137" s="34"/>
      <c r="G137" s="46"/>
      <c r="H137" s="46"/>
      <c r="I137" s="46"/>
      <c r="J137" s="43"/>
      <c r="K137" s="43"/>
      <c r="L137" s="43"/>
    </row>
    <row r="138">
      <c r="A138" s="34"/>
      <c r="G138" s="46"/>
      <c r="H138" s="46"/>
      <c r="I138" s="46"/>
      <c r="J138" s="43"/>
      <c r="K138" s="43"/>
      <c r="L138" s="43"/>
    </row>
    <row r="139">
      <c r="A139" s="34"/>
      <c r="G139" s="46"/>
      <c r="H139" s="46"/>
      <c r="I139" s="46"/>
      <c r="J139" s="43"/>
      <c r="K139" s="43"/>
      <c r="L139" s="43"/>
    </row>
    <row r="140">
      <c r="A140" s="34"/>
      <c r="G140" s="46"/>
      <c r="H140" s="46"/>
      <c r="I140" s="46"/>
      <c r="J140" s="43"/>
      <c r="K140" s="43"/>
      <c r="L140" s="43"/>
    </row>
    <row r="141">
      <c r="A141" s="34"/>
      <c r="G141" s="46"/>
      <c r="H141" s="46"/>
      <c r="I141" s="46"/>
      <c r="J141" s="43"/>
      <c r="K141" s="43"/>
      <c r="L141" s="43"/>
    </row>
    <row r="142">
      <c r="A142" s="34"/>
      <c r="G142" s="46"/>
      <c r="H142" s="46"/>
      <c r="I142" s="46"/>
      <c r="J142" s="43"/>
      <c r="K142" s="43"/>
      <c r="L142" s="43"/>
    </row>
    <row r="143">
      <c r="A143" s="34"/>
      <c r="G143" s="46"/>
      <c r="H143" s="46"/>
      <c r="I143" s="46"/>
      <c r="J143" s="43"/>
      <c r="K143" s="43"/>
      <c r="L143" s="43"/>
    </row>
    <row r="144">
      <c r="A144" s="34"/>
      <c r="G144" s="46"/>
      <c r="H144" s="46"/>
      <c r="I144" s="46"/>
      <c r="J144" s="43"/>
      <c r="K144" s="43"/>
      <c r="L144" s="43"/>
    </row>
    <row r="145">
      <c r="A145" s="34"/>
      <c r="G145" s="46"/>
      <c r="H145" s="46"/>
      <c r="I145" s="46"/>
      <c r="J145" s="43"/>
      <c r="K145" s="43"/>
      <c r="L145" s="43"/>
    </row>
    <row r="146">
      <c r="A146" s="34"/>
      <c r="G146" s="46"/>
      <c r="H146" s="46"/>
      <c r="I146" s="46"/>
      <c r="J146" s="43"/>
      <c r="K146" s="43"/>
      <c r="L146" s="43"/>
    </row>
    <row r="147">
      <c r="A147" s="34"/>
      <c r="G147" s="46"/>
      <c r="H147" s="46"/>
      <c r="I147" s="46"/>
      <c r="J147" s="43"/>
      <c r="K147" s="43"/>
      <c r="L147" s="43"/>
    </row>
    <row r="148">
      <c r="A148" s="34"/>
      <c r="G148" s="46"/>
      <c r="H148" s="46"/>
      <c r="I148" s="46"/>
      <c r="J148" s="43"/>
      <c r="K148" s="43"/>
      <c r="L148" s="43"/>
    </row>
    <row r="149">
      <c r="A149" s="34"/>
      <c r="G149" s="46"/>
      <c r="H149" s="46"/>
      <c r="I149" s="46"/>
      <c r="J149" s="43"/>
      <c r="K149" s="43"/>
      <c r="L149" s="43"/>
    </row>
    <row r="150">
      <c r="A150" s="34"/>
      <c r="G150" s="46"/>
      <c r="H150" s="46"/>
      <c r="I150" s="46"/>
      <c r="J150" s="43"/>
      <c r="K150" s="43"/>
      <c r="L150" s="43"/>
    </row>
    <row r="151">
      <c r="A151" s="34"/>
      <c r="G151" s="46"/>
      <c r="H151" s="46"/>
      <c r="I151" s="46"/>
      <c r="J151" s="43"/>
      <c r="K151" s="43"/>
      <c r="L151" s="43"/>
    </row>
    <row r="152">
      <c r="A152" s="34"/>
      <c r="G152" s="46"/>
      <c r="H152" s="46"/>
      <c r="I152" s="46"/>
      <c r="J152" s="43"/>
      <c r="K152" s="43"/>
      <c r="L152" s="43"/>
    </row>
    <row r="153">
      <c r="A153" s="34"/>
      <c r="G153" s="46"/>
      <c r="H153" s="46"/>
      <c r="I153" s="46"/>
      <c r="J153" s="43"/>
      <c r="K153" s="43"/>
      <c r="L153" s="43"/>
    </row>
    <row r="154">
      <c r="A154" s="34"/>
      <c r="G154" s="46"/>
      <c r="H154" s="46"/>
      <c r="I154" s="46"/>
      <c r="J154" s="43"/>
      <c r="K154" s="43"/>
      <c r="L154" s="43"/>
    </row>
    <row r="155">
      <c r="A155" s="34"/>
      <c r="G155" s="46"/>
      <c r="H155" s="46"/>
      <c r="I155" s="46"/>
      <c r="J155" s="43"/>
      <c r="K155" s="43"/>
      <c r="L155" s="43"/>
    </row>
    <row r="156">
      <c r="A156" s="34"/>
      <c r="G156" s="46"/>
      <c r="H156" s="46"/>
      <c r="I156" s="46"/>
      <c r="J156" s="43"/>
      <c r="K156" s="43"/>
      <c r="L156" s="43"/>
    </row>
    <row r="157">
      <c r="A157" s="34"/>
      <c r="G157" s="46"/>
      <c r="H157" s="46"/>
      <c r="I157" s="46"/>
      <c r="J157" s="43"/>
      <c r="K157" s="43"/>
      <c r="L157" s="43"/>
    </row>
    <row r="158">
      <c r="A158" s="34"/>
      <c r="G158" s="46"/>
      <c r="H158" s="46"/>
      <c r="I158" s="46"/>
      <c r="J158" s="43"/>
      <c r="K158" s="43"/>
      <c r="L158" s="43"/>
    </row>
    <row r="159">
      <c r="A159" s="34"/>
      <c r="G159" s="46"/>
      <c r="H159" s="46"/>
      <c r="I159" s="46"/>
      <c r="J159" s="43"/>
      <c r="K159" s="43"/>
      <c r="L159" s="43"/>
    </row>
    <row r="160">
      <c r="A160" s="34"/>
      <c r="G160" s="46"/>
      <c r="H160" s="46"/>
      <c r="I160" s="46"/>
      <c r="J160" s="43"/>
      <c r="K160" s="43"/>
      <c r="L160" s="43"/>
    </row>
    <row r="161">
      <c r="A161" s="34"/>
      <c r="G161" s="46"/>
      <c r="H161" s="46"/>
      <c r="I161" s="46"/>
      <c r="J161" s="43"/>
      <c r="K161" s="43"/>
      <c r="L161" s="43"/>
    </row>
    <row r="162">
      <c r="A162" s="34"/>
      <c r="G162" s="46"/>
      <c r="H162" s="46"/>
      <c r="I162" s="46"/>
      <c r="J162" s="43"/>
      <c r="K162" s="43"/>
      <c r="L162" s="43"/>
    </row>
    <row r="163">
      <c r="A163" s="34"/>
      <c r="G163" s="46"/>
      <c r="H163" s="46"/>
      <c r="I163" s="46"/>
      <c r="J163" s="43"/>
      <c r="K163" s="43"/>
      <c r="L163" s="43"/>
    </row>
    <row r="164">
      <c r="A164" s="34"/>
      <c r="G164" s="46"/>
      <c r="H164" s="46"/>
      <c r="I164" s="46"/>
      <c r="J164" s="43"/>
      <c r="K164" s="43"/>
      <c r="L164" s="43"/>
    </row>
    <row r="165">
      <c r="A165" s="34"/>
      <c r="G165" s="46"/>
      <c r="H165" s="46"/>
      <c r="I165" s="46"/>
      <c r="J165" s="43"/>
      <c r="K165" s="43"/>
      <c r="L165" s="43"/>
    </row>
    <row r="166">
      <c r="A166" s="34"/>
      <c r="G166" s="46"/>
      <c r="H166" s="46"/>
      <c r="I166" s="46"/>
      <c r="J166" s="43"/>
      <c r="K166" s="43"/>
      <c r="L166" s="43"/>
    </row>
    <row r="167">
      <c r="A167" s="34"/>
      <c r="G167" s="46"/>
      <c r="H167" s="46"/>
      <c r="I167" s="46"/>
      <c r="J167" s="43"/>
      <c r="K167" s="43"/>
      <c r="L167" s="43"/>
    </row>
    <row r="168">
      <c r="A168" s="34"/>
      <c r="G168" s="46"/>
      <c r="H168" s="46"/>
      <c r="I168" s="46"/>
      <c r="J168" s="43"/>
      <c r="K168" s="43"/>
      <c r="L168" s="43"/>
    </row>
    <row r="169">
      <c r="A169" s="34"/>
      <c r="G169" s="46"/>
      <c r="H169" s="46"/>
      <c r="I169" s="46"/>
      <c r="J169" s="43"/>
      <c r="K169" s="43"/>
      <c r="L169" s="43"/>
    </row>
    <row r="170">
      <c r="A170" s="34"/>
      <c r="G170" s="46"/>
      <c r="H170" s="46"/>
      <c r="I170" s="46"/>
      <c r="J170" s="43"/>
      <c r="K170" s="43"/>
      <c r="L170" s="43"/>
    </row>
    <row r="171">
      <c r="A171" s="34"/>
      <c r="G171" s="46"/>
      <c r="H171" s="46"/>
      <c r="I171" s="46"/>
      <c r="J171" s="43"/>
      <c r="K171" s="43"/>
      <c r="L171" s="43"/>
    </row>
    <row r="172">
      <c r="A172" s="34"/>
      <c r="G172" s="46"/>
      <c r="H172" s="46"/>
      <c r="I172" s="46"/>
      <c r="J172" s="43"/>
      <c r="K172" s="43"/>
      <c r="L172" s="43"/>
    </row>
    <row r="173">
      <c r="A173" s="34"/>
      <c r="G173" s="46"/>
      <c r="H173" s="46"/>
      <c r="I173" s="46"/>
      <c r="J173" s="43"/>
      <c r="K173" s="43"/>
      <c r="L173" s="43"/>
    </row>
    <row r="174">
      <c r="A174" s="34"/>
      <c r="G174" s="46"/>
      <c r="H174" s="46"/>
      <c r="I174" s="46"/>
      <c r="J174" s="43"/>
      <c r="K174" s="43"/>
      <c r="L174" s="43"/>
    </row>
    <row r="175">
      <c r="A175" s="34"/>
      <c r="G175" s="46"/>
      <c r="H175" s="46"/>
      <c r="I175" s="46"/>
      <c r="J175" s="43"/>
      <c r="K175" s="43"/>
      <c r="L175" s="43"/>
    </row>
    <row r="176">
      <c r="A176" s="34"/>
      <c r="G176" s="46"/>
      <c r="H176" s="46"/>
      <c r="I176" s="46"/>
      <c r="J176" s="43"/>
      <c r="K176" s="43"/>
      <c r="L176" s="43"/>
    </row>
    <row r="177">
      <c r="A177" s="34"/>
      <c r="G177" s="46"/>
      <c r="H177" s="46"/>
      <c r="I177" s="46"/>
      <c r="J177" s="43"/>
      <c r="K177" s="43"/>
      <c r="L177" s="43"/>
    </row>
    <row r="178">
      <c r="A178" s="34"/>
      <c r="G178" s="46"/>
      <c r="H178" s="46"/>
      <c r="I178" s="46"/>
      <c r="J178" s="43"/>
      <c r="K178" s="43"/>
      <c r="L178" s="43"/>
    </row>
    <row r="179">
      <c r="A179" s="34"/>
      <c r="G179" s="46"/>
      <c r="H179" s="46"/>
      <c r="I179" s="46"/>
      <c r="J179" s="43"/>
      <c r="K179" s="43"/>
      <c r="L179" s="43"/>
    </row>
    <row r="180">
      <c r="A180" s="34"/>
      <c r="G180" s="46"/>
      <c r="H180" s="46"/>
      <c r="I180" s="46"/>
      <c r="J180" s="43"/>
      <c r="K180" s="43"/>
      <c r="L180" s="43"/>
    </row>
    <row r="181">
      <c r="A181" s="34"/>
      <c r="G181" s="46"/>
      <c r="H181" s="46"/>
      <c r="I181" s="46"/>
      <c r="J181" s="43"/>
      <c r="K181" s="43"/>
      <c r="L181" s="43"/>
    </row>
    <row r="182">
      <c r="A182" s="34"/>
      <c r="G182" s="46"/>
      <c r="H182" s="46"/>
      <c r="I182" s="46"/>
      <c r="J182" s="43"/>
      <c r="K182" s="43"/>
      <c r="L182" s="43"/>
    </row>
    <row r="183">
      <c r="A183" s="34"/>
      <c r="G183" s="46"/>
      <c r="H183" s="46"/>
      <c r="I183" s="46"/>
      <c r="J183" s="43"/>
      <c r="K183" s="43"/>
      <c r="L183" s="43"/>
    </row>
    <row r="184">
      <c r="A184" s="34"/>
      <c r="G184" s="46"/>
      <c r="H184" s="46"/>
      <c r="I184" s="46"/>
      <c r="J184" s="43"/>
      <c r="K184" s="43"/>
      <c r="L184" s="43"/>
    </row>
    <row r="185">
      <c r="A185" s="34"/>
      <c r="G185" s="46"/>
      <c r="H185" s="46"/>
      <c r="I185" s="46"/>
      <c r="J185" s="43"/>
      <c r="K185" s="43"/>
      <c r="L185" s="43"/>
    </row>
    <row r="186">
      <c r="A186" s="34"/>
      <c r="G186" s="46"/>
      <c r="H186" s="46"/>
      <c r="I186" s="46"/>
      <c r="J186" s="43"/>
      <c r="K186" s="43"/>
      <c r="L186" s="43"/>
    </row>
    <row r="187">
      <c r="A187" s="34"/>
      <c r="G187" s="46"/>
      <c r="H187" s="46"/>
      <c r="I187" s="46"/>
      <c r="J187" s="43"/>
      <c r="K187" s="43"/>
      <c r="L187" s="43"/>
    </row>
    <row r="188">
      <c r="A188" s="34"/>
      <c r="G188" s="46"/>
      <c r="H188" s="46"/>
      <c r="I188" s="46"/>
      <c r="J188" s="43"/>
      <c r="K188" s="43"/>
      <c r="L188" s="43"/>
    </row>
    <row r="189">
      <c r="A189" s="34"/>
      <c r="G189" s="46"/>
      <c r="H189" s="46"/>
      <c r="I189" s="46"/>
      <c r="J189" s="43"/>
      <c r="K189" s="43"/>
      <c r="L189" s="43"/>
    </row>
    <row r="190">
      <c r="A190" s="34"/>
      <c r="G190" s="46"/>
      <c r="H190" s="46"/>
      <c r="I190" s="46"/>
      <c r="J190" s="43"/>
      <c r="K190" s="43"/>
      <c r="L190" s="43"/>
    </row>
    <row r="191">
      <c r="A191" s="34"/>
      <c r="G191" s="46"/>
      <c r="H191" s="46"/>
      <c r="I191" s="46"/>
      <c r="J191" s="43"/>
      <c r="K191" s="43"/>
      <c r="L191" s="43"/>
    </row>
    <row r="192">
      <c r="A192" s="34"/>
      <c r="G192" s="46"/>
      <c r="H192" s="46"/>
      <c r="I192" s="46"/>
      <c r="J192" s="43"/>
      <c r="K192" s="43"/>
      <c r="L192" s="43"/>
    </row>
    <row r="193">
      <c r="A193" s="34"/>
      <c r="G193" s="46"/>
      <c r="H193" s="46"/>
      <c r="I193" s="46"/>
      <c r="J193" s="43"/>
      <c r="K193" s="43"/>
      <c r="L193" s="43"/>
    </row>
    <row r="194">
      <c r="A194" s="34"/>
      <c r="G194" s="46"/>
      <c r="H194" s="46"/>
      <c r="I194" s="46"/>
      <c r="J194" s="43"/>
      <c r="K194" s="43"/>
      <c r="L194" s="43"/>
    </row>
    <row r="195">
      <c r="A195" s="34"/>
      <c r="G195" s="46"/>
      <c r="H195" s="46"/>
      <c r="I195" s="46"/>
      <c r="J195" s="43"/>
      <c r="K195" s="43"/>
      <c r="L195" s="43"/>
    </row>
    <row r="196">
      <c r="A196" s="34"/>
      <c r="G196" s="46"/>
      <c r="H196" s="46"/>
      <c r="I196" s="46"/>
      <c r="J196" s="43"/>
      <c r="K196" s="43"/>
      <c r="L196" s="43"/>
    </row>
    <row r="197">
      <c r="A197" s="34"/>
      <c r="G197" s="46"/>
      <c r="H197" s="46"/>
      <c r="I197" s="46"/>
      <c r="J197" s="43"/>
      <c r="K197" s="43"/>
      <c r="L197" s="43"/>
    </row>
    <row r="198">
      <c r="A198" s="34"/>
      <c r="G198" s="46"/>
      <c r="H198" s="46"/>
      <c r="I198" s="46"/>
      <c r="J198" s="43"/>
      <c r="K198" s="43"/>
      <c r="L198" s="43"/>
    </row>
    <row r="199">
      <c r="A199" s="34"/>
      <c r="G199" s="46"/>
      <c r="H199" s="46"/>
      <c r="I199" s="46"/>
      <c r="J199" s="43"/>
      <c r="K199" s="43"/>
      <c r="L199" s="43"/>
    </row>
    <row r="200">
      <c r="A200" s="34"/>
      <c r="G200" s="46"/>
      <c r="H200" s="46"/>
      <c r="I200" s="46"/>
      <c r="J200" s="43"/>
      <c r="K200" s="43"/>
      <c r="L200" s="43"/>
    </row>
    <row r="201">
      <c r="A201" s="34"/>
      <c r="G201" s="46"/>
      <c r="H201" s="46"/>
      <c r="I201" s="46"/>
      <c r="J201" s="43"/>
      <c r="K201" s="43"/>
      <c r="L201" s="43"/>
    </row>
    <row r="202">
      <c r="A202" s="34"/>
      <c r="G202" s="46"/>
      <c r="H202" s="46"/>
      <c r="I202" s="46"/>
      <c r="J202" s="43"/>
      <c r="K202" s="43"/>
      <c r="L202" s="43"/>
    </row>
    <row r="203">
      <c r="A203" s="34"/>
      <c r="G203" s="46"/>
      <c r="H203" s="46"/>
      <c r="I203" s="46"/>
      <c r="J203" s="43"/>
      <c r="K203" s="43"/>
      <c r="L203" s="43"/>
    </row>
    <row r="204">
      <c r="A204" s="34"/>
      <c r="G204" s="46"/>
      <c r="H204" s="46"/>
      <c r="I204" s="46"/>
      <c r="J204" s="43"/>
      <c r="K204" s="43"/>
      <c r="L204" s="43"/>
    </row>
    <row r="205">
      <c r="A205" s="34"/>
      <c r="G205" s="46"/>
      <c r="H205" s="46"/>
      <c r="I205" s="46"/>
      <c r="J205" s="43"/>
      <c r="K205" s="43"/>
      <c r="L205" s="43"/>
    </row>
    <row r="206">
      <c r="A206" s="34"/>
      <c r="G206" s="46"/>
      <c r="H206" s="46"/>
      <c r="I206" s="46"/>
      <c r="J206" s="43"/>
      <c r="K206" s="43"/>
      <c r="L206" s="43"/>
    </row>
    <row r="207">
      <c r="A207" s="34"/>
      <c r="G207" s="46"/>
      <c r="H207" s="46"/>
      <c r="I207" s="46"/>
      <c r="J207" s="43"/>
      <c r="K207" s="43"/>
      <c r="L207" s="43"/>
    </row>
    <row r="208">
      <c r="A208" s="34"/>
      <c r="G208" s="46"/>
      <c r="H208" s="46"/>
      <c r="I208" s="46"/>
      <c r="J208" s="43"/>
      <c r="K208" s="43"/>
      <c r="L208" s="43"/>
    </row>
    <row r="209">
      <c r="A209" s="34"/>
      <c r="G209" s="46"/>
      <c r="H209" s="46"/>
      <c r="I209" s="46"/>
      <c r="J209" s="43"/>
      <c r="K209" s="43"/>
      <c r="L209" s="43"/>
    </row>
    <row r="210">
      <c r="A210" s="34"/>
      <c r="G210" s="46"/>
      <c r="H210" s="46"/>
      <c r="I210" s="46"/>
      <c r="J210" s="43"/>
      <c r="K210" s="43"/>
      <c r="L210" s="43"/>
    </row>
    <row r="211">
      <c r="A211" s="34"/>
      <c r="G211" s="46"/>
      <c r="H211" s="46"/>
      <c r="I211" s="46"/>
      <c r="J211" s="43"/>
      <c r="K211" s="43"/>
      <c r="L211" s="43"/>
    </row>
    <row r="212">
      <c r="A212" s="34"/>
      <c r="G212" s="46"/>
      <c r="H212" s="46"/>
      <c r="I212" s="46"/>
      <c r="J212" s="43"/>
      <c r="K212" s="43"/>
      <c r="L212" s="43"/>
    </row>
    <row r="213">
      <c r="A213" s="34"/>
      <c r="G213" s="46"/>
      <c r="H213" s="46"/>
      <c r="I213" s="46"/>
      <c r="J213" s="43"/>
      <c r="K213" s="43"/>
      <c r="L213" s="43"/>
    </row>
    <row r="214">
      <c r="A214" s="34"/>
      <c r="G214" s="46"/>
      <c r="H214" s="46"/>
      <c r="I214" s="46"/>
      <c r="J214" s="43"/>
      <c r="K214" s="43"/>
      <c r="L214" s="43"/>
    </row>
    <row r="215">
      <c r="A215" s="34"/>
      <c r="G215" s="46"/>
      <c r="H215" s="46"/>
      <c r="I215" s="46"/>
      <c r="J215" s="43"/>
      <c r="K215" s="43"/>
      <c r="L215" s="43"/>
    </row>
    <row r="216">
      <c r="A216" s="34"/>
      <c r="G216" s="46"/>
      <c r="H216" s="46"/>
      <c r="I216" s="46"/>
      <c r="J216" s="43"/>
      <c r="K216" s="43"/>
      <c r="L216" s="43"/>
    </row>
    <row r="217">
      <c r="A217" s="34"/>
      <c r="G217" s="46"/>
      <c r="H217" s="46"/>
      <c r="I217" s="46"/>
      <c r="J217" s="43"/>
      <c r="K217" s="43"/>
      <c r="L217" s="43"/>
    </row>
    <row r="218">
      <c r="A218" s="34"/>
      <c r="G218" s="46"/>
      <c r="H218" s="46"/>
      <c r="I218" s="46"/>
      <c r="J218" s="43"/>
      <c r="K218" s="43"/>
      <c r="L218" s="43"/>
    </row>
    <row r="219">
      <c r="A219" s="34"/>
      <c r="G219" s="46"/>
      <c r="H219" s="46"/>
      <c r="I219" s="46"/>
      <c r="J219" s="43"/>
      <c r="K219" s="43"/>
      <c r="L219" s="43"/>
    </row>
    <row r="220">
      <c r="A220" s="34"/>
      <c r="G220" s="46"/>
      <c r="H220" s="46"/>
      <c r="I220" s="46"/>
      <c r="J220" s="43"/>
      <c r="K220" s="43"/>
      <c r="L220" s="43"/>
    </row>
    <row r="221">
      <c r="A221" s="34"/>
      <c r="G221" s="46"/>
      <c r="H221" s="46"/>
      <c r="I221" s="46"/>
      <c r="J221" s="43"/>
      <c r="K221" s="43"/>
      <c r="L221" s="43"/>
    </row>
    <row r="222">
      <c r="A222" s="34"/>
      <c r="G222" s="46"/>
      <c r="H222" s="46"/>
      <c r="I222" s="46"/>
      <c r="J222" s="43"/>
      <c r="K222" s="43"/>
      <c r="L222" s="43"/>
    </row>
    <row r="223">
      <c r="A223" s="34"/>
      <c r="G223" s="46"/>
      <c r="H223" s="46"/>
      <c r="I223" s="46"/>
      <c r="J223" s="43"/>
      <c r="K223" s="43"/>
      <c r="L223" s="43"/>
    </row>
    <row r="224">
      <c r="A224" s="34"/>
      <c r="G224" s="46"/>
      <c r="H224" s="46"/>
      <c r="I224" s="46"/>
      <c r="J224" s="43"/>
      <c r="K224" s="43"/>
      <c r="L224" s="43"/>
    </row>
    <row r="225">
      <c r="A225" s="34"/>
      <c r="G225" s="46"/>
      <c r="H225" s="46"/>
      <c r="I225" s="46"/>
      <c r="J225" s="43"/>
      <c r="K225" s="43"/>
      <c r="L225" s="43"/>
    </row>
    <row r="226">
      <c r="A226" s="34"/>
      <c r="G226" s="46"/>
      <c r="H226" s="46"/>
      <c r="I226" s="46"/>
      <c r="J226" s="43"/>
      <c r="K226" s="43"/>
      <c r="L226" s="43"/>
    </row>
    <row r="227">
      <c r="A227" s="34"/>
      <c r="G227" s="46"/>
      <c r="H227" s="46"/>
      <c r="I227" s="46"/>
      <c r="J227" s="43"/>
      <c r="K227" s="43"/>
      <c r="L227" s="43"/>
    </row>
    <row r="228">
      <c r="A228" s="34"/>
      <c r="G228" s="46"/>
      <c r="H228" s="46"/>
      <c r="I228" s="46"/>
      <c r="J228" s="43"/>
      <c r="K228" s="43"/>
      <c r="L228" s="43"/>
    </row>
    <row r="229">
      <c r="A229" s="34"/>
      <c r="G229" s="46"/>
      <c r="H229" s="46"/>
      <c r="I229" s="46"/>
      <c r="J229" s="43"/>
      <c r="K229" s="43"/>
      <c r="L229" s="43"/>
    </row>
    <row r="230">
      <c r="A230" s="34"/>
      <c r="G230" s="46"/>
      <c r="H230" s="46"/>
      <c r="I230" s="46"/>
      <c r="J230" s="43"/>
      <c r="K230" s="43"/>
      <c r="L230" s="43"/>
    </row>
    <row r="231">
      <c r="A231" s="34"/>
      <c r="G231" s="46"/>
      <c r="H231" s="46"/>
      <c r="I231" s="46"/>
      <c r="J231" s="43"/>
      <c r="K231" s="43"/>
      <c r="L231" s="43"/>
    </row>
    <row r="232">
      <c r="A232" s="34"/>
      <c r="G232" s="46"/>
      <c r="H232" s="46"/>
      <c r="I232" s="46"/>
      <c r="J232" s="43"/>
      <c r="K232" s="43"/>
      <c r="L232" s="43"/>
    </row>
    <row r="233">
      <c r="A233" s="34"/>
      <c r="G233" s="46"/>
      <c r="H233" s="46"/>
      <c r="I233" s="46"/>
      <c r="J233" s="43"/>
      <c r="K233" s="43"/>
      <c r="L233" s="43"/>
    </row>
    <row r="234">
      <c r="A234" s="34"/>
      <c r="G234" s="46"/>
      <c r="H234" s="46"/>
      <c r="I234" s="46"/>
      <c r="J234" s="43"/>
      <c r="K234" s="43"/>
      <c r="L234" s="43"/>
    </row>
    <row r="235">
      <c r="A235" s="34"/>
      <c r="G235" s="46"/>
      <c r="H235" s="46"/>
      <c r="I235" s="46"/>
      <c r="J235" s="43"/>
      <c r="K235" s="43"/>
      <c r="L235" s="43"/>
    </row>
    <row r="236">
      <c r="A236" s="34"/>
      <c r="G236" s="46"/>
      <c r="H236" s="46"/>
      <c r="I236" s="46"/>
      <c r="J236" s="43"/>
      <c r="K236" s="43"/>
      <c r="L236" s="43"/>
    </row>
    <row r="237">
      <c r="A237" s="34"/>
      <c r="G237" s="46"/>
      <c r="H237" s="46"/>
      <c r="I237" s="46"/>
      <c r="J237" s="43"/>
      <c r="K237" s="43"/>
      <c r="L237" s="43"/>
    </row>
    <row r="238">
      <c r="A238" s="34"/>
      <c r="G238" s="46"/>
      <c r="H238" s="46"/>
      <c r="I238" s="46"/>
      <c r="J238" s="43"/>
      <c r="K238" s="43"/>
      <c r="L238" s="43"/>
    </row>
    <row r="239">
      <c r="A239" s="34"/>
      <c r="G239" s="46"/>
      <c r="H239" s="46"/>
      <c r="I239" s="46"/>
      <c r="J239" s="43"/>
      <c r="K239" s="43"/>
      <c r="L239" s="43"/>
    </row>
    <row r="240">
      <c r="A240" s="34"/>
      <c r="G240" s="46"/>
      <c r="H240" s="46"/>
      <c r="I240" s="46"/>
      <c r="J240" s="43"/>
      <c r="K240" s="43"/>
      <c r="L240" s="43"/>
    </row>
    <row r="241">
      <c r="A241" s="34"/>
      <c r="G241" s="46"/>
      <c r="H241" s="46"/>
      <c r="I241" s="46"/>
      <c r="J241" s="43"/>
      <c r="K241" s="43"/>
      <c r="L241" s="43"/>
    </row>
    <row r="242">
      <c r="A242" s="34"/>
      <c r="G242" s="46"/>
      <c r="H242" s="46"/>
      <c r="I242" s="46"/>
      <c r="J242" s="43"/>
      <c r="K242" s="43"/>
      <c r="L242" s="43"/>
    </row>
    <row r="243">
      <c r="A243" s="34"/>
      <c r="G243" s="46"/>
      <c r="H243" s="46"/>
      <c r="I243" s="46"/>
      <c r="J243" s="43"/>
      <c r="K243" s="43"/>
      <c r="L243" s="43"/>
    </row>
    <row r="244">
      <c r="A244" s="34"/>
      <c r="G244" s="46"/>
      <c r="H244" s="46"/>
      <c r="I244" s="46"/>
      <c r="J244" s="43"/>
      <c r="K244" s="43"/>
      <c r="L244" s="43"/>
    </row>
    <row r="245">
      <c r="A245" s="34"/>
      <c r="G245" s="46"/>
      <c r="H245" s="46"/>
      <c r="I245" s="46"/>
      <c r="J245" s="43"/>
      <c r="K245" s="43"/>
      <c r="L245" s="43"/>
    </row>
    <row r="246">
      <c r="A246" s="34"/>
      <c r="G246" s="46"/>
      <c r="H246" s="46"/>
      <c r="I246" s="46"/>
      <c r="J246" s="43"/>
      <c r="K246" s="43"/>
      <c r="L246" s="43"/>
    </row>
    <row r="247">
      <c r="A247" s="34"/>
      <c r="G247" s="46"/>
      <c r="H247" s="46"/>
      <c r="I247" s="46"/>
      <c r="J247" s="43"/>
      <c r="K247" s="43"/>
      <c r="L247" s="43"/>
    </row>
    <row r="248">
      <c r="A248" s="34"/>
      <c r="G248" s="46"/>
      <c r="H248" s="46"/>
      <c r="I248" s="46"/>
      <c r="J248" s="43"/>
      <c r="K248" s="43"/>
      <c r="L248" s="43"/>
    </row>
    <row r="249">
      <c r="A249" s="34"/>
      <c r="G249" s="46"/>
      <c r="H249" s="46"/>
      <c r="I249" s="46"/>
      <c r="J249" s="43"/>
      <c r="K249" s="43"/>
      <c r="L249" s="43"/>
    </row>
    <row r="250">
      <c r="A250" s="34"/>
      <c r="G250" s="46"/>
      <c r="H250" s="46"/>
      <c r="I250" s="46"/>
      <c r="J250" s="43"/>
      <c r="K250" s="43"/>
      <c r="L250" s="43"/>
    </row>
    <row r="251">
      <c r="A251" s="34"/>
      <c r="G251" s="46"/>
      <c r="H251" s="46"/>
      <c r="I251" s="46"/>
      <c r="J251" s="43"/>
      <c r="K251" s="43"/>
      <c r="L251" s="43"/>
    </row>
    <row r="252">
      <c r="A252" s="34"/>
      <c r="G252" s="46"/>
      <c r="H252" s="46"/>
      <c r="I252" s="46"/>
      <c r="J252" s="43"/>
      <c r="K252" s="43"/>
      <c r="L252" s="43"/>
    </row>
    <row r="253">
      <c r="A253" s="34"/>
      <c r="G253" s="46"/>
      <c r="H253" s="46"/>
      <c r="I253" s="46"/>
      <c r="J253" s="43"/>
      <c r="K253" s="43"/>
      <c r="L253" s="43"/>
    </row>
    <row r="254">
      <c r="A254" s="34"/>
      <c r="G254" s="46"/>
      <c r="H254" s="46"/>
      <c r="I254" s="46"/>
      <c r="J254" s="43"/>
      <c r="K254" s="43"/>
      <c r="L254" s="43"/>
    </row>
    <row r="255">
      <c r="A255" s="34"/>
      <c r="G255" s="46"/>
      <c r="H255" s="46"/>
      <c r="I255" s="46"/>
      <c r="J255" s="43"/>
      <c r="K255" s="43"/>
      <c r="L255" s="43"/>
    </row>
    <row r="256">
      <c r="A256" s="34"/>
      <c r="G256" s="46"/>
      <c r="H256" s="46"/>
      <c r="I256" s="46"/>
      <c r="J256" s="43"/>
      <c r="K256" s="43"/>
      <c r="L256" s="43"/>
    </row>
    <row r="257">
      <c r="A257" s="34"/>
      <c r="G257" s="46"/>
      <c r="H257" s="46"/>
      <c r="I257" s="46"/>
      <c r="J257" s="43"/>
      <c r="K257" s="43"/>
      <c r="L257" s="43"/>
    </row>
    <row r="258">
      <c r="A258" s="34"/>
      <c r="G258" s="46"/>
      <c r="H258" s="46"/>
      <c r="I258" s="46"/>
      <c r="J258" s="43"/>
      <c r="K258" s="43"/>
      <c r="L258" s="43"/>
    </row>
    <row r="259">
      <c r="A259" s="34"/>
      <c r="G259" s="46"/>
      <c r="H259" s="46"/>
      <c r="I259" s="46"/>
      <c r="J259" s="43"/>
      <c r="K259" s="43"/>
      <c r="L259" s="43"/>
    </row>
    <row r="260">
      <c r="A260" s="34"/>
      <c r="G260" s="46"/>
      <c r="H260" s="46"/>
      <c r="I260" s="46"/>
      <c r="J260" s="43"/>
      <c r="K260" s="43"/>
      <c r="L260" s="43"/>
    </row>
    <row r="261">
      <c r="A261" s="34"/>
      <c r="G261" s="46"/>
      <c r="H261" s="46"/>
      <c r="I261" s="46"/>
      <c r="J261" s="43"/>
      <c r="K261" s="43"/>
      <c r="L261" s="43"/>
    </row>
    <row r="262">
      <c r="A262" s="34"/>
      <c r="G262" s="46"/>
      <c r="H262" s="46"/>
      <c r="I262" s="46"/>
      <c r="J262" s="43"/>
      <c r="K262" s="43"/>
      <c r="L262" s="43"/>
    </row>
    <row r="263">
      <c r="A263" s="34"/>
      <c r="G263" s="46"/>
      <c r="H263" s="46"/>
      <c r="I263" s="46"/>
      <c r="J263" s="43"/>
      <c r="K263" s="43"/>
      <c r="L263" s="43"/>
    </row>
    <row r="264">
      <c r="A264" s="34"/>
      <c r="G264" s="46"/>
      <c r="H264" s="46"/>
      <c r="I264" s="46"/>
      <c r="J264" s="43"/>
      <c r="K264" s="43"/>
      <c r="L264" s="43"/>
    </row>
    <row r="265">
      <c r="A265" s="34"/>
      <c r="G265" s="46"/>
      <c r="H265" s="46"/>
      <c r="I265" s="46"/>
      <c r="J265" s="43"/>
      <c r="K265" s="43"/>
      <c r="L265" s="43"/>
    </row>
    <row r="266">
      <c r="A266" s="34"/>
      <c r="G266" s="46"/>
      <c r="H266" s="46"/>
      <c r="I266" s="46"/>
      <c r="J266" s="43"/>
      <c r="K266" s="43"/>
      <c r="L266" s="43"/>
    </row>
    <row r="267">
      <c r="A267" s="34"/>
      <c r="G267" s="46"/>
      <c r="H267" s="46"/>
      <c r="I267" s="46"/>
      <c r="J267" s="43"/>
      <c r="K267" s="43"/>
      <c r="L267" s="43"/>
    </row>
    <row r="268">
      <c r="A268" s="34"/>
      <c r="G268" s="46"/>
      <c r="H268" s="46"/>
      <c r="I268" s="46"/>
      <c r="J268" s="43"/>
      <c r="K268" s="43"/>
      <c r="L268" s="43"/>
    </row>
    <row r="269">
      <c r="A269" s="34"/>
      <c r="G269" s="46"/>
      <c r="H269" s="46"/>
      <c r="I269" s="46"/>
      <c r="J269" s="43"/>
      <c r="K269" s="43"/>
      <c r="L269" s="43"/>
    </row>
    <row r="270">
      <c r="A270" s="34"/>
      <c r="G270" s="46"/>
      <c r="H270" s="46"/>
      <c r="I270" s="46"/>
      <c r="J270" s="43"/>
      <c r="K270" s="43"/>
      <c r="L270" s="43"/>
    </row>
    <row r="271">
      <c r="A271" s="34"/>
      <c r="G271" s="46"/>
      <c r="H271" s="46"/>
      <c r="I271" s="46"/>
      <c r="J271" s="43"/>
      <c r="K271" s="43"/>
      <c r="L271" s="43"/>
    </row>
    <row r="272">
      <c r="A272" s="34"/>
      <c r="G272" s="46"/>
      <c r="H272" s="46"/>
      <c r="I272" s="46"/>
      <c r="J272" s="43"/>
      <c r="K272" s="43"/>
      <c r="L272" s="43"/>
    </row>
    <row r="273">
      <c r="A273" s="34"/>
      <c r="G273" s="46"/>
      <c r="H273" s="46"/>
      <c r="I273" s="46"/>
      <c r="J273" s="43"/>
      <c r="K273" s="43"/>
      <c r="L273" s="43"/>
    </row>
    <row r="274">
      <c r="A274" s="34"/>
      <c r="G274" s="46"/>
      <c r="H274" s="46"/>
      <c r="I274" s="46"/>
      <c r="J274" s="43"/>
      <c r="K274" s="43"/>
      <c r="L274" s="43"/>
    </row>
    <row r="275">
      <c r="A275" s="34"/>
      <c r="G275" s="46"/>
      <c r="H275" s="46"/>
      <c r="I275" s="46"/>
      <c r="J275" s="43"/>
      <c r="K275" s="43"/>
      <c r="L275" s="43"/>
    </row>
    <row r="276">
      <c r="A276" s="34"/>
      <c r="G276" s="46"/>
      <c r="H276" s="46"/>
      <c r="I276" s="46"/>
      <c r="J276" s="43"/>
      <c r="K276" s="43"/>
      <c r="L276" s="43"/>
    </row>
    <row r="277">
      <c r="A277" s="34"/>
      <c r="G277" s="46"/>
      <c r="H277" s="46"/>
      <c r="I277" s="46"/>
      <c r="J277" s="43"/>
      <c r="K277" s="43"/>
      <c r="L277" s="43"/>
    </row>
    <row r="278">
      <c r="A278" s="34"/>
      <c r="G278" s="46"/>
      <c r="H278" s="46"/>
      <c r="I278" s="46"/>
      <c r="J278" s="43"/>
      <c r="K278" s="43"/>
      <c r="L278" s="43"/>
    </row>
    <row r="279">
      <c r="A279" s="34"/>
      <c r="G279" s="46"/>
      <c r="H279" s="46"/>
      <c r="I279" s="46"/>
      <c r="J279" s="43"/>
      <c r="K279" s="43"/>
      <c r="L279" s="43"/>
    </row>
    <row r="280">
      <c r="A280" s="34"/>
      <c r="G280" s="46"/>
      <c r="H280" s="46"/>
      <c r="I280" s="46"/>
      <c r="J280" s="43"/>
      <c r="K280" s="43"/>
      <c r="L280" s="43"/>
    </row>
    <row r="281">
      <c r="A281" s="34"/>
      <c r="G281" s="46"/>
      <c r="H281" s="46"/>
      <c r="I281" s="46"/>
      <c r="J281" s="43"/>
      <c r="K281" s="43"/>
      <c r="L281" s="43"/>
    </row>
    <row r="282">
      <c r="A282" s="34"/>
      <c r="G282" s="46"/>
      <c r="H282" s="46"/>
      <c r="I282" s="46"/>
      <c r="J282" s="43"/>
      <c r="K282" s="43"/>
      <c r="L282" s="43"/>
    </row>
    <row r="283">
      <c r="A283" s="34"/>
      <c r="G283" s="46"/>
      <c r="H283" s="46"/>
      <c r="I283" s="46"/>
      <c r="J283" s="43"/>
      <c r="K283" s="43"/>
      <c r="L283" s="43"/>
    </row>
    <row r="284">
      <c r="A284" s="34"/>
      <c r="G284" s="46"/>
      <c r="H284" s="46"/>
      <c r="I284" s="46"/>
      <c r="J284" s="43"/>
      <c r="K284" s="43"/>
      <c r="L284" s="43"/>
    </row>
    <row r="285">
      <c r="A285" s="34"/>
      <c r="G285" s="46"/>
      <c r="H285" s="46"/>
      <c r="I285" s="46"/>
      <c r="J285" s="43"/>
      <c r="K285" s="43"/>
      <c r="L285" s="43"/>
    </row>
    <row r="286">
      <c r="A286" s="34"/>
      <c r="G286" s="46"/>
      <c r="H286" s="46"/>
      <c r="I286" s="46"/>
      <c r="J286" s="43"/>
      <c r="K286" s="43"/>
      <c r="L286" s="43"/>
    </row>
    <row r="287">
      <c r="A287" s="34"/>
      <c r="G287" s="46"/>
      <c r="H287" s="46"/>
      <c r="I287" s="46"/>
      <c r="J287" s="43"/>
      <c r="K287" s="43"/>
      <c r="L287" s="43"/>
    </row>
    <row r="288">
      <c r="A288" s="34"/>
      <c r="G288" s="46"/>
      <c r="H288" s="46"/>
      <c r="I288" s="46"/>
      <c r="J288" s="43"/>
      <c r="K288" s="43"/>
      <c r="L288" s="43"/>
    </row>
    <row r="289">
      <c r="A289" s="34"/>
      <c r="G289" s="46"/>
      <c r="H289" s="46"/>
      <c r="I289" s="46"/>
      <c r="J289" s="43"/>
      <c r="K289" s="43"/>
      <c r="L289" s="43"/>
    </row>
    <row r="290">
      <c r="A290" s="34"/>
      <c r="G290" s="46"/>
      <c r="H290" s="46"/>
      <c r="I290" s="46"/>
      <c r="J290" s="43"/>
      <c r="K290" s="43"/>
      <c r="L290" s="43"/>
    </row>
    <row r="291">
      <c r="A291" s="34"/>
      <c r="G291" s="46"/>
      <c r="H291" s="46"/>
      <c r="I291" s="46"/>
      <c r="J291" s="43"/>
      <c r="K291" s="43"/>
      <c r="L291" s="43"/>
    </row>
    <row r="292">
      <c r="A292" s="34"/>
      <c r="G292" s="46"/>
      <c r="H292" s="46"/>
      <c r="I292" s="46"/>
      <c r="J292" s="43"/>
      <c r="K292" s="43"/>
      <c r="L292" s="43"/>
    </row>
    <row r="293">
      <c r="A293" s="34"/>
      <c r="G293" s="46"/>
      <c r="H293" s="46"/>
      <c r="I293" s="46"/>
      <c r="J293" s="43"/>
      <c r="K293" s="43"/>
      <c r="L293" s="43"/>
    </row>
    <row r="294">
      <c r="A294" s="34"/>
      <c r="G294" s="46"/>
      <c r="H294" s="46"/>
      <c r="I294" s="46"/>
      <c r="J294" s="43"/>
      <c r="K294" s="43"/>
      <c r="L294" s="43"/>
    </row>
    <row r="295">
      <c r="A295" s="34"/>
      <c r="G295" s="46"/>
      <c r="H295" s="46"/>
      <c r="I295" s="46"/>
      <c r="J295" s="43"/>
      <c r="K295" s="43"/>
      <c r="L295" s="43"/>
    </row>
    <row r="296">
      <c r="A296" s="34"/>
      <c r="G296" s="46"/>
      <c r="H296" s="46"/>
      <c r="I296" s="46"/>
      <c r="J296" s="43"/>
      <c r="K296" s="43"/>
      <c r="L296" s="43"/>
    </row>
    <row r="297">
      <c r="A297" s="34"/>
      <c r="G297" s="46"/>
      <c r="H297" s="46"/>
      <c r="I297" s="46"/>
      <c r="J297" s="43"/>
      <c r="K297" s="43"/>
      <c r="L297" s="43"/>
    </row>
    <row r="298">
      <c r="A298" s="34"/>
      <c r="G298" s="46"/>
      <c r="H298" s="46"/>
      <c r="I298" s="46"/>
      <c r="J298" s="43"/>
      <c r="K298" s="43"/>
      <c r="L298" s="43"/>
    </row>
    <row r="299">
      <c r="A299" s="34"/>
      <c r="G299" s="46"/>
      <c r="H299" s="46"/>
      <c r="I299" s="46"/>
      <c r="J299" s="43"/>
      <c r="K299" s="43"/>
      <c r="L299" s="43"/>
    </row>
    <row r="300">
      <c r="A300" s="34"/>
      <c r="G300" s="46"/>
      <c r="H300" s="46"/>
      <c r="I300" s="46"/>
      <c r="J300" s="43"/>
      <c r="K300" s="43"/>
      <c r="L300" s="43"/>
    </row>
    <row r="301">
      <c r="A301" s="34"/>
      <c r="G301" s="46"/>
      <c r="H301" s="46"/>
      <c r="I301" s="46"/>
      <c r="J301" s="43"/>
      <c r="K301" s="43"/>
      <c r="L301" s="43"/>
    </row>
    <row r="302">
      <c r="A302" s="34"/>
      <c r="G302" s="46"/>
      <c r="H302" s="46"/>
      <c r="I302" s="46"/>
      <c r="J302" s="43"/>
      <c r="K302" s="43"/>
      <c r="L302" s="43"/>
    </row>
    <row r="303">
      <c r="A303" s="34"/>
      <c r="G303" s="46"/>
      <c r="H303" s="46"/>
      <c r="I303" s="46"/>
      <c r="J303" s="43"/>
      <c r="K303" s="43"/>
      <c r="L303" s="43"/>
    </row>
    <row r="304">
      <c r="A304" s="34"/>
      <c r="G304" s="46"/>
      <c r="H304" s="46"/>
      <c r="I304" s="46"/>
      <c r="J304" s="43"/>
      <c r="K304" s="43"/>
      <c r="L304" s="43"/>
    </row>
    <row r="305">
      <c r="A305" s="34"/>
      <c r="G305" s="46"/>
      <c r="H305" s="46"/>
      <c r="I305" s="46"/>
      <c r="J305" s="43"/>
      <c r="K305" s="43"/>
      <c r="L305" s="43"/>
    </row>
    <row r="306">
      <c r="A306" s="34"/>
      <c r="G306" s="46"/>
      <c r="H306" s="46"/>
      <c r="I306" s="46"/>
      <c r="J306" s="43"/>
      <c r="K306" s="43"/>
      <c r="L306" s="43"/>
    </row>
    <row r="307">
      <c r="A307" s="34"/>
      <c r="G307" s="46"/>
      <c r="H307" s="46"/>
      <c r="I307" s="46"/>
      <c r="J307" s="43"/>
      <c r="K307" s="43"/>
      <c r="L307" s="43"/>
    </row>
    <row r="308">
      <c r="A308" s="34"/>
      <c r="G308" s="46"/>
      <c r="H308" s="46"/>
      <c r="I308" s="46"/>
      <c r="J308" s="43"/>
      <c r="K308" s="43"/>
      <c r="L308" s="43"/>
    </row>
    <row r="309">
      <c r="A309" s="34"/>
      <c r="G309" s="46"/>
      <c r="H309" s="46"/>
      <c r="I309" s="46"/>
      <c r="J309" s="43"/>
      <c r="K309" s="43"/>
      <c r="L309" s="43"/>
    </row>
    <row r="310">
      <c r="A310" s="34"/>
      <c r="G310" s="46"/>
      <c r="H310" s="46"/>
      <c r="I310" s="46"/>
      <c r="J310" s="43"/>
      <c r="K310" s="43"/>
      <c r="L310" s="43"/>
    </row>
    <row r="311">
      <c r="A311" s="34"/>
      <c r="G311" s="46"/>
      <c r="H311" s="46"/>
      <c r="I311" s="46"/>
      <c r="J311" s="43"/>
      <c r="K311" s="43"/>
      <c r="L311" s="43"/>
    </row>
    <row r="312">
      <c r="A312" s="34"/>
      <c r="G312" s="46"/>
      <c r="H312" s="46"/>
      <c r="I312" s="46"/>
      <c r="J312" s="43"/>
      <c r="K312" s="43"/>
      <c r="L312" s="43"/>
    </row>
    <row r="313">
      <c r="A313" s="34"/>
      <c r="G313" s="46"/>
      <c r="H313" s="46"/>
      <c r="I313" s="46"/>
      <c r="J313" s="43"/>
      <c r="K313" s="43"/>
      <c r="L313" s="43"/>
    </row>
    <row r="314">
      <c r="A314" s="34"/>
      <c r="G314" s="46"/>
      <c r="H314" s="46"/>
      <c r="I314" s="46"/>
      <c r="J314" s="43"/>
      <c r="K314" s="43"/>
      <c r="L314" s="43"/>
    </row>
    <row r="315">
      <c r="A315" s="34"/>
      <c r="G315" s="46"/>
      <c r="H315" s="46"/>
      <c r="I315" s="46"/>
      <c r="J315" s="43"/>
      <c r="K315" s="43"/>
      <c r="L315" s="43"/>
    </row>
    <row r="316">
      <c r="A316" s="34"/>
      <c r="G316" s="46"/>
      <c r="H316" s="46"/>
      <c r="I316" s="46"/>
      <c r="J316" s="43"/>
      <c r="K316" s="43"/>
      <c r="L316" s="43"/>
    </row>
    <row r="317">
      <c r="A317" s="34"/>
      <c r="G317" s="46"/>
      <c r="H317" s="46"/>
      <c r="I317" s="46"/>
      <c r="J317" s="43"/>
      <c r="K317" s="43"/>
      <c r="L317" s="43"/>
    </row>
    <row r="318">
      <c r="A318" s="34"/>
      <c r="G318" s="46"/>
      <c r="H318" s="46"/>
      <c r="I318" s="46"/>
      <c r="J318" s="43"/>
      <c r="K318" s="43"/>
      <c r="L318" s="43"/>
    </row>
    <row r="319">
      <c r="A319" s="34"/>
      <c r="G319" s="46"/>
      <c r="H319" s="46"/>
      <c r="I319" s="46"/>
      <c r="J319" s="43"/>
      <c r="K319" s="43"/>
      <c r="L319" s="43"/>
    </row>
    <row r="320">
      <c r="A320" s="34"/>
      <c r="G320" s="46"/>
      <c r="H320" s="46"/>
      <c r="I320" s="46"/>
      <c r="J320" s="43"/>
      <c r="K320" s="43"/>
      <c r="L320" s="43"/>
    </row>
    <row r="321">
      <c r="A321" s="34"/>
      <c r="G321" s="46"/>
      <c r="H321" s="46"/>
      <c r="I321" s="46"/>
      <c r="J321" s="43"/>
      <c r="K321" s="43"/>
      <c r="L321" s="43"/>
    </row>
    <row r="322">
      <c r="A322" s="34"/>
      <c r="G322" s="46"/>
      <c r="H322" s="46"/>
      <c r="I322" s="46"/>
      <c r="J322" s="43"/>
      <c r="K322" s="43"/>
      <c r="L322" s="43"/>
    </row>
    <row r="323">
      <c r="A323" s="34"/>
      <c r="G323" s="46"/>
      <c r="H323" s="46"/>
      <c r="I323" s="46"/>
      <c r="J323" s="43"/>
      <c r="K323" s="43"/>
      <c r="L323" s="43"/>
    </row>
    <row r="324">
      <c r="A324" s="34"/>
      <c r="G324" s="46"/>
      <c r="H324" s="46"/>
      <c r="I324" s="46"/>
      <c r="J324" s="43"/>
      <c r="K324" s="43"/>
      <c r="L324" s="43"/>
    </row>
    <row r="325">
      <c r="A325" s="34"/>
      <c r="G325" s="46"/>
      <c r="H325" s="46"/>
      <c r="I325" s="46"/>
      <c r="J325" s="43"/>
      <c r="K325" s="43"/>
      <c r="L325" s="43"/>
    </row>
    <row r="326">
      <c r="A326" s="34"/>
      <c r="G326" s="46"/>
      <c r="H326" s="46"/>
      <c r="I326" s="46"/>
      <c r="J326" s="43"/>
      <c r="K326" s="43"/>
      <c r="L326" s="43"/>
    </row>
    <row r="327">
      <c r="A327" s="34"/>
      <c r="G327" s="46"/>
      <c r="H327" s="46"/>
      <c r="I327" s="46"/>
      <c r="J327" s="43"/>
      <c r="K327" s="43"/>
      <c r="L327" s="43"/>
    </row>
    <row r="328">
      <c r="A328" s="34"/>
      <c r="G328" s="46"/>
      <c r="H328" s="46"/>
      <c r="I328" s="46"/>
      <c r="J328" s="43"/>
      <c r="K328" s="43"/>
      <c r="L328" s="43"/>
    </row>
    <row r="329">
      <c r="A329" s="34"/>
      <c r="G329" s="46"/>
      <c r="H329" s="46"/>
      <c r="I329" s="46"/>
      <c r="J329" s="43"/>
      <c r="K329" s="43"/>
      <c r="L329" s="43"/>
    </row>
    <row r="330">
      <c r="A330" s="34"/>
      <c r="G330" s="46"/>
      <c r="H330" s="46"/>
      <c r="I330" s="46"/>
      <c r="J330" s="43"/>
      <c r="K330" s="43"/>
      <c r="L330" s="43"/>
    </row>
    <row r="331">
      <c r="A331" s="34"/>
      <c r="G331" s="46"/>
      <c r="H331" s="46"/>
      <c r="I331" s="46"/>
      <c r="J331" s="43"/>
      <c r="K331" s="43"/>
      <c r="L331" s="43"/>
    </row>
    <row r="332">
      <c r="A332" s="34"/>
      <c r="G332" s="46"/>
      <c r="H332" s="46"/>
      <c r="I332" s="46"/>
      <c r="J332" s="43"/>
      <c r="K332" s="43"/>
      <c r="L332" s="43"/>
    </row>
    <row r="333">
      <c r="A333" s="34"/>
      <c r="G333" s="46"/>
      <c r="H333" s="46"/>
      <c r="I333" s="46"/>
      <c r="J333" s="43"/>
      <c r="K333" s="43"/>
      <c r="L333" s="43"/>
    </row>
    <row r="334">
      <c r="A334" s="34"/>
      <c r="G334" s="46"/>
      <c r="H334" s="46"/>
      <c r="I334" s="46"/>
      <c r="J334" s="43"/>
      <c r="K334" s="43"/>
      <c r="L334" s="43"/>
    </row>
    <row r="335">
      <c r="A335" s="34"/>
      <c r="G335" s="46"/>
      <c r="H335" s="46"/>
      <c r="I335" s="46"/>
      <c r="J335" s="43"/>
      <c r="K335" s="43"/>
      <c r="L335" s="43"/>
    </row>
    <row r="336">
      <c r="A336" s="34"/>
      <c r="G336" s="46"/>
      <c r="H336" s="46"/>
      <c r="I336" s="46"/>
      <c r="J336" s="43"/>
      <c r="K336" s="43"/>
      <c r="L336" s="43"/>
    </row>
    <row r="337">
      <c r="A337" s="34"/>
      <c r="G337" s="46"/>
      <c r="H337" s="46"/>
      <c r="I337" s="46"/>
      <c r="J337" s="43"/>
      <c r="K337" s="43"/>
      <c r="L337" s="43"/>
    </row>
    <row r="338">
      <c r="A338" s="34"/>
      <c r="G338" s="46"/>
      <c r="H338" s="46"/>
      <c r="I338" s="46"/>
      <c r="J338" s="43"/>
      <c r="K338" s="43"/>
      <c r="L338" s="43"/>
    </row>
    <row r="339">
      <c r="A339" s="34"/>
      <c r="G339" s="46"/>
      <c r="H339" s="46"/>
      <c r="I339" s="46"/>
      <c r="J339" s="43"/>
      <c r="K339" s="43"/>
      <c r="L339" s="43"/>
    </row>
    <row r="340">
      <c r="A340" s="34"/>
      <c r="G340" s="46"/>
      <c r="H340" s="46"/>
      <c r="I340" s="46"/>
      <c r="J340" s="43"/>
      <c r="K340" s="43"/>
      <c r="L340" s="43"/>
    </row>
    <row r="341">
      <c r="A341" s="34"/>
      <c r="G341" s="46"/>
      <c r="H341" s="46"/>
      <c r="I341" s="46"/>
      <c r="J341" s="43"/>
      <c r="K341" s="43"/>
      <c r="L341" s="43"/>
    </row>
    <row r="342">
      <c r="A342" s="34"/>
      <c r="G342" s="46"/>
      <c r="H342" s="46"/>
      <c r="I342" s="46"/>
      <c r="J342" s="43"/>
      <c r="K342" s="43"/>
      <c r="L342" s="43"/>
    </row>
    <row r="343">
      <c r="A343" s="34"/>
      <c r="G343" s="46"/>
      <c r="H343" s="46"/>
      <c r="I343" s="46"/>
      <c r="J343" s="43"/>
      <c r="K343" s="43"/>
      <c r="L343" s="43"/>
    </row>
    <row r="344">
      <c r="A344" s="34"/>
      <c r="G344" s="46"/>
      <c r="H344" s="46"/>
      <c r="I344" s="46"/>
      <c r="J344" s="43"/>
      <c r="K344" s="43"/>
      <c r="L344" s="43"/>
    </row>
    <row r="345">
      <c r="A345" s="34"/>
      <c r="G345" s="46"/>
      <c r="H345" s="46"/>
      <c r="I345" s="46"/>
      <c r="J345" s="43"/>
      <c r="K345" s="43"/>
      <c r="L345" s="43"/>
    </row>
    <row r="346">
      <c r="A346" s="34"/>
      <c r="G346" s="46"/>
      <c r="H346" s="46"/>
      <c r="I346" s="46"/>
      <c r="J346" s="43"/>
      <c r="K346" s="43"/>
      <c r="L346" s="43"/>
    </row>
    <row r="347">
      <c r="A347" s="34"/>
      <c r="G347" s="46"/>
      <c r="H347" s="46"/>
      <c r="I347" s="46"/>
      <c r="J347" s="43"/>
      <c r="K347" s="43"/>
      <c r="L347" s="43"/>
    </row>
    <row r="348">
      <c r="A348" s="34"/>
      <c r="G348" s="46"/>
      <c r="H348" s="46"/>
      <c r="I348" s="46"/>
      <c r="J348" s="43"/>
      <c r="K348" s="43"/>
      <c r="L348" s="43"/>
    </row>
    <row r="349">
      <c r="A349" s="34"/>
      <c r="G349" s="46"/>
      <c r="H349" s="46"/>
      <c r="I349" s="46"/>
      <c r="J349" s="43"/>
      <c r="K349" s="43"/>
      <c r="L349" s="43"/>
    </row>
    <row r="350">
      <c r="A350" s="34"/>
      <c r="G350" s="46"/>
      <c r="H350" s="46"/>
      <c r="I350" s="46"/>
      <c r="J350" s="43"/>
      <c r="K350" s="43"/>
      <c r="L350" s="43"/>
    </row>
    <row r="351">
      <c r="A351" s="34"/>
      <c r="G351" s="46"/>
      <c r="H351" s="46"/>
      <c r="I351" s="46"/>
      <c r="J351" s="43"/>
      <c r="K351" s="43"/>
      <c r="L351" s="43"/>
    </row>
    <row r="352">
      <c r="A352" s="34"/>
      <c r="G352" s="46"/>
      <c r="H352" s="46"/>
      <c r="I352" s="46"/>
      <c r="J352" s="43"/>
      <c r="K352" s="43"/>
      <c r="L352" s="43"/>
    </row>
    <row r="353">
      <c r="A353" s="34"/>
      <c r="G353" s="46"/>
      <c r="H353" s="46"/>
      <c r="I353" s="46"/>
      <c r="J353" s="43"/>
      <c r="K353" s="43"/>
      <c r="L353" s="43"/>
    </row>
    <row r="354">
      <c r="A354" s="34"/>
      <c r="G354" s="46"/>
      <c r="H354" s="46"/>
      <c r="I354" s="46"/>
      <c r="J354" s="43"/>
      <c r="K354" s="43"/>
      <c r="L354" s="43"/>
    </row>
    <row r="355">
      <c r="A355" s="34"/>
      <c r="G355" s="46"/>
      <c r="H355" s="46"/>
      <c r="I355" s="46"/>
      <c r="J355" s="43"/>
      <c r="K355" s="43"/>
      <c r="L355" s="43"/>
    </row>
    <row r="356">
      <c r="A356" s="34"/>
      <c r="G356" s="46"/>
      <c r="H356" s="46"/>
      <c r="I356" s="46"/>
      <c r="J356" s="43"/>
      <c r="K356" s="43"/>
      <c r="L356" s="43"/>
    </row>
    <row r="357">
      <c r="A357" s="34"/>
      <c r="G357" s="46"/>
      <c r="H357" s="46"/>
      <c r="I357" s="46"/>
      <c r="J357" s="43"/>
      <c r="K357" s="43"/>
      <c r="L357" s="43"/>
    </row>
    <row r="358">
      <c r="A358" s="34"/>
      <c r="G358" s="46"/>
      <c r="H358" s="46"/>
      <c r="I358" s="46"/>
      <c r="J358" s="43"/>
      <c r="K358" s="43"/>
      <c r="L358" s="43"/>
    </row>
    <row r="359">
      <c r="A359" s="34"/>
      <c r="G359" s="46"/>
      <c r="H359" s="46"/>
      <c r="I359" s="46"/>
      <c r="J359" s="43"/>
      <c r="K359" s="43"/>
      <c r="L359" s="43"/>
    </row>
    <row r="360">
      <c r="A360" s="34"/>
      <c r="G360" s="46"/>
      <c r="H360" s="46"/>
      <c r="I360" s="46"/>
      <c r="J360" s="43"/>
      <c r="K360" s="43"/>
      <c r="L360" s="43"/>
    </row>
    <row r="361">
      <c r="A361" s="34"/>
      <c r="G361" s="46"/>
      <c r="H361" s="46"/>
      <c r="I361" s="46"/>
      <c r="J361" s="43"/>
      <c r="K361" s="43"/>
      <c r="L361" s="43"/>
    </row>
    <row r="362">
      <c r="A362" s="34"/>
      <c r="G362" s="46"/>
      <c r="H362" s="46"/>
      <c r="I362" s="46"/>
      <c r="J362" s="43"/>
      <c r="K362" s="43"/>
      <c r="L362" s="43"/>
    </row>
    <row r="363">
      <c r="A363" s="34"/>
      <c r="G363" s="46"/>
      <c r="H363" s="46"/>
      <c r="I363" s="46"/>
      <c r="J363" s="43"/>
      <c r="K363" s="43"/>
      <c r="L363" s="43"/>
    </row>
    <row r="364">
      <c r="A364" s="34"/>
      <c r="G364" s="46"/>
      <c r="H364" s="46"/>
      <c r="I364" s="46"/>
      <c r="J364" s="43"/>
      <c r="K364" s="43"/>
      <c r="L364" s="43"/>
    </row>
    <row r="365">
      <c r="A365" s="34"/>
      <c r="G365" s="46"/>
      <c r="H365" s="46"/>
      <c r="I365" s="46"/>
      <c r="J365" s="43"/>
      <c r="K365" s="43"/>
      <c r="L365" s="43"/>
    </row>
    <row r="366">
      <c r="A366" s="34"/>
      <c r="G366" s="46"/>
      <c r="H366" s="46"/>
      <c r="I366" s="46"/>
      <c r="J366" s="43"/>
      <c r="K366" s="43"/>
      <c r="L366" s="43"/>
    </row>
    <row r="367">
      <c r="A367" s="34"/>
      <c r="G367" s="46"/>
      <c r="H367" s="46"/>
      <c r="I367" s="46"/>
      <c r="J367" s="43"/>
      <c r="K367" s="43"/>
      <c r="L367" s="43"/>
    </row>
    <row r="368">
      <c r="A368" s="34"/>
      <c r="G368" s="46"/>
      <c r="H368" s="46"/>
      <c r="I368" s="46"/>
      <c r="J368" s="43"/>
      <c r="K368" s="43"/>
      <c r="L368" s="43"/>
    </row>
    <row r="369">
      <c r="A369" s="34"/>
      <c r="G369" s="46"/>
      <c r="H369" s="46"/>
      <c r="I369" s="46"/>
      <c r="J369" s="43"/>
      <c r="K369" s="43"/>
      <c r="L369" s="43"/>
    </row>
    <row r="370">
      <c r="A370" s="34"/>
      <c r="G370" s="46"/>
      <c r="H370" s="46"/>
      <c r="I370" s="46"/>
      <c r="J370" s="43"/>
      <c r="K370" s="43"/>
      <c r="L370" s="43"/>
    </row>
    <row r="371">
      <c r="A371" s="34"/>
      <c r="G371" s="46"/>
      <c r="H371" s="46"/>
      <c r="I371" s="46"/>
      <c r="J371" s="43"/>
      <c r="K371" s="43"/>
      <c r="L371" s="43"/>
    </row>
    <row r="372">
      <c r="A372" s="34"/>
      <c r="G372" s="46"/>
      <c r="H372" s="46"/>
      <c r="I372" s="46"/>
      <c r="J372" s="43"/>
      <c r="K372" s="43"/>
      <c r="L372" s="43"/>
    </row>
    <row r="373">
      <c r="A373" s="34"/>
      <c r="G373" s="46"/>
      <c r="H373" s="46"/>
      <c r="I373" s="46"/>
      <c r="J373" s="43"/>
      <c r="K373" s="43"/>
      <c r="L373" s="43"/>
    </row>
    <row r="374">
      <c r="A374" s="34"/>
      <c r="G374" s="46"/>
      <c r="H374" s="46"/>
      <c r="I374" s="46"/>
      <c r="J374" s="43"/>
      <c r="K374" s="43"/>
      <c r="L374" s="43"/>
    </row>
    <row r="375">
      <c r="A375" s="34"/>
      <c r="G375" s="46"/>
      <c r="H375" s="46"/>
      <c r="I375" s="46"/>
      <c r="J375" s="43"/>
      <c r="K375" s="43"/>
      <c r="L375" s="43"/>
    </row>
    <row r="376">
      <c r="A376" s="34"/>
      <c r="G376" s="46"/>
      <c r="H376" s="46"/>
      <c r="I376" s="46"/>
      <c r="J376" s="43"/>
      <c r="K376" s="43"/>
      <c r="L376" s="43"/>
    </row>
    <row r="377">
      <c r="A377" s="34"/>
      <c r="G377" s="46"/>
      <c r="H377" s="46"/>
      <c r="I377" s="46"/>
      <c r="J377" s="43"/>
      <c r="K377" s="43"/>
      <c r="L377" s="43"/>
    </row>
    <row r="378">
      <c r="A378" s="34"/>
      <c r="G378" s="46"/>
      <c r="H378" s="46"/>
      <c r="I378" s="46"/>
      <c r="J378" s="43"/>
      <c r="K378" s="43"/>
      <c r="L378" s="43"/>
    </row>
    <row r="379">
      <c r="A379" s="34"/>
      <c r="G379" s="46"/>
      <c r="H379" s="46"/>
      <c r="I379" s="46"/>
      <c r="J379" s="43"/>
      <c r="K379" s="43"/>
      <c r="L379" s="43"/>
    </row>
    <row r="380">
      <c r="A380" s="34"/>
      <c r="G380" s="46"/>
      <c r="H380" s="46"/>
      <c r="I380" s="46"/>
      <c r="J380" s="43"/>
      <c r="K380" s="43"/>
      <c r="L380" s="43"/>
    </row>
    <row r="381">
      <c r="A381" s="34"/>
      <c r="G381" s="46"/>
      <c r="H381" s="46"/>
      <c r="I381" s="46"/>
      <c r="J381" s="43"/>
      <c r="K381" s="43"/>
      <c r="L381" s="43"/>
    </row>
    <row r="382">
      <c r="A382" s="34"/>
      <c r="G382" s="46"/>
      <c r="H382" s="46"/>
      <c r="I382" s="46"/>
      <c r="J382" s="43"/>
      <c r="K382" s="43"/>
      <c r="L382" s="43"/>
    </row>
    <row r="383">
      <c r="A383" s="34"/>
      <c r="G383" s="46"/>
      <c r="H383" s="46"/>
      <c r="I383" s="46"/>
      <c r="J383" s="43"/>
      <c r="K383" s="43"/>
      <c r="L383" s="43"/>
    </row>
    <row r="384">
      <c r="A384" s="34"/>
      <c r="G384" s="46"/>
      <c r="H384" s="46"/>
      <c r="I384" s="46"/>
      <c r="J384" s="43"/>
      <c r="K384" s="43"/>
      <c r="L384" s="43"/>
    </row>
    <row r="385">
      <c r="A385" s="34"/>
      <c r="G385" s="46"/>
      <c r="H385" s="46"/>
      <c r="I385" s="46"/>
      <c r="J385" s="43"/>
      <c r="K385" s="43"/>
      <c r="L385" s="43"/>
    </row>
    <row r="386">
      <c r="A386" s="34"/>
      <c r="G386" s="46"/>
      <c r="H386" s="46"/>
      <c r="I386" s="46"/>
      <c r="J386" s="43"/>
      <c r="K386" s="43"/>
      <c r="L386" s="43"/>
    </row>
    <row r="387">
      <c r="A387" s="34"/>
      <c r="G387" s="46"/>
      <c r="H387" s="46"/>
      <c r="I387" s="46"/>
      <c r="J387" s="43"/>
      <c r="K387" s="43"/>
      <c r="L387" s="43"/>
    </row>
    <row r="388">
      <c r="A388" s="34"/>
      <c r="G388" s="46"/>
      <c r="H388" s="46"/>
      <c r="I388" s="46"/>
      <c r="J388" s="43"/>
      <c r="K388" s="43"/>
      <c r="L388" s="43"/>
    </row>
    <row r="389">
      <c r="A389" s="34"/>
      <c r="G389" s="46"/>
      <c r="H389" s="46"/>
      <c r="I389" s="46"/>
      <c r="J389" s="43"/>
      <c r="K389" s="43"/>
      <c r="L389" s="43"/>
    </row>
    <row r="390">
      <c r="A390" s="34"/>
      <c r="G390" s="46"/>
      <c r="H390" s="46"/>
      <c r="I390" s="46"/>
      <c r="J390" s="43"/>
      <c r="K390" s="43"/>
      <c r="L390" s="43"/>
    </row>
    <row r="391">
      <c r="A391" s="34"/>
      <c r="G391" s="46"/>
      <c r="H391" s="46"/>
      <c r="I391" s="46"/>
      <c r="J391" s="43"/>
      <c r="K391" s="43"/>
      <c r="L391" s="43"/>
    </row>
    <row r="392">
      <c r="A392" s="34"/>
      <c r="G392" s="46"/>
      <c r="H392" s="46"/>
      <c r="I392" s="46"/>
      <c r="J392" s="43"/>
      <c r="K392" s="43"/>
      <c r="L392" s="43"/>
    </row>
    <row r="393">
      <c r="A393" s="34"/>
      <c r="G393" s="46"/>
      <c r="H393" s="46"/>
      <c r="I393" s="46"/>
      <c r="J393" s="43"/>
      <c r="K393" s="43"/>
      <c r="L393" s="43"/>
    </row>
    <row r="394">
      <c r="A394" s="34"/>
      <c r="G394" s="46"/>
      <c r="H394" s="46"/>
      <c r="I394" s="46"/>
      <c r="J394" s="43"/>
      <c r="K394" s="43"/>
      <c r="L394" s="43"/>
    </row>
    <row r="395">
      <c r="A395" s="34"/>
      <c r="G395" s="46"/>
      <c r="H395" s="46"/>
      <c r="I395" s="46"/>
      <c r="J395" s="43"/>
      <c r="K395" s="43"/>
      <c r="L395" s="43"/>
    </row>
    <row r="396">
      <c r="A396" s="34"/>
      <c r="G396" s="46"/>
      <c r="H396" s="46"/>
      <c r="I396" s="46"/>
      <c r="J396" s="43"/>
      <c r="K396" s="43"/>
      <c r="L396" s="43"/>
    </row>
    <row r="397">
      <c r="A397" s="34"/>
      <c r="G397" s="46"/>
      <c r="H397" s="46"/>
      <c r="I397" s="46"/>
      <c r="J397" s="43"/>
      <c r="K397" s="43"/>
      <c r="L397" s="43"/>
    </row>
    <row r="398">
      <c r="A398" s="34"/>
      <c r="G398" s="46"/>
      <c r="H398" s="46"/>
      <c r="I398" s="46"/>
      <c r="J398" s="43"/>
      <c r="K398" s="43"/>
      <c r="L398" s="43"/>
    </row>
    <row r="399">
      <c r="A399" s="34"/>
      <c r="G399" s="46"/>
      <c r="H399" s="46"/>
      <c r="I399" s="46"/>
      <c r="J399" s="43"/>
      <c r="K399" s="43"/>
      <c r="L399" s="43"/>
    </row>
    <row r="400">
      <c r="A400" s="34"/>
      <c r="G400" s="46"/>
      <c r="H400" s="46"/>
      <c r="I400" s="46"/>
      <c r="J400" s="43"/>
      <c r="K400" s="43"/>
      <c r="L400" s="43"/>
    </row>
    <row r="401">
      <c r="A401" s="34"/>
      <c r="G401" s="46"/>
      <c r="H401" s="46"/>
      <c r="I401" s="46"/>
      <c r="J401" s="43"/>
      <c r="K401" s="43"/>
      <c r="L401" s="43"/>
    </row>
    <row r="402">
      <c r="A402" s="34"/>
      <c r="G402" s="46"/>
      <c r="H402" s="46"/>
      <c r="I402" s="46"/>
      <c r="J402" s="43"/>
      <c r="K402" s="43"/>
      <c r="L402" s="43"/>
    </row>
    <row r="403">
      <c r="A403" s="34"/>
      <c r="G403" s="46"/>
      <c r="H403" s="46"/>
      <c r="I403" s="46"/>
      <c r="J403" s="43"/>
      <c r="K403" s="43"/>
      <c r="L403" s="43"/>
    </row>
    <row r="404">
      <c r="A404" s="34"/>
      <c r="G404" s="46"/>
      <c r="H404" s="46"/>
      <c r="I404" s="46"/>
      <c r="J404" s="43"/>
      <c r="K404" s="43"/>
      <c r="L404" s="43"/>
    </row>
    <row r="405">
      <c r="A405" s="34"/>
      <c r="G405" s="46"/>
      <c r="H405" s="46"/>
      <c r="I405" s="46"/>
      <c r="J405" s="43"/>
      <c r="K405" s="43"/>
      <c r="L405" s="43"/>
    </row>
    <row r="406">
      <c r="A406" s="34"/>
      <c r="G406" s="46"/>
      <c r="H406" s="46"/>
      <c r="I406" s="46"/>
      <c r="J406" s="43"/>
      <c r="K406" s="43"/>
      <c r="L406" s="43"/>
    </row>
    <row r="407">
      <c r="A407" s="34"/>
      <c r="G407" s="46"/>
      <c r="H407" s="46"/>
      <c r="I407" s="46"/>
      <c r="J407" s="43"/>
      <c r="K407" s="43"/>
      <c r="L407" s="43"/>
    </row>
    <row r="408">
      <c r="A408" s="34"/>
      <c r="G408" s="46"/>
      <c r="H408" s="46"/>
      <c r="I408" s="46"/>
      <c r="J408" s="43"/>
      <c r="K408" s="43"/>
      <c r="L408" s="43"/>
    </row>
    <row r="409">
      <c r="A409" s="34"/>
      <c r="G409" s="46"/>
      <c r="H409" s="46"/>
      <c r="I409" s="46"/>
      <c r="J409" s="43"/>
      <c r="K409" s="43"/>
      <c r="L409" s="43"/>
    </row>
    <row r="410">
      <c r="A410" s="34"/>
      <c r="G410" s="46"/>
      <c r="H410" s="46"/>
      <c r="I410" s="46"/>
      <c r="J410" s="43"/>
      <c r="K410" s="43"/>
      <c r="L410" s="43"/>
    </row>
    <row r="411">
      <c r="A411" s="34"/>
      <c r="G411" s="46"/>
      <c r="H411" s="46"/>
      <c r="I411" s="46"/>
      <c r="J411" s="43"/>
      <c r="K411" s="43"/>
      <c r="L411" s="43"/>
    </row>
    <row r="412">
      <c r="A412" s="34"/>
      <c r="G412" s="46"/>
      <c r="H412" s="46"/>
      <c r="I412" s="46"/>
      <c r="J412" s="43"/>
      <c r="K412" s="43"/>
      <c r="L412" s="43"/>
    </row>
    <row r="413">
      <c r="A413" s="34"/>
      <c r="G413" s="46"/>
      <c r="H413" s="46"/>
      <c r="I413" s="46"/>
      <c r="J413" s="43"/>
      <c r="K413" s="43"/>
      <c r="L413" s="43"/>
    </row>
    <row r="414">
      <c r="A414" s="34"/>
      <c r="G414" s="46"/>
      <c r="H414" s="46"/>
      <c r="I414" s="46"/>
      <c r="J414" s="43"/>
      <c r="K414" s="43"/>
      <c r="L414" s="43"/>
    </row>
    <row r="415">
      <c r="A415" s="34"/>
      <c r="G415" s="46"/>
      <c r="H415" s="46"/>
      <c r="I415" s="46"/>
      <c r="J415" s="43"/>
      <c r="K415" s="43"/>
      <c r="L415" s="43"/>
    </row>
    <row r="416">
      <c r="A416" s="34"/>
      <c r="G416" s="46"/>
      <c r="H416" s="46"/>
      <c r="I416" s="46"/>
      <c r="J416" s="43"/>
      <c r="K416" s="43"/>
      <c r="L416" s="43"/>
    </row>
    <row r="417">
      <c r="A417" s="34"/>
      <c r="G417" s="46"/>
      <c r="H417" s="46"/>
      <c r="I417" s="46"/>
      <c r="J417" s="43"/>
      <c r="K417" s="43"/>
      <c r="L417" s="43"/>
    </row>
    <row r="418">
      <c r="A418" s="34"/>
      <c r="G418" s="46"/>
      <c r="H418" s="46"/>
      <c r="I418" s="46"/>
      <c r="J418" s="43"/>
      <c r="K418" s="43"/>
      <c r="L418" s="43"/>
    </row>
    <row r="419">
      <c r="A419" s="34"/>
      <c r="G419" s="46"/>
      <c r="H419" s="46"/>
      <c r="I419" s="46"/>
      <c r="J419" s="43"/>
      <c r="K419" s="43"/>
      <c r="L419" s="43"/>
    </row>
    <row r="420">
      <c r="A420" s="34"/>
      <c r="G420" s="46"/>
      <c r="H420" s="46"/>
      <c r="I420" s="46"/>
      <c r="J420" s="43"/>
      <c r="K420" s="43"/>
      <c r="L420" s="43"/>
    </row>
    <row r="421">
      <c r="A421" s="34"/>
      <c r="G421" s="46"/>
      <c r="H421" s="46"/>
      <c r="I421" s="46"/>
      <c r="J421" s="43"/>
      <c r="K421" s="43"/>
      <c r="L421" s="43"/>
    </row>
    <row r="422">
      <c r="A422" s="34"/>
      <c r="G422" s="46"/>
      <c r="H422" s="46"/>
      <c r="I422" s="46"/>
      <c r="J422" s="43"/>
      <c r="K422" s="43"/>
      <c r="L422" s="43"/>
    </row>
    <row r="423">
      <c r="A423" s="34"/>
      <c r="G423" s="46"/>
      <c r="H423" s="46"/>
      <c r="I423" s="46"/>
      <c r="J423" s="43"/>
      <c r="K423" s="43"/>
      <c r="L423" s="43"/>
    </row>
    <row r="424">
      <c r="A424" s="34"/>
      <c r="G424" s="46"/>
      <c r="H424" s="46"/>
      <c r="I424" s="46"/>
      <c r="J424" s="43"/>
      <c r="K424" s="43"/>
      <c r="L424" s="43"/>
    </row>
    <row r="425">
      <c r="A425" s="34"/>
      <c r="G425" s="46"/>
      <c r="H425" s="46"/>
      <c r="I425" s="46"/>
      <c r="J425" s="43"/>
      <c r="K425" s="43"/>
      <c r="L425" s="43"/>
    </row>
    <row r="426">
      <c r="A426" s="34"/>
      <c r="G426" s="46"/>
      <c r="H426" s="46"/>
      <c r="I426" s="46"/>
      <c r="J426" s="43"/>
      <c r="K426" s="43"/>
      <c r="L426" s="43"/>
    </row>
    <row r="427">
      <c r="A427" s="34"/>
      <c r="G427" s="46"/>
      <c r="H427" s="46"/>
      <c r="I427" s="46"/>
      <c r="J427" s="43"/>
      <c r="K427" s="43"/>
      <c r="L427" s="43"/>
    </row>
    <row r="428">
      <c r="A428" s="34"/>
      <c r="G428" s="46"/>
      <c r="H428" s="46"/>
      <c r="I428" s="46"/>
      <c r="J428" s="43"/>
      <c r="K428" s="43"/>
      <c r="L428" s="43"/>
    </row>
    <row r="429">
      <c r="A429" s="34"/>
      <c r="G429" s="46"/>
      <c r="H429" s="46"/>
      <c r="I429" s="46"/>
      <c r="J429" s="43"/>
      <c r="K429" s="43"/>
      <c r="L429" s="43"/>
    </row>
    <row r="430">
      <c r="A430" s="34"/>
      <c r="G430" s="46"/>
      <c r="H430" s="46"/>
      <c r="I430" s="46"/>
      <c r="J430" s="43"/>
      <c r="K430" s="43"/>
      <c r="L430" s="43"/>
    </row>
    <row r="431">
      <c r="A431" s="34"/>
      <c r="G431" s="46"/>
      <c r="H431" s="46"/>
      <c r="I431" s="46"/>
      <c r="J431" s="43"/>
      <c r="K431" s="43"/>
      <c r="L431" s="43"/>
    </row>
    <row r="432">
      <c r="A432" s="34"/>
      <c r="G432" s="46"/>
      <c r="H432" s="46"/>
      <c r="I432" s="46"/>
      <c r="J432" s="43"/>
      <c r="K432" s="43"/>
      <c r="L432" s="43"/>
    </row>
    <row r="433">
      <c r="A433" s="34"/>
      <c r="G433" s="46"/>
      <c r="H433" s="46"/>
      <c r="I433" s="46"/>
      <c r="J433" s="43"/>
      <c r="K433" s="43"/>
      <c r="L433" s="43"/>
    </row>
    <row r="434">
      <c r="A434" s="34"/>
      <c r="G434" s="46"/>
      <c r="H434" s="46"/>
      <c r="I434" s="46"/>
      <c r="J434" s="43"/>
      <c r="K434" s="43"/>
      <c r="L434" s="43"/>
    </row>
    <row r="435">
      <c r="A435" s="34"/>
      <c r="G435" s="46"/>
      <c r="H435" s="46"/>
      <c r="I435" s="46"/>
      <c r="J435" s="43"/>
      <c r="K435" s="43"/>
      <c r="L435" s="43"/>
    </row>
    <row r="436">
      <c r="A436" s="34"/>
      <c r="G436" s="46"/>
      <c r="H436" s="46"/>
      <c r="I436" s="46"/>
      <c r="J436" s="43"/>
      <c r="K436" s="43"/>
      <c r="L436" s="43"/>
    </row>
    <row r="437">
      <c r="A437" s="34"/>
      <c r="G437" s="46"/>
      <c r="H437" s="46"/>
      <c r="I437" s="46"/>
      <c r="J437" s="43"/>
      <c r="K437" s="43"/>
      <c r="L437" s="43"/>
    </row>
    <row r="438">
      <c r="A438" s="34"/>
      <c r="G438" s="46"/>
      <c r="H438" s="46"/>
      <c r="I438" s="46"/>
      <c r="J438" s="43"/>
      <c r="K438" s="43"/>
      <c r="L438" s="43"/>
    </row>
    <row r="439">
      <c r="A439" s="34"/>
      <c r="G439" s="46"/>
      <c r="H439" s="46"/>
      <c r="I439" s="46"/>
      <c r="J439" s="43"/>
      <c r="K439" s="43"/>
      <c r="L439" s="43"/>
    </row>
    <row r="440">
      <c r="A440" s="34"/>
      <c r="G440" s="46"/>
      <c r="H440" s="46"/>
      <c r="I440" s="46"/>
      <c r="J440" s="43"/>
      <c r="K440" s="43"/>
      <c r="L440" s="43"/>
    </row>
    <row r="441">
      <c r="A441" s="34"/>
      <c r="G441" s="46"/>
      <c r="H441" s="46"/>
      <c r="I441" s="46"/>
      <c r="J441" s="43"/>
      <c r="K441" s="43"/>
      <c r="L441" s="43"/>
    </row>
    <row r="442">
      <c r="A442" s="34"/>
      <c r="G442" s="46"/>
      <c r="H442" s="46"/>
      <c r="I442" s="46"/>
      <c r="J442" s="43"/>
      <c r="K442" s="43"/>
      <c r="L442" s="43"/>
    </row>
    <row r="443">
      <c r="A443" s="34"/>
      <c r="G443" s="46"/>
      <c r="H443" s="46"/>
      <c r="I443" s="46"/>
      <c r="J443" s="43"/>
      <c r="K443" s="43"/>
      <c r="L443" s="43"/>
    </row>
    <row r="444">
      <c r="A444" s="34"/>
      <c r="G444" s="46"/>
      <c r="H444" s="46"/>
      <c r="I444" s="46"/>
      <c r="J444" s="43"/>
      <c r="K444" s="43"/>
      <c r="L444" s="43"/>
    </row>
    <row r="445">
      <c r="A445" s="34"/>
      <c r="G445" s="46"/>
      <c r="H445" s="46"/>
      <c r="I445" s="46"/>
      <c r="J445" s="43"/>
      <c r="K445" s="43"/>
      <c r="L445" s="43"/>
    </row>
    <row r="446">
      <c r="A446" s="34"/>
      <c r="G446" s="46"/>
      <c r="H446" s="46"/>
      <c r="I446" s="46"/>
      <c r="J446" s="43"/>
      <c r="K446" s="43"/>
      <c r="L446" s="43"/>
    </row>
    <row r="447">
      <c r="A447" s="34"/>
      <c r="G447" s="46"/>
      <c r="H447" s="46"/>
      <c r="I447" s="46"/>
      <c r="J447" s="43"/>
      <c r="K447" s="43"/>
      <c r="L447" s="43"/>
    </row>
    <row r="448">
      <c r="A448" s="34"/>
      <c r="G448" s="46"/>
      <c r="H448" s="46"/>
      <c r="I448" s="46"/>
      <c r="J448" s="43"/>
      <c r="K448" s="43"/>
      <c r="L448" s="43"/>
    </row>
    <row r="449">
      <c r="A449" s="34"/>
      <c r="G449" s="46"/>
      <c r="H449" s="46"/>
      <c r="I449" s="46"/>
      <c r="J449" s="43"/>
      <c r="K449" s="43"/>
      <c r="L449" s="43"/>
    </row>
    <row r="450">
      <c r="A450" s="34"/>
      <c r="G450" s="46"/>
      <c r="H450" s="46"/>
      <c r="I450" s="46"/>
      <c r="J450" s="43"/>
      <c r="K450" s="43"/>
      <c r="L450" s="43"/>
    </row>
    <row r="451">
      <c r="A451" s="34"/>
      <c r="G451" s="46"/>
      <c r="H451" s="46"/>
      <c r="I451" s="46"/>
      <c r="J451" s="43"/>
      <c r="K451" s="43"/>
      <c r="L451" s="43"/>
    </row>
    <row r="452">
      <c r="A452" s="34"/>
      <c r="G452" s="46"/>
      <c r="H452" s="46"/>
      <c r="I452" s="46"/>
      <c r="J452" s="43"/>
      <c r="K452" s="43"/>
      <c r="L452" s="43"/>
    </row>
    <row r="453">
      <c r="A453" s="34"/>
      <c r="G453" s="46"/>
      <c r="H453" s="46"/>
      <c r="I453" s="46"/>
      <c r="J453" s="43"/>
      <c r="K453" s="43"/>
      <c r="L453" s="43"/>
    </row>
    <row r="454">
      <c r="A454" s="34"/>
      <c r="G454" s="46"/>
      <c r="H454" s="46"/>
      <c r="I454" s="46"/>
      <c r="J454" s="43"/>
      <c r="K454" s="43"/>
      <c r="L454" s="43"/>
    </row>
    <row r="455">
      <c r="A455" s="34"/>
      <c r="G455" s="46"/>
      <c r="H455" s="46"/>
      <c r="I455" s="46"/>
      <c r="J455" s="43"/>
      <c r="K455" s="43"/>
      <c r="L455" s="43"/>
    </row>
    <row r="456">
      <c r="A456" s="34"/>
      <c r="G456" s="46"/>
      <c r="H456" s="46"/>
      <c r="I456" s="46"/>
      <c r="J456" s="43"/>
      <c r="K456" s="43"/>
      <c r="L456" s="43"/>
    </row>
    <row r="457">
      <c r="A457" s="34"/>
      <c r="G457" s="46"/>
      <c r="H457" s="46"/>
      <c r="I457" s="46"/>
      <c r="J457" s="43"/>
      <c r="K457" s="43"/>
      <c r="L457" s="43"/>
    </row>
    <row r="458">
      <c r="A458" s="34"/>
      <c r="G458" s="46"/>
      <c r="H458" s="46"/>
      <c r="I458" s="46"/>
      <c r="J458" s="43"/>
      <c r="K458" s="43"/>
      <c r="L458" s="43"/>
    </row>
    <row r="459">
      <c r="A459" s="34"/>
      <c r="G459" s="46"/>
      <c r="H459" s="46"/>
      <c r="I459" s="46"/>
      <c r="J459" s="43"/>
      <c r="K459" s="43"/>
      <c r="L459" s="43"/>
    </row>
    <row r="460">
      <c r="A460" s="34"/>
      <c r="G460" s="46"/>
      <c r="H460" s="46"/>
      <c r="I460" s="46"/>
      <c r="J460" s="43"/>
      <c r="K460" s="43"/>
      <c r="L460" s="43"/>
    </row>
    <row r="461">
      <c r="A461" s="34"/>
      <c r="G461" s="46"/>
      <c r="H461" s="46"/>
      <c r="I461" s="46"/>
      <c r="J461" s="43"/>
      <c r="K461" s="43"/>
      <c r="L461" s="43"/>
    </row>
    <row r="462">
      <c r="A462" s="34"/>
      <c r="G462" s="46"/>
      <c r="H462" s="46"/>
      <c r="I462" s="46"/>
      <c r="J462" s="43"/>
      <c r="K462" s="43"/>
      <c r="L462" s="43"/>
    </row>
    <row r="463">
      <c r="A463" s="34"/>
      <c r="G463" s="46"/>
      <c r="H463" s="46"/>
      <c r="I463" s="46"/>
      <c r="J463" s="43"/>
      <c r="K463" s="43"/>
      <c r="L463" s="43"/>
    </row>
    <row r="464">
      <c r="A464" s="34"/>
      <c r="G464" s="46"/>
      <c r="H464" s="46"/>
      <c r="I464" s="46"/>
      <c r="J464" s="43"/>
      <c r="K464" s="43"/>
      <c r="L464" s="43"/>
    </row>
    <row r="465">
      <c r="A465" s="34"/>
      <c r="G465" s="46"/>
      <c r="H465" s="46"/>
      <c r="I465" s="46"/>
      <c r="J465" s="43"/>
      <c r="K465" s="43"/>
      <c r="L465" s="43"/>
    </row>
    <row r="466">
      <c r="A466" s="34"/>
      <c r="G466" s="46"/>
      <c r="H466" s="46"/>
      <c r="I466" s="46"/>
      <c r="J466" s="43"/>
      <c r="K466" s="43"/>
      <c r="L466" s="43"/>
    </row>
    <row r="467">
      <c r="A467" s="34"/>
      <c r="G467" s="46"/>
      <c r="H467" s="46"/>
      <c r="I467" s="46"/>
      <c r="J467" s="43"/>
      <c r="K467" s="43"/>
      <c r="L467" s="43"/>
    </row>
    <row r="468">
      <c r="A468" s="34"/>
      <c r="G468" s="46"/>
      <c r="H468" s="46"/>
      <c r="I468" s="46"/>
      <c r="J468" s="43"/>
      <c r="K468" s="43"/>
      <c r="L468" s="43"/>
    </row>
    <row r="469">
      <c r="A469" s="34"/>
      <c r="G469" s="46"/>
      <c r="H469" s="46"/>
      <c r="I469" s="46"/>
      <c r="J469" s="43"/>
      <c r="K469" s="43"/>
      <c r="L469" s="43"/>
    </row>
    <row r="470">
      <c r="A470" s="34"/>
      <c r="G470" s="46"/>
      <c r="H470" s="46"/>
      <c r="I470" s="46"/>
      <c r="J470" s="43"/>
      <c r="K470" s="43"/>
      <c r="L470" s="43"/>
    </row>
    <row r="471">
      <c r="A471" s="34"/>
      <c r="G471" s="46"/>
      <c r="H471" s="46"/>
      <c r="I471" s="46"/>
      <c r="J471" s="43"/>
      <c r="K471" s="43"/>
      <c r="L471" s="43"/>
    </row>
    <row r="472">
      <c r="A472" s="34"/>
      <c r="G472" s="46"/>
      <c r="H472" s="46"/>
      <c r="I472" s="46"/>
      <c r="J472" s="43"/>
      <c r="K472" s="43"/>
      <c r="L472" s="43"/>
    </row>
    <row r="473">
      <c r="A473" s="34"/>
      <c r="G473" s="46"/>
      <c r="H473" s="46"/>
      <c r="I473" s="46"/>
      <c r="J473" s="43"/>
      <c r="K473" s="43"/>
      <c r="L473" s="43"/>
    </row>
    <row r="474">
      <c r="A474" s="34"/>
      <c r="G474" s="46"/>
      <c r="H474" s="46"/>
      <c r="I474" s="46"/>
      <c r="J474" s="43"/>
      <c r="K474" s="43"/>
      <c r="L474" s="43"/>
    </row>
    <row r="475">
      <c r="A475" s="34"/>
      <c r="G475" s="46"/>
      <c r="H475" s="46"/>
      <c r="I475" s="46"/>
      <c r="J475" s="43"/>
      <c r="K475" s="43"/>
      <c r="L475" s="43"/>
    </row>
    <row r="476">
      <c r="A476" s="34"/>
      <c r="G476" s="46"/>
      <c r="H476" s="46"/>
      <c r="I476" s="46"/>
      <c r="J476" s="43"/>
      <c r="K476" s="43"/>
      <c r="L476" s="43"/>
    </row>
    <row r="477">
      <c r="A477" s="34"/>
      <c r="G477" s="46"/>
      <c r="H477" s="46"/>
      <c r="I477" s="46"/>
      <c r="J477" s="43"/>
      <c r="K477" s="43"/>
      <c r="L477" s="43"/>
    </row>
    <row r="478">
      <c r="A478" s="34"/>
      <c r="G478" s="46"/>
      <c r="H478" s="46"/>
      <c r="I478" s="46"/>
      <c r="J478" s="43"/>
      <c r="K478" s="43"/>
      <c r="L478" s="43"/>
    </row>
    <row r="479">
      <c r="A479" s="34"/>
      <c r="G479" s="46"/>
      <c r="H479" s="46"/>
      <c r="I479" s="46"/>
      <c r="J479" s="43"/>
      <c r="K479" s="43"/>
      <c r="L479" s="43"/>
    </row>
    <row r="480">
      <c r="A480" s="34"/>
      <c r="G480" s="46"/>
      <c r="H480" s="46"/>
      <c r="I480" s="46"/>
      <c r="J480" s="43"/>
      <c r="K480" s="43"/>
      <c r="L480" s="43"/>
    </row>
    <row r="481">
      <c r="A481" s="34"/>
      <c r="G481" s="46"/>
      <c r="H481" s="46"/>
      <c r="I481" s="46"/>
      <c r="J481" s="43"/>
      <c r="K481" s="43"/>
      <c r="L481" s="43"/>
    </row>
    <row r="482">
      <c r="A482" s="34"/>
      <c r="G482" s="46"/>
      <c r="H482" s="46"/>
      <c r="I482" s="46"/>
      <c r="J482" s="43"/>
      <c r="K482" s="43"/>
      <c r="L482" s="43"/>
    </row>
    <row r="483">
      <c r="A483" s="34"/>
      <c r="G483" s="46"/>
      <c r="H483" s="46"/>
      <c r="I483" s="46"/>
      <c r="J483" s="43"/>
      <c r="K483" s="43"/>
      <c r="L483" s="43"/>
    </row>
    <row r="484">
      <c r="A484" s="34"/>
      <c r="G484" s="46"/>
      <c r="H484" s="46"/>
      <c r="I484" s="46"/>
      <c r="J484" s="43"/>
      <c r="K484" s="43"/>
      <c r="L484" s="43"/>
    </row>
    <row r="485">
      <c r="A485" s="34"/>
      <c r="G485" s="46"/>
      <c r="H485" s="46"/>
      <c r="I485" s="46"/>
      <c r="J485" s="43"/>
      <c r="K485" s="43"/>
      <c r="L485" s="43"/>
    </row>
    <row r="486">
      <c r="A486" s="34"/>
      <c r="G486" s="46"/>
      <c r="H486" s="46"/>
      <c r="I486" s="46"/>
      <c r="J486" s="43"/>
      <c r="K486" s="43"/>
      <c r="L486" s="43"/>
    </row>
    <row r="487">
      <c r="A487" s="34"/>
      <c r="G487" s="46"/>
      <c r="H487" s="46"/>
      <c r="I487" s="46"/>
      <c r="J487" s="43"/>
      <c r="K487" s="43"/>
      <c r="L487" s="43"/>
    </row>
    <row r="488">
      <c r="A488" s="34"/>
      <c r="G488" s="46"/>
      <c r="H488" s="46"/>
      <c r="I488" s="46"/>
      <c r="J488" s="43"/>
      <c r="K488" s="43"/>
      <c r="L488" s="43"/>
    </row>
    <row r="489">
      <c r="A489" s="34"/>
      <c r="G489" s="46"/>
      <c r="H489" s="46"/>
      <c r="I489" s="46"/>
      <c r="J489" s="43"/>
      <c r="K489" s="43"/>
      <c r="L489" s="43"/>
    </row>
    <row r="490">
      <c r="A490" s="34"/>
      <c r="G490" s="46"/>
      <c r="H490" s="46"/>
      <c r="I490" s="46"/>
      <c r="J490" s="43"/>
      <c r="K490" s="43"/>
      <c r="L490" s="43"/>
    </row>
    <row r="491">
      <c r="A491" s="34"/>
      <c r="G491" s="46"/>
      <c r="H491" s="46"/>
      <c r="I491" s="46"/>
      <c r="J491" s="43"/>
      <c r="K491" s="43"/>
      <c r="L491" s="43"/>
    </row>
    <row r="492">
      <c r="A492" s="34"/>
      <c r="G492" s="46"/>
      <c r="H492" s="46"/>
      <c r="I492" s="46"/>
      <c r="J492" s="43"/>
      <c r="K492" s="43"/>
      <c r="L492" s="43"/>
    </row>
    <row r="493">
      <c r="A493" s="34"/>
      <c r="G493" s="46"/>
      <c r="H493" s="46"/>
      <c r="I493" s="46"/>
      <c r="J493" s="43"/>
      <c r="K493" s="43"/>
      <c r="L493" s="43"/>
    </row>
    <row r="494">
      <c r="A494" s="34"/>
      <c r="G494" s="46"/>
      <c r="H494" s="46"/>
      <c r="I494" s="46"/>
      <c r="J494" s="43"/>
      <c r="K494" s="43"/>
      <c r="L494" s="43"/>
    </row>
    <row r="495">
      <c r="A495" s="34"/>
      <c r="G495" s="46"/>
      <c r="H495" s="46"/>
      <c r="I495" s="46"/>
      <c r="J495" s="43"/>
      <c r="K495" s="43"/>
      <c r="L495" s="43"/>
    </row>
    <row r="496">
      <c r="A496" s="34"/>
      <c r="G496" s="46"/>
      <c r="H496" s="46"/>
      <c r="I496" s="46"/>
      <c r="J496" s="43"/>
      <c r="K496" s="43"/>
      <c r="L496" s="43"/>
    </row>
    <row r="497">
      <c r="A497" s="34"/>
      <c r="G497" s="46"/>
      <c r="H497" s="46"/>
      <c r="I497" s="46"/>
      <c r="J497" s="43"/>
      <c r="K497" s="43"/>
      <c r="L497" s="43"/>
    </row>
    <row r="498">
      <c r="A498" s="34"/>
      <c r="G498" s="46"/>
      <c r="H498" s="46"/>
      <c r="I498" s="46"/>
      <c r="J498" s="43"/>
      <c r="K498" s="43"/>
      <c r="L498" s="43"/>
    </row>
    <row r="499">
      <c r="A499" s="34"/>
      <c r="G499" s="46"/>
      <c r="H499" s="46"/>
      <c r="I499" s="46"/>
      <c r="J499" s="43"/>
      <c r="K499" s="43"/>
      <c r="L499" s="43"/>
    </row>
    <row r="500">
      <c r="A500" s="34"/>
      <c r="G500" s="46"/>
      <c r="H500" s="46"/>
      <c r="I500" s="46"/>
      <c r="J500" s="43"/>
      <c r="K500" s="43"/>
      <c r="L500" s="43"/>
    </row>
    <row r="501">
      <c r="A501" s="34"/>
      <c r="G501" s="46"/>
      <c r="H501" s="46"/>
      <c r="I501" s="46"/>
      <c r="J501" s="43"/>
      <c r="K501" s="43"/>
      <c r="L501" s="43"/>
    </row>
    <row r="502">
      <c r="A502" s="34"/>
      <c r="G502" s="46"/>
      <c r="H502" s="46"/>
      <c r="I502" s="46"/>
      <c r="J502" s="43"/>
      <c r="K502" s="43"/>
      <c r="L502" s="43"/>
    </row>
    <row r="503">
      <c r="A503" s="34"/>
      <c r="G503" s="46"/>
      <c r="H503" s="46"/>
      <c r="I503" s="46"/>
      <c r="J503" s="43"/>
      <c r="K503" s="43"/>
      <c r="L503" s="43"/>
    </row>
    <row r="504">
      <c r="A504" s="34"/>
      <c r="G504" s="46"/>
      <c r="H504" s="46"/>
      <c r="I504" s="46"/>
      <c r="J504" s="43"/>
      <c r="K504" s="43"/>
      <c r="L504" s="43"/>
    </row>
    <row r="505">
      <c r="A505" s="34"/>
      <c r="G505" s="46"/>
      <c r="H505" s="46"/>
      <c r="I505" s="46"/>
      <c r="J505" s="43"/>
      <c r="K505" s="43"/>
      <c r="L505" s="43"/>
    </row>
    <row r="506">
      <c r="A506" s="34"/>
      <c r="G506" s="46"/>
      <c r="H506" s="46"/>
      <c r="I506" s="46"/>
      <c r="J506" s="43"/>
      <c r="K506" s="43"/>
      <c r="L506" s="43"/>
    </row>
    <row r="507">
      <c r="A507" s="34"/>
      <c r="G507" s="46"/>
      <c r="H507" s="46"/>
      <c r="I507" s="46"/>
      <c r="J507" s="43"/>
      <c r="K507" s="43"/>
      <c r="L507" s="43"/>
    </row>
    <row r="508">
      <c r="A508" s="34"/>
      <c r="G508" s="46"/>
      <c r="H508" s="46"/>
      <c r="I508" s="46"/>
      <c r="J508" s="43"/>
      <c r="K508" s="43"/>
      <c r="L508" s="43"/>
    </row>
    <row r="509">
      <c r="A509" s="34"/>
      <c r="G509" s="46"/>
      <c r="H509" s="46"/>
      <c r="I509" s="46"/>
      <c r="J509" s="43"/>
      <c r="K509" s="43"/>
      <c r="L509" s="43"/>
    </row>
    <row r="510">
      <c r="A510" s="34"/>
      <c r="G510" s="46"/>
      <c r="H510" s="46"/>
      <c r="I510" s="46"/>
      <c r="J510" s="43"/>
      <c r="K510" s="43"/>
      <c r="L510" s="43"/>
    </row>
    <row r="511">
      <c r="A511" s="34"/>
      <c r="G511" s="46"/>
      <c r="H511" s="46"/>
      <c r="I511" s="46"/>
      <c r="J511" s="43"/>
      <c r="K511" s="43"/>
      <c r="L511" s="43"/>
    </row>
    <row r="512">
      <c r="A512" s="34"/>
      <c r="G512" s="46"/>
      <c r="H512" s="46"/>
      <c r="I512" s="46"/>
      <c r="J512" s="43"/>
      <c r="K512" s="43"/>
      <c r="L512" s="43"/>
    </row>
    <row r="513">
      <c r="A513" s="34"/>
      <c r="G513" s="46"/>
      <c r="H513" s="46"/>
      <c r="I513" s="46"/>
      <c r="J513" s="43"/>
      <c r="K513" s="43"/>
      <c r="L513" s="43"/>
    </row>
    <row r="514">
      <c r="A514" s="34"/>
      <c r="G514" s="46"/>
      <c r="H514" s="46"/>
      <c r="I514" s="46"/>
      <c r="J514" s="43"/>
      <c r="K514" s="43"/>
      <c r="L514" s="43"/>
    </row>
    <row r="515">
      <c r="A515" s="34"/>
      <c r="G515" s="46"/>
      <c r="H515" s="46"/>
      <c r="I515" s="46"/>
      <c r="J515" s="43"/>
      <c r="K515" s="43"/>
      <c r="L515" s="43"/>
    </row>
    <row r="516">
      <c r="A516" s="34"/>
      <c r="G516" s="46"/>
      <c r="H516" s="46"/>
      <c r="I516" s="46"/>
      <c r="J516" s="43"/>
      <c r="K516" s="43"/>
      <c r="L516" s="43"/>
    </row>
    <row r="517">
      <c r="A517" s="34"/>
      <c r="G517" s="46"/>
      <c r="H517" s="46"/>
      <c r="I517" s="46"/>
      <c r="J517" s="43"/>
      <c r="K517" s="43"/>
      <c r="L517" s="43"/>
    </row>
    <row r="518">
      <c r="A518" s="34"/>
      <c r="G518" s="46"/>
      <c r="H518" s="46"/>
      <c r="I518" s="46"/>
      <c r="J518" s="43"/>
      <c r="K518" s="43"/>
      <c r="L518" s="43"/>
    </row>
    <row r="519">
      <c r="A519" s="34"/>
      <c r="G519" s="46"/>
      <c r="H519" s="46"/>
      <c r="I519" s="46"/>
      <c r="J519" s="43"/>
      <c r="K519" s="43"/>
      <c r="L519" s="43"/>
    </row>
    <row r="520">
      <c r="A520" s="34"/>
      <c r="G520" s="46"/>
      <c r="H520" s="46"/>
      <c r="I520" s="46"/>
      <c r="J520" s="43"/>
      <c r="K520" s="43"/>
      <c r="L520" s="43"/>
    </row>
    <row r="521">
      <c r="A521" s="34"/>
      <c r="G521" s="46"/>
      <c r="H521" s="46"/>
      <c r="I521" s="46"/>
      <c r="J521" s="43"/>
      <c r="K521" s="43"/>
      <c r="L521" s="43"/>
    </row>
    <row r="522">
      <c r="A522" s="34"/>
      <c r="G522" s="46"/>
      <c r="H522" s="46"/>
      <c r="I522" s="46"/>
      <c r="J522" s="43"/>
      <c r="K522" s="43"/>
      <c r="L522" s="43"/>
    </row>
    <row r="523">
      <c r="A523" s="34"/>
      <c r="G523" s="46"/>
      <c r="H523" s="46"/>
      <c r="I523" s="46"/>
      <c r="J523" s="43"/>
      <c r="K523" s="43"/>
      <c r="L523" s="43"/>
    </row>
    <row r="524">
      <c r="A524" s="34"/>
      <c r="G524" s="46"/>
      <c r="H524" s="46"/>
      <c r="I524" s="46"/>
      <c r="J524" s="43"/>
      <c r="K524" s="43"/>
      <c r="L524" s="43"/>
    </row>
    <row r="525">
      <c r="A525" s="34"/>
      <c r="G525" s="46"/>
      <c r="H525" s="46"/>
      <c r="I525" s="46"/>
      <c r="J525" s="43"/>
      <c r="K525" s="43"/>
      <c r="L525" s="43"/>
    </row>
    <row r="526">
      <c r="A526" s="34"/>
      <c r="G526" s="46"/>
      <c r="H526" s="46"/>
      <c r="I526" s="46"/>
      <c r="J526" s="43"/>
      <c r="K526" s="43"/>
      <c r="L526" s="43"/>
    </row>
    <row r="527">
      <c r="A527" s="34"/>
      <c r="G527" s="46"/>
      <c r="H527" s="46"/>
      <c r="I527" s="46"/>
      <c r="J527" s="43"/>
      <c r="K527" s="43"/>
      <c r="L527" s="43"/>
    </row>
    <row r="528">
      <c r="A528" s="34"/>
      <c r="G528" s="46"/>
      <c r="H528" s="46"/>
      <c r="I528" s="46"/>
      <c r="J528" s="43"/>
      <c r="K528" s="43"/>
      <c r="L528" s="43"/>
    </row>
    <row r="529">
      <c r="A529" s="34"/>
      <c r="G529" s="46"/>
      <c r="H529" s="46"/>
      <c r="I529" s="46"/>
      <c r="J529" s="43"/>
      <c r="K529" s="43"/>
      <c r="L529" s="43"/>
    </row>
    <row r="530">
      <c r="A530" s="34"/>
      <c r="G530" s="46"/>
      <c r="H530" s="46"/>
      <c r="I530" s="46"/>
      <c r="J530" s="43"/>
      <c r="K530" s="43"/>
      <c r="L530" s="43"/>
    </row>
    <row r="531">
      <c r="A531" s="34"/>
      <c r="G531" s="46"/>
      <c r="H531" s="46"/>
      <c r="I531" s="46"/>
      <c r="J531" s="43"/>
      <c r="K531" s="43"/>
      <c r="L531" s="43"/>
    </row>
    <row r="532">
      <c r="A532" s="34"/>
      <c r="G532" s="46"/>
      <c r="H532" s="46"/>
      <c r="I532" s="46"/>
      <c r="J532" s="43"/>
      <c r="K532" s="43"/>
      <c r="L532" s="43"/>
    </row>
    <row r="533">
      <c r="A533" s="34"/>
      <c r="G533" s="46"/>
      <c r="H533" s="46"/>
      <c r="I533" s="46"/>
      <c r="J533" s="43"/>
      <c r="K533" s="43"/>
      <c r="L533" s="43"/>
    </row>
    <row r="534">
      <c r="A534" s="34"/>
      <c r="G534" s="46"/>
      <c r="H534" s="46"/>
      <c r="I534" s="46"/>
      <c r="J534" s="43"/>
      <c r="K534" s="43"/>
      <c r="L534" s="43"/>
    </row>
    <row r="535">
      <c r="A535" s="34"/>
      <c r="G535" s="46"/>
      <c r="H535" s="46"/>
      <c r="I535" s="46"/>
      <c r="J535" s="43"/>
      <c r="K535" s="43"/>
      <c r="L535" s="43"/>
    </row>
    <row r="536">
      <c r="A536" s="34"/>
      <c r="G536" s="46"/>
      <c r="H536" s="46"/>
      <c r="I536" s="46"/>
      <c r="J536" s="43"/>
      <c r="K536" s="43"/>
      <c r="L536" s="43"/>
    </row>
    <row r="537">
      <c r="A537" s="34"/>
      <c r="G537" s="46"/>
      <c r="H537" s="46"/>
      <c r="I537" s="46"/>
      <c r="J537" s="43"/>
      <c r="K537" s="43"/>
      <c r="L537" s="43"/>
    </row>
    <row r="538">
      <c r="A538" s="34"/>
      <c r="G538" s="46"/>
      <c r="H538" s="46"/>
      <c r="I538" s="46"/>
      <c r="J538" s="43"/>
      <c r="K538" s="43"/>
      <c r="L538" s="43"/>
    </row>
    <row r="539">
      <c r="A539" s="34"/>
      <c r="G539" s="46"/>
      <c r="H539" s="46"/>
      <c r="I539" s="46"/>
      <c r="J539" s="43"/>
      <c r="K539" s="43"/>
      <c r="L539" s="43"/>
    </row>
    <row r="540">
      <c r="A540" s="34"/>
      <c r="G540" s="46"/>
      <c r="H540" s="46"/>
      <c r="I540" s="46"/>
      <c r="J540" s="43"/>
      <c r="K540" s="43"/>
      <c r="L540" s="43"/>
    </row>
    <row r="541">
      <c r="A541" s="34"/>
      <c r="G541" s="46"/>
      <c r="H541" s="46"/>
      <c r="I541" s="46"/>
      <c r="J541" s="43"/>
      <c r="K541" s="43"/>
      <c r="L541" s="43"/>
    </row>
    <row r="542">
      <c r="A542" s="34"/>
      <c r="G542" s="46"/>
      <c r="H542" s="46"/>
      <c r="I542" s="46"/>
      <c r="J542" s="43"/>
      <c r="K542" s="43"/>
      <c r="L542" s="43"/>
    </row>
    <row r="543">
      <c r="A543" s="34"/>
      <c r="G543" s="46"/>
      <c r="H543" s="46"/>
      <c r="I543" s="46"/>
      <c r="J543" s="43"/>
      <c r="K543" s="43"/>
      <c r="L543" s="43"/>
    </row>
    <row r="544">
      <c r="A544" s="34"/>
      <c r="G544" s="46"/>
      <c r="H544" s="46"/>
      <c r="I544" s="46"/>
      <c r="J544" s="43"/>
      <c r="K544" s="43"/>
      <c r="L544" s="43"/>
    </row>
    <row r="545">
      <c r="A545" s="34"/>
      <c r="G545" s="46"/>
      <c r="H545" s="46"/>
      <c r="I545" s="46"/>
      <c r="J545" s="43"/>
      <c r="K545" s="43"/>
      <c r="L545" s="43"/>
    </row>
    <row r="546">
      <c r="A546" s="34"/>
      <c r="G546" s="46"/>
      <c r="H546" s="46"/>
      <c r="I546" s="46"/>
      <c r="J546" s="43"/>
      <c r="K546" s="43"/>
      <c r="L546" s="43"/>
    </row>
    <row r="547">
      <c r="A547" s="34"/>
      <c r="G547" s="46"/>
      <c r="H547" s="46"/>
      <c r="I547" s="46"/>
      <c r="J547" s="43"/>
      <c r="K547" s="43"/>
      <c r="L547" s="43"/>
    </row>
    <row r="548">
      <c r="A548" s="34"/>
      <c r="G548" s="46"/>
      <c r="H548" s="46"/>
      <c r="I548" s="46"/>
      <c r="J548" s="43"/>
      <c r="K548" s="43"/>
      <c r="L548" s="43"/>
    </row>
    <row r="549">
      <c r="A549" s="34"/>
      <c r="G549" s="46"/>
      <c r="H549" s="46"/>
      <c r="I549" s="46"/>
      <c r="J549" s="43"/>
      <c r="K549" s="43"/>
      <c r="L549" s="43"/>
    </row>
    <row r="550">
      <c r="A550" s="34"/>
      <c r="G550" s="46"/>
      <c r="H550" s="46"/>
      <c r="I550" s="46"/>
      <c r="J550" s="43"/>
      <c r="K550" s="43"/>
      <c r="L550" s="43"/>
    </row>
    <row r="551">
      <c r="A551" s="34"/>
      <c r="G551" s="46"/>
      <c r="H551" s="46"/>
      <c r="I551" s="46"/>
      <c r="J551" s="43"/>
      <c r="K551" s="43"/>
      <c r="L551" s="43"/>
    </row>
    <row r="552">
      <c r="A552" s="34"/>
      <c r="G552" s="46"/>
      <c r="H552" s="46"/>
      <c r="I552" s="46"/>
      <c r="J552" s="43"/>
      <c r="K552" s="43"/>
      <c r="L552" s="43"/>
    </row>
    <row r="553">
      <c r="A553" s="34"/>
      <c r="G553" s="46"/>
      <c r="H553" s="46"/>
      <c r="I553" s="46"/>
      <c r="J553" s="43"/>
      <c r="K553" s="43"/>
      <c r="L553" s="43"/>
    </row>
    <row r="554">
      <c r="A554" s="34"/>
      <c r="G554" s="46"/>
      <c r="H554" s="46"/>
      <c r="I554" s="46"/>
      <c r="J554" s="43"/>
      <c r="K554" s="43"/>
      <c r="L554" s="43"/>
    </row>
    <row r="555">
      <c r="A555" s="34"/>
      <c r="G555" s="46"/>
      <c r="H555" s="46"/>
      <c r="I555" s="46"/>
      <c r="J555" s="43"/>
      <c r="K555" s="43"/>
      <c r="L555" s="43"/>
    </row>
    <row r="556">
      <c r="A556" s="34"/>
      <c r="G556" s="46"/>
      <c r="H556" s="46"/>
      <c r="I556" s="46"/>
      <c r="J556" s="43"/>
      <c r="K556" s="43"/>
      <c r="L556" s="43"/>
    </row>
    <row r="557">
      <c r="A557" s="34"/>
      <c r="G557" s="46"/>
      <c r="H557" s="46"/>
      <c r="I557" s="46"/>
      <c r="J557" s="43"/>
      <c r="K557" s="43"/>
      <c r="L557" s="43"/>
    </row>
    <row r="558">
      <c r="A558" s="34"/>
      <c r="G558" s="46"/>
      <c r="H558" s="46"/>
      <c r="I558" s="46"/>
      <c r="J558" s="43"/>
      <c r="K558" s="43"/>
      <c r="L558" s="43"/>
    </row>
    <row r="559">
      <c r="A559" s="34"/>
      <c r="G559" s="46"/>
      <c r="H559" s="46"/>
      <c r="I559" s="46"/>
      <c r="J559" s="43"/>
      <c r="K559" s="43"/>
      <c r="L559" s="43"/>
    </row>
    <row r="560">
      <c r="A560" s="34"/>
      <c r="G560" s="46"/>
      <c r="H560" s="46"/>
      <c r="I560" s="46"/>
      <c r="J560" s="43"/>
      <c r="K560" s="43"/>
      <c r="L560" s="43"/>
    </row>
    <row r="561">
      <c r="A561" s="34"/>
      <c r="G561" s="46"/>
      <c r="H561" s="46"/>
      <c r="I561" s="46"/>
      <c r="J561" s="43"/>
      <c r="K561" s="43"/>
      <c r="L561" s="43"/>
    </row>
    <row r="562">
      <c r="A562" s="34"/>
      <c r="G562" s="46"/>
      <c r="H562" s="46"/>
      <c r="I562" s="46"/>
      <c r="J562" s="43"/>
      <c r="K562" s="43"/>
      <c r="L562" s="43"/>
    </row>
    <row r="563">
      <c r="A563" s="34"/>
      <c r="G563" s="46"/>
      <c r="H563" s="46"/>
      <c r="I563" s="46"/>
      <c r="J563" s="43"/>
      <c r="K563" s="43"/>
      <c r="L563" s="43"/>
    </row>
    <row r="564">
      <c r="A564" s="34"/>
      <c r="G564" s="46"/>
      <c r="H564" s="46"/>
      <c r="I564" s="46"/>
      <c r="J564" s="43"/>
      <c r="K564" s="43"/>
      <c r="L564" s="43"/>
    </row>
    <row r="565">
      <c r="A565" s="34"/>
      <c r="G565" s="46"/>
      <c r="H565" s="46"/>
      <c r="I565" s="46"/>
      <c r="J565" s="43"/>
      <c r="K565" s="43"/>
      <c r="L565" s="43"/>
    </row>
    <row r="566">
      <c r="A566" s="34"/>
      <c r="G566" s="46"/>
      <c r="H566" s="46"/>
      <c r="I566" s="46"/>
      <c r="J566" s="43"/>
      <c r="K566" s="43"/>
      <c r="L566" s="43"/>
    </row>
    <row r="567">
      <c r="A567" s="34"/>
      <c r="G567" s="46"/>
      <c r="H567" s="46"/>
      <c r="I567" s="46"/>
      <c r="J567" s="43"/>
      <c r="K567" s="43"/>
      <c r="L567" s="43"/>
    </row>
    <row r="568">
      <c r="A568" s="34"/>
      <c r="G568" s="46"/>
      <c r="H568" s="46"/>
      <c r="I568" s="46"/>
      <c r="J568" s="43"/>
      <c r="K568" s="43"/>
      <c r="L568" s="43"/>
    </row>
    <row r="569">
      <c r="A569" s="34"/>
      <c r="G569" s="46"/>
      <c r="H569" s="46"/>
      <c r="I569" s="46"/>
      <c r="J569" s="43"/>
      <c r="K569" s="43"/>
      <c r="L569" s="43"/>
    </row>
    <row r="570">
      <c r="A570" s="34"/>
      <c r="G570" s="46"/>
      <c r="H570" s="46"/>
      <c r="I570" s="46"/>
      <c r="J570" s="43"/>
      <c r="K570" s="43"/>
      <c r="L570" s="43"/>
    </row>
    <row r="571">
      <c r="A571" s="34"/>
      <c r="G571" s="46"/>
      <c r="H571" s="46"/>
      <c r="I571" s="46"/>
      <c r="J571" s="43"/>
      <c r="K571" s="43"/>
      <c r="L571" s="43"/>
    </row>
    <row r="572">
      <c r="A572" s="34"/>
      <c r="G572" s="46"/>
      <c r="H572" s="46"/>
      <c r="I572" s="46"/>
      <c r="J572" s="43"/>
      <c r="K572" s="43"/>
      <c r="L572" s="43"/>
    </row>
    <row r="573">
      <c r="A573" s="34"/>
      <c r="G573" s="46"/>
      <c r="H573" s="46"/>
      <c r="I573" s="46"/>
      <c r="J573" s="43"/>
      <c r="K573" s="43"/>
      <c r="L573" s="43"/>
    </row>
    <row r="574">
      <c r="A574" s="34"/>
      <c r="G574" s="46"/>
      <c r="H574" s="46"/>
      <c r="I574" s="46"/>
      <c r="J574" s="43"/>
      <c r="K574" s="43"/>
      <c r="L574" s="43"/>
    </row>
    <row r="575">
      <c r="A575" s="34"/>
      <c r="G575" s="46"/>
      <c r="H575" s="46"/>
      <c r="I575" s="46"/>
      <c r="J575" s="43"/>
      <c r="K575" s="43"/>
      <c r="L575" s="43"/>
    </row>
    <row r="576">
      <c r="A576" s="34"/>
      <c r="G576" s="46"/>
      <c r="H576" s="46"/>
      <c r="I576" s="46"/>
      <c r="J576" s="43"/>
      <c r="K576" s="43"/>
      <c r="L576" s="43"/>
    </row>
    <row r="577">
      <c r="A577" s="34"/>
      <c r="G577" s="46"/>
      <c r="H577" s="46"/>
      <c r="I577" s="46"/>
      <c r="J577" s="43"/>
      <c r="K577" s="43"/>
      <c r="L577" s="43"/>
    </row>
    <row r="578">
      <c r="A578" s="34"/>
      <c r="G578" s="46"/>
      <c r="H578" s="46"/>
      <c r="I578" s="46"/>
      <c r="J578" s="43"/>
      <c r="K578" s="43"/>
      <c r="L578" s="43"/>
    </row>
    <row r="579">
      <c r="A579" s="34"/>
      <c r="G579" s="46"/>
      <c r="H579" s="46"/>
      <c r="I579" s="46"/>
      <c r="J579" s="43"/>
      <c r="K579" s="43"/>
      <c r="L579" s="43"/>
    </row>
    <row r="580">
      <c r="A580" s="34"/>
      <c r="G580" s="46"/>
      <c r="H580" s="46"/>
      <c r="I580" s="46"/>
      <c r="J580" s="43"/>
      <c r="K580" s="43"/>
      <c r="L580" s="43"/>
    </row>
    <row r="581">
      <c r="A581" s="34"/>
      <c r="G581" s="46"/>
      <c r="H581" s="46"/>
      <c r="I581" s="46"/>
      <c r="J581" s="43"/>
      <c r="K581" s="43"/>
      <c r="L581" s="43"/>
    </row>
    <row r="582">
      <c r="A582" s="34"/>
      <c r="G582" s="46"/>
      <c r="H582" s="46"/>
      <c r="I582" s="46"/>
      <c r="J582" s="43"/>
      <c r="K582" s="43"/>
      <c r="L582" s="43"/>
    </row>
    <row r="583">
      <c r="A583" s="34"/>
      <c r="G583" s="46"/>
      <c r="H583" s="46"/>
      <c r="I583" s="46"/>
      <c r="J583" s="43"/>
      <c r="K583" s="43"/>
      <c r="L583" s="43"/>
    </row>
    <row r="584">
      <c r="A584" s="34"/>
      <c r="G584" s="46"/>
      <c r="H584" s="46"/>
      <c r="I584" s="46"/>
      <c r="J584" s="43"/>
      <c r="K584" s="43"/>
      <c r="L584" s="43"/>
    </row>
    <row r="585">
      <c r="A585" s="34"/>
      <c r="G585" s="46"/>
      <c r="H585" s="46"/>
      <c r="I585" s="46"/>
      <c r="J585" s="43"/>
      <c r="K585" s="43"/>
      <c r="L585" s="43"/>
    </row>
    <row r="586">
      <c r="A586" s="34"/>
      <c r="G586" s="46"/>
      <c r="H586" s="46"/>
      <c r="I586" s="46"/>
      <c r="J586" s="43"/>
      <c r="K586" s="43"/>
      <c r="L586" s="43"/>
    </row>
    <row r="587">
      <c r="A587" s="34"/>
      <c r="G587" s="46"/>
      <c r="H587" s="46"/>
      <c r="I587" s="46"/>
      <c r="J587" s="43"/>
      <c r="K587" s="43"/>
      <c r="L587" s="43"/>
    </row>
    <row r="588">
      <c r="A588" s="34"/>
      <c r="G588" s="46"/>
      <c r="H588" s="46"/>
      <c r="I588" s="46"/>
      <c r="J588" s="43"/>
      <c r="K588" s="43"/>
      <c r="L588" s="43"/>
    </row>
    <row r="589">
      <c r="A589" s="34"/>
      <c r="G589" s="46"/>
      <c r="H589" s="46"/>
      <c r="I589" s="46"/>
      <c r="J589" s="43"/>
      <c r="K589" s="43"/>
      <c r="L589" s="43"/>
    </row>
    <row r="590">
      <c r="A590" s="34"/>
      <c r="G590" s="46"/>
      <c r="H590" s="46"/>
      <c r="I590" s="46"/>
      <c r="J590" s="43"/>
      <c r="K590" s="43"/>
      <c r="L590" s="43"/>
    </row>
    <row r="591">
      <c r="A591" s="34"/>
      <c r="G591" s="46"/>
      <c r="H591" s="46"/>
      <c r="I591" s="46"/>
      <c r="J591" s="43"/>
      <c r="K591" s="43"/>
      <c r="L591" s="43"/>
    </row>
    <row r="592">
      <c r="A592" s="34"/>
      <c r="G592" s="46"/>
      <c r="H592" s="46"/>
      <c r="I592" s="46"/>
      <c r="J592" s="43"/>
      <c r="K592" s="43"/>
      <c r="L592" s="43"/>
    </row>
    <row r="593">
      <c r="A593" s="34"/>
      <c r="G593" s="46"/>
      <c r="H593" s="46"/>
      <c r="I593" s="46"/>
      <c r="J593" s="43"/>
      <c r="K593" s="43"/>
      <c r="L593" s="43"/>
    </row>
    <row r="594">
      <c r="A594" s="34"/>
      <c r="G594" s="46"/>
      <c r="H594" s="46"/>
      <c r="I594" s="46"/>
      <c r="J594" s="43"/>
      <c r="K594" s="43"/>
      <c r="L594" s="43"/>
    </row>
    <row r="595">
      <c r="A595" s="34"/>
      <c r="G595" s="46"/>
      <c r="H595" s="46"/>
      <c r="I595" s="46"/>
      <c r="J595" s="43"/>
      <c r="K595" s="43"/>
      <c r="L595" s="43"/>
    </row>
    <row r="596">
      <c r="A596" s="34"/>
      <c r="G596" s="46"/>
      <c r="H596" s="46"/>
      <c r="I596" s="46"/>
      <c r="J596" s="43"/>
      <c r="K596" s="43"/>
      <c r="L596" s="43"/>
    </row>
    <row r="597">
      <c r="A597" s="34"/>
      <c r="G597" s="46"/>
      <c r="H597" s="46"/>
      <c r="I597" s="46"/>
      <c r="J597" s="43"/>
      <c r="K597" s="43"/>
      <c r="L597" s="43"/>
    </row>
    <row r="598">
      <c r="A598" s="34"/>
      <c r="G598" s="46"/>
      <c r="H598" s="46"/>
      <c r="I598" s="46"/>
      <c r="J598" s="43"/>
      <c r="K598" s="43"/>
      <c r="L598" s="43"/>
    </row>
    <row r="599">
      <c r="A599" s="34"/>
      <c r="G599" s="46"/>
      <c r="H599" s="46"/>
      <c r="I599" s="46"/>
      <c r="J599" s="43"/>
      <c r="K599" s="43"/>
      <c r="L599" s="43"/>
    </row>
    <row r="600">
      <c r="A600" s="34"/>
      <c r="G600" s="46"/>
      <c r="H600" s="46"/>
      <c r="I600" s="46"/>
      <c r="J600" s="43"/>
      <c r="K600" s="43"/>
      <c r="L600" s="43"/>
    </row>
    <row r="601">
      <c r="A601" s="34"/>
      <c r="G601" s="46"/>
      <c r="H601" s="46"/>
      <c r="I601" s="46"/>
      <c r="J601" s="43"/>
      <c r="K601" s="43"/>
      <c r="L601" s="43"/>
    </row>
    <row r="602">
      <c r="A602" s="34"/>
      <c r="G602" s="46"/>
      <c r="H602" s="46"/>
      <c r="I602" s="46"/>
      <c r="J602" s="43"/>
      <c r="K602" s="43"/>
      <c r="L602" s="43"/>
    </row>
    <row r="603">
      <c r="A603" s="34"/>
      <c r="G603" s="46"/>
      <c r="H603" s="46"/>
      <c r="I603" s="46"/>
      <c r="J603" s="43"/>
      <c r="K603" s="43"/>
      <c r="L603" s="43"/>
    </row>
    <row r="604">
      <c r="A604" s="34"/>
      <c r="G604" s="46"/>
      <c r="H604" s="46"/>
      <c r="I604" s="46"/>
      <c r="J604" s="43"/>
      <c r="K604" s="43"/>
      <c r="L604" s="43"/>
    </row>
    <row r="605">
      <c r="A605" s="34"/>
      <c r="G605" s="46"/>
      <c r="H605" s="46"/>
      <c r="I605" s="46"/>
      <c r="J605" s="43"/>
      <c r="K605" s="43"/>
      <c r="L605" s="43"/>
    </row>
    <row r="606">
      <c r="A606" s="34"/>
      <c r="G606" s="46"/>
      <c r="H606" s="46"/>
      <c r="I606" s="46"/>
      <c r="J606" s="43"/>
      <c r="K606" s="43"/>
      <c r="L606" s="43"/>
    </row>
    <row r="607">
      <c r="A607" s="34"/>
      <c r="G607" s="46"/>
      <c r="H607" s="46"/>
      <c r="I607" s="46"/>
      <c r="J607" s="43"/>
      <c r="K607" s="43"/>
      <c r="L607" s="43"/>
    </row>
    <row r="608">
      <c r="A608" s="34"/>
      <c r="G608" s="46"/>
      <c r="H608" s="46"/>
      <c r="I608" s="46"/>
      <c r="J608" s="43"/>
      <c r="K608" s="43"/>
      <c r="L608" s="43"/>
    </row>
    <row r="609">
      <c r="A609" s="34"/>
      <c r="G609" s="46"/>
      <c r="H609" s="46"/>
      <c r="I609" s="46"/>
      <c r="J609" s="43"/>
      <c r="K609" s="43"/>
      <c r="L609" s="43"/>
    </row>
    <row r="610">
      <c r="A610" s="34"/>
      <c r="G610" s="46"/>
      <c r="H610" s="46"/>
      <c r="I610" s="46"/>
      <c r="J610" s="43"/>
      <c r="K610" s="43"/>
      <c r="L610" s="43"/>
    </row>
    <row r="611">
      <c r="A611" s="34"/>
      <c r="G611" s="46"/>
      <c r="H611" s="46"/>
      <c r="I611" s="46"/>
      <c r="J611" s="43"/>
      <c r="K611" s="43"/>
      <c r="L611" s="43"/>
    </row>
    <row r="612">
      <c r="A612" s="34"/>
      <c r="G612" s="46"/>
      <c r="H612" s="46"/>
      <c r="I612" s="46"/>
      <c r="J612" s="43"/>
      <c r="K612" s="43"/>
      <c r="L612" s="43"/>
    </row>
    <row r="613">
      <c r="A613" s="34"/>
      <c r="G613" s="46"/>
      <c r="H613" s="46"/>
      <c r="I613" s="46"/>
      <c r="J613" s="43"/>
      <c r="K613" s="43"/>
      <c r="L613" s="43"/>
    </row>
    <row r="614">
      <c r="A614" s="34"/>
      <c r="G614" s="46"/>
      <c r="H614" s="46"/>
      <c r="I614" s="46"/>
      <c r="J614" s="43"/>
      <c r="K614" s="43"/>
      <c r="L614" s="43"/>
    </row>
    <row r="615">
      <c r="A615" s="34"/>
      <c r="G615" s="46"/>
      <c r="H615" s="46"/>
      <c r="I615" s="46"/>
      <c r="J615" s="43"/>
      <c r="K615" s="43"/>
      <c r="L615" s="43"/>
    </row>
    <row r="616">
      <c r="A616" s="34"/>
      <c r="G616" s="46"/>
      <c r="H616" s="46"/>
      <c r="I616" s="46"/>
      <c r="J616" s="43"/>
      <c r="K616" s="43"/>
      <c r="L616" s="43"/>
    </row>
    <row r="617">
      <c r="A617" s="34"/>
      <c r="G617" s="46"/>
      <c r="H617" s="46"/>
      <c r="I617" s="46"/>
      <c r="J617" s="43"/>
      <c r="K617" s="43"/>
      <c r="L617" s="43"/>
    </row>
    <row r="618">
      <c r="A618" s="34"/>
      <c r="G618" s="46"/>
      <c r="H618" s="46"/>
      <c r="I618" s="46"/>
      <c r="J618" s="43"/>
      <c r="K618" s="43"/>
      <c r="L618" s="43"/>
    </row>
    <row r="619">
      <c r="A619" s="34"/>
      <c r="G619" s="46"/>
      <c r="H619" s="46"/>
      <c r="I619" s="46"/>
      <c r="J619" s="43"/>
      <c r="K619" s="43"/>
      <c r="L619" s="43"/>
    </row>
    <row r="620">
      <c r="A620" s="34"/>
      <c r="G620" s="46"/>
      <c r="H620" s="46"/>
      <c r="I620" s="46"/>
      <c r="J620" s="43"/>
      <c r="K620" s="43"/>
      <c r="L620" s="43"/>
    </row>
    <row r="621">
      <c r="A621" s="34"/>
      <c r="G621" s="46"/>
      <c r="H621" s="46"/>
      <c r="I621" s="46"/>
      <c r="J621" s="43"/>
      <c r="K621" s="43"/>
      <c r="L621" s="43"/>
    </row>
    <row r="622">
      <c r="A622" s="34"/>
      <c r="G622" s="46"/>
      <c r="H622" s="46"/>
      <c r="I622" s="46"/>
      <c r="J622" s="43"/>
      <c r="K622" s="43"/>
      <c r="L622" s="43"/>
    </row>
    <row r="623">
      <c r="A623" s="34"/>
      <c r="G623" s="46"/>
      <c r="H623" s="46"/>
      <c r="I623" s="46"/>
      <c r="J623" s="43"/>
      <c r="K623" s="43"/>
      <c r="L623" s="43"/>
    </row>
    <row r="624">
      <c r="A624" s="34"/>
      <c r="G624" s="46"/>
      <c r="H624" s="46"/>
      <c r="I624" s="46"/>
      <c r="J624" s="43"/>
      <c r="K624" s="43"/>
      <c r="L624" s="43"/>
    </row>
    <row r="625">
      <c r="A625" s="34"/>
      <c r="G625" s="46"/>
      <c r="H625" s="46"/>
      <c r="I625" s="46"/>
      <c r="J625" s="43"/>
      <c r="K625" s="43"/>
      <c r="L625" s="43"/>
    </row>
    <row r="626">
      <c r="A626" s="34"/>
      <c r="G626" s="46"/>
      <c r="H626" s="46"/>
      <c r="I626" s="46"/>
      <c r="J626" s="43"/>
      <c r="K626" s="43"/>
      <c r="L626" s="43"/>
    </row>
    <row r="627">
      <c r="A627" s="34"/>
      <c r="G627" s="46"/>
      <c r="H627" s="46"/>
      <c r="I627" s="46"/>
      <c r="J627" s="43"/>
      <c r="K627" s="43"/>
      <c r="L627" s="43"/>
    </row>
    <row r="628">
      <c r="A628" s="34"/>
      <c r="G628" s="46"/>
      <c r="H628" s="46"/>
      <c r="I628" s="46"/>
      <c r="J628" s="43"/>
      <c r="K628" s="43"/>
      <c r="L628" s="43"/>
    </row>
    <row r="629">
      <c r="A629" s="34"/>
      <c r="G629" s="46"/>
      <c r="H629" s="46"/>
      <c r="I629" s="46"/>
      <c r="J629" s="43"/>
      <c r="K629" s="43"/>
      <c r="L629" s="43"/>
    </row>
    <row r="630">
      <c r="A630" s="34"/>
      <c r="G630" s="46"/>
      <c r="H630" s="46"/>
      <c r="I630" s="46"/>
      <c r="J630" s="43"/>
      <c r="K630" s="43"/>
      <c r="L630" s="43"/>
    </row>
    <row r="631">
      <c r="A631" s="34"/>
      <c r="G631" s="46"/>
      <c r="H631" s="46"/>
      <c r="I631" s="46"/>
      <c r="J631" s="43"/>
      <c r="K631" s="43"/>
      <c r="L631" s="43"/>
    </row>
    <row r="632">
      <c r="A632" s="34"/>
      <c r="G632" s="46"/>
      <c r="H632" s="46"/>
      <c r="I632" s="46"/>
      <c r="J632" s="43"/>
      <c r="K632" s="43"/>
      <c r="L632" s="43"/>
    </row>
    <row r="633">
      <c r="A633" s="34"/>
      <c r="G633" s="46"/>
      <c r="H633" s="46"/>
      <c r="I633" s="46"/>
      <c r="J633" s="43"/>
      <c r="K633" s="43"/>
      <c r="L633" s="43"/>
    </row>
    <row r="634">
      <c r="A634" s="34"/>
      <c r="G634" s="46"/>
      <c r="H634" s="46"/>
      <c r="I634" s="46"/>
      <c r="J634" s="43"/>
      <c r="K634" s="43"/>
      <c r="L634" s="43"/>
    </row>
    <row r="635">
      <c r="A635" s="34"/>
      <c r="G635" s="46"/>
      <c r="H635" s="46"/>
      <c r="I635" s="46"/>
      <c r="J635" s="43"/>
      <c r="K635" s="43"/>
      <c r="L635" s="43"/>
    </row>
    <row r="636">
      <c r="A636" s="34"/>
      <c r="G636" s="46"/>
      <c r="H636" s="46"/>
      <c r="I636" s="46"/>
      <c r="J636" s="43"/>
      <c r="K636" s="43"/>
      <c r="L636" s="43"/>
    </row>
    <row r="637">
      <c r="A637" s="34"/>
      <c r="G637" s="46"/>
      <c r="H637" s="46"/>
      <c r="I637" s="46"/>
      <c r="J637" s="43"/>
      <c r="K637" s="43"/>
      <c r="L637" s="43"/>
    </row>
    <row r="638">
      <c r="A638" s="34"/>
      <c r="G638" s="46"/>
      <c r="H638" s="46"/>
      <c r="I638" s="46"/>
      <c r="J638" s="43"/>
      <c r="K638" s="43"/>
      <c r="L638" s="43"/>
    </row>
    <row r="639">
      <c r="A639" s="34"/>
      <c r="G639" s="46"/>
      <c r="H639" s="46"/>
      <c r="I639" s="46"/>
      <c r="J639" s="43"/>
      <c r="K639" s="43"/>
      <c r="L639" s="43"/>
    </row>
    <row r="640">
      <c r="A640" s="34"/>
      <c r="G640" s="46"/>
      <c r="H640" s="46"/>
      <c r="I640" s="46"/>
      <c r="J640" s="43"/>
      <c r="K640" s="43"/>
      <c r="L640" s="43"/>
    </row>
    <row r="641">
      <c r="A641" s="34"/>
      <c r="G641" s="46"/>
      <c r="H641" s="46"/>
      <c r="I641" s="46"/>
      <c r="J641" s="43"/>
      <c r="K641" s="43"/>
      <c r="L641" s="43"/>
    </row>
    <row r="642">
      <c r="A642" s="34"/>
      <c r="G642" s="46"/>
      <c r="H642" s="46"/>
      <c r="I642" s="46"/>
      <c r="J642" s="43"/>
      <c r="K642" s="43"/>
      <c r="L642" s="43"/>
    </row>
    <row r="643">
      <c r="A643" s="34"/>
      <c r="G643" s="46"/>
      <c r="H643" s="46"/>
      <c r="I643" s="46"/>
      <c r="J643" s="43"/>
      <c r="K643" s="43"/>
      <c r="L643" s="43"/>
    </row>
    <row r="644">
      <c r="A644" s="34"/>
      <c r="G644" s="46"/>
      <c r="H644" s="46"/>
      <c r="I644" s="46"/>
      <c r="J644" s="43"/>
      <c r="K644" s="43"/>
      <c r="L644" s="43"/>
    </row>
    <row r="645">
      <c r="A645" s="34"/>
      <c r="G645" s="46"/>
      <c r="H645" s="46"/>
      <c r="I645" s="46"/>
      <c r="J645" s="43"/>
      <c r="K645" s="43"/>
      <c r="L645" s="43"/>
    </row>
    <row r="646">
      <c r="A646" s="34"/>
      <c r="G646" s="46"/>
      <c r="H646" s="46"/>
      <c r="I646" s="46"/>
      <c r="J646" s="43"/>
      <c r="K646" s="43"/>
      <c r="L646" s="43"/>
    </row>
    <row r="647">
      <c r="A647" s="34"/>
      <c r="G647" s="46"/>
      <c r="H647" s="46"/>
      <c r="I647" s="46"/>
      <c r="J647" s="43"/>
      <c r="K647" s="43"/>
      <c r="L647" s="43"/>
    </row>
    <row r="648">
      <c r="A648" s="34"/>
      <c r="G648" s="46"/>
      <c r="H648" s="46"/>
      <c r="I648" s="46"/>
      <c r="J648" s="43"/>
      <c r="K648" s="43"/>
      <c r="L648" s="43"/>
    </row>
    <row r="649">
      <c r="A649" s="34"/>
      <c r="G649" s="46"/>
      <c r="H649" s="46"/>
      <c r="I649" s="46"/>
      <c r="J649" s="43"/>
      <c r="K649" s="43"/>
      <c r="L649" s="43"/>
    </row>
    <row r="650">
      <c r="A650" s="34"/>
      <c r="G650" s="46"/>
      <c r="H650" s="46"/>
      <c r="I650" s="46"/>
      <c r="J650" s="43"/>
      <c r="K650" s="43"/>
      <c r="L650" s="43"/>
    </row>
    <row r="651">
      <c r="A651" s="34"/>
      <c r="G651" s="46"/>
      <c r="H651" s="46"/>
      <c r="I651" s="46"/>
      <c r="J651" s="43"/>
      <c r="K651" s="43"/>
      <c r="L651" s="43"/>
    </row>
    <row r="652">
      <c r="A652" s="34"/>
      <c r="G652" s="46"/>
      <c r="H652" s="46"/>
      <c r="I652" s="46"/>
      <c r="J652" s="43"/>
      <c r="K652" s="43"/>
      <c r="L652" s="43"/>
    </row>
    <row r="653">
      <c r="A653" s="34"/>
      <c r="G653" s="46"/>
      <c r="H653" s="46"/>
      <c r="I653" s="46"/>
      <c r="J653" s="43"/>
      <c r="K653" s="43"/>
      <c r="L653" s="43"/>
    </row>
    <row r="654">
      <c r="A654" s="34"/>
      <c r="G654" s="46"/>
      <c r="H654" s="46"/>
      <c r="I654" s="46"/>
      <c r="J654" s="43"/>
      <c r="K654" s="43"/>
      <c r="L654" s="43"/>
    </row>
    <row r="655">
      <c r="A655" s="34"/>
      <c r="G655" s="46"/>
      <c r="H655" s="46"/>
      <c r="I655" s="46"/>
      <c r="J655" s="43"/>
      <c r="K655" s="43"/>
      <c r="L655" s="43"/>
    </row>
    <row r="656">
      <c r="A656" s="34"/>
      <c r="G656" s="46"/>
      <c r="H656" s="46"/>
      <c r="I656" s="46"/>
      <c r="J656" s="43"/>
      <c r="K656" s="43"/>
      <c r="L656" s="43"/>
    </row>
    <row r="657">
      <c r="A657" s="34"/>
      <c r="G657" s="46"/>
      <c r="H657" s="46"/>
      <c r="I657" s="46"/>
      <c r="J657" s="43"/>
      <c r="K657" s="43"/>
      <c r="L657" s="43"/>
    </row>
    <row r="658">
      <c r="A658" s="34"/>
      <c r="G658" s="46"/>
      <c r="H658" s="46"/>
      <c r="I658" s="46"/>
      <c r="J658" s="43"/>
      <c r="K658" s="43"/>
      <c r="L658" s="43"/>
    </row>
    <row r="659">
      <c r="A659" s="34"/>
      <c r="G659" s="46"/>
      <c r="H659" s="46"/>
      <c r="I659" s="46"/>
      <c r="J659" s="43"/>
      <c r="K659" s="43"/>
      <c r="L659" s="43"/>
    </row>
    <row r="660">
      <c r="A660" s="34"/>
      <c r="G660" s="46"/>
      <c r="H660" s="46"/>
      <c r="I660" s="46"/>
      <c r="J660" s="43"/>
      <c r="K660" s="43"/>
      <c r="L660" s="43"/>
    </row>
    <row r="661">
      <c r="A661" s="34"/>
      <c r="G661" s="46"/>
      <c r="H661" s="46"/>
      <c r="I661" s="46"/>
      <c r="J661" s="43"/>
      <c r="K661" s="43"/>
      <c r="L661" s="43"/>
    </row>
    <row r="662">
      <c r="A662" s="34"/>
      <c r="G662" s="46"/>
      <c r="H662" s="46"/>
      <c r="I662" s="46"/>
      <c r="J662" s="43"/>
      <c r="K662" s="43"/>
      <c r="L662" s="43"/>
    </row>
    <row r="663">
      <c r="A663" s="34"/>
      <c r="G663" s="46"/>
      <c r="H663" s="46"/>
      <c r="I663" s="46"/>
      <c r="J663" s="43"/>
      <c r="K663" s="43"/>
      <c r="L663" s="43"/>
    </row>
    <row r="664">
      <c r="A664" s="34"/>
      <c r="G664" s="46"/>
      <c r="H664" s="46"/>
      <c r="I664" s="46"/>
      <c r="J664" s="43"/>
      <c r="K664" s="43"/>
      <c r="L664" s="43"/>
    </row>
    <row r="665">
      <c r="A665" s="34"/>
      <c r="G665" s="46"/>
      <c r="H665" s="46"/>
      <c r="I665" s="46"/>
      <c r="J665" s="43"/>
      <c r="K665" s="43"/>
      <c r="L665" s="43"/>
    </row>
    <row r="666">
      <c r="A666" s="34"/>
      <c r="G666" s="46"/>
      <c r="H666" s="46"/>
      <c r="I666" s="46"/>
      <c r="J666" s="43"/>
      <c r="K666" s="43"/>
      <c r="L666" s="43"/>
    </row>
    <row r="667">
      <c r="A667" s="34"/>
      <c r="G667" s="46"/>
      <c r="H667" s="46"/>
      <c r="I667" s="46"/>
      <c r="J667" s="43"/>
      <c r="K667" s="43"/>
      <c r="L667" s="43"/>
    </row>
    <row r="668">
      <c r="A668" s="34"/>
      <c r="G668" s="46"/>
      <c r="H668" s="46"/>
      <c r="I668" s="46"/>
      <c r="J668" s="43"/>
      <c r="K668" s="43"/>
      <c r="L668" s="43"/>
    </row>
    <row r="669">
      <c r="A669" s="34"/>
      <c r="G669" s="46"/>
      <c r="H669" s="46"/>
      <c r="I669" s="46"/>
      <c r="J669" s="43"/>
      <c r="K669" s="43"/>
      <c r="L669" s="43"/>
    </row>
    <row r="670">
      <c r="A670" s="34"/>
      <c r="G670" s="46"/>
      <c r="H670" s="46"/>
      <c r="I670" s="46"/>
      <c r="J670" s="43"/>
      <c r="K670" s="43"/>
      <c r="L670" s="43"/>
    </row>
    <row r="671">
      <c r="A671" s="34"/>
      <c r="G671" s="46"/>
      <c r="H671" s="46"/>
      <c r="I671" s="46"/>
      <c r="J671" s="43"/>
      <c r="K671" s="43"/>
      <c r="L671" s="43"/>
    </row>
    <row r="672">
      <c r="A672" s="34"/>
      <c r="G672" s="46"/>
      <c r="H672" s="46"/>
      <c r="I672" s="46"/>
      <c r="J672" s="43"/>
      <c r="K672" s="43"/>
      <c r="L672" s="43"/>
    </row>
    <row r="673">
      <c r="A673" s="34"/>
      <c r="G673" s="46"/>
      <c r="H673" s="46"/>
      <c r="I673" s="46"/>
      <c r="J673" s="43"/>
      <c r="K673" s="43"/>
      <c r="L673" s="43"/>
    </row>
    <row r="674">
      <c r="A674" s="34"/>
      <c r="G674" s="46"/>
      <c r="H674" s="46"/>
      <c r="I674" s="46"/>
      <c r="J674" s="43"/>
      <c r="K674" s="43"/>
      <c r="L674" s="43"/>
    </row>
    <row r="675">
      <c r="A675" s="34"/>
      <c r="G675" s="46"/>
      <c r="H675" s="46"/>
      <c r="I675" s="46"/>
      <c r="J675" s="43"/>
      <c r="K675" s="43"/>
      <c r="L675" s="43"/>
    </row>
    <row r="676">
      <c r="A676" s="34"/>
      <c r="G676" s="46"/>
      <c r="H676" s="46"/>
      <c r="I676" s="46"/>
      <c r="J676" s="43"/>
      <c r="K676" s="43"/>
      <c r="L676" s="43"/>
    </row>
    <row r="677">
      <c r="A677" s="34"/>
      <c r="G677" s="46"/>
      <c r="H677" s="46"/>
      <c r="I677" s="46"/>
      <c r="J677" s="43"/>
      <c r="K677" s="43"/>
      <c r="L677" s="43"/>
    </row>
    <row r="678">
      <c r="A678" s="34"/>
      <c r="G678" s="46"/>
      <c r="H678" s="46"/>
      <c r="I678" s="46"/>
      <c r="J678" s="43"/>
      <c r="K678" s="43"/>
      <c r="L678" s="43"/>
    </row>
    <row r="679">
      <c r="A679" s="34"/>
      <c r="G679" s="46"/>
      <c r="H679" s="46"/>
      <c r="I679" s="46"/>
      <c r="J679" s="43"/>
      <c r="K679" s="43"/>
      <c r="L679" s="43"/>
    </row>
    <row r="680">
      <c r="A680" s="34"/>
      <c r="G680" s="46"/>
      <c r="H680" s="46"/>
      <c r="I680" s="46"/>
      <c r="J680" s="43"/>
      <c r="K680" s="43"/>
      <c r="L680" s="43"/>
    </row>
    <row r="681">
      <c r="A681" s="34"/>
      <c r="G681" s="46"/>
      <c r="H681" s="46"/>
      <c r="I681" s="46"/>
      <c r="J681" s="43"/>
      <c r="K681" s="43"/>
      <c r="L681" s="43"/>
    </row>
    <row r="682">
      <c r="A682" s="34"/>
      <c r="G682" s="46"/>
      <c r="H682" s="46"/>
      <c r="I682" s="46"/>
      <c r="J682" s="43"/>
      <c r="K682" s="43"/>
      <c r="L682" s="43"/>
    </row>
    <row r="683">
      <c r="A683" s="34"/>
      <c r="G683" s="46"/>
      <c r="H683" s="46"/>
      <c r="I683" s="46"/>
      <c r="J683" s="43"/>
      <c r="K683" s="43"/>
      <c r="L683" s="43"/>
    </row>
    <row r="684">
      <c r="A684" s="34"/>
      <c r="G684" s="46"/>
      <c r="H684" s="46"/>
      <c r="I684" s="46"/>
      <c r="J684" s="43"/>
      <c r="K684" s="43"/>
      <c r="L684" s="43"/>
    </row>
    <row r="685">
      <c r="A685" s="34"/>
      <c r="G685" s="46"/>
      <c r="H685" s="46"/>
      <c r="I685" s="46"/>
      <c r="J685" s="43"/>
      <c r="K685" s="43"/>
      <c r="L685" s="43"/>
    </row>
    <row r="686">
      <c r="A686" s="34"/>
      <c r="G686" s="46"/>
      <c r="H686" s="46"/>
      <c r="I686" s="46"/>
      <c r="J686" s="43"/>
      <c r="K686" s="43"/>
      <c r="L686" s="43"/>
    </row>
    <row r="687">
      <c r="A687" s="34"/>
      <c r="G687" s="46"/>
      <c r="H687" s="46"/>
      <c r="I687" s="46"/>
      <c r="J687" s="43"/>
      <c r="K687" s="43"/>
      <c r="L687" s="43"/>
    </row>
    <row r="688">
      <c r="A688" s="34"/>
      <c r="G688" s="46"/>
      <c r="H688" s="46"/>
      <c r="I688" s="46"/>
      <c r="J688" s="43"/>
      <c r="K688" s="43"/>
      <c r="L688" s="43"/>
    </row>
    <row r="689">
      <c r="A689" s="34"/>
      <c r="G689" s="46"/>
      <c r="H689" s="46"/>
      <c r="I689" s="46"/>
      <c r="J689" s="43"/>
      <c r="K689" s="43"/>
      <c r="L689" s="43"/>
    </row>
    <row r="690">
      <c r="A690" s="34"/>
      <c r="G690" s="46"/>
      <c r="H690" s="46"/>
      <c r="I690" s="46"/>
      <c r="J690" s="43"/>
      <c r="K690" s="43"/>
      <c r="L690" s="43"/>
    </row>
    <row r="691">
      <c r="A691" s="34"/>
      <c r="G691" s="46"/>
      <c r="H691" s="46"/>
      <c r="I691" s="46"/>
      <c r="J691" s="43"/>
      <c r="K691" s="43"/>
      <c r="L691" s="43"/>
    </row>
    <row r="692">
      <c r="A692" s="34"/>
      <c r="G692" s="46"/>
      <c r="H692" s="46"/>
      <c r="I692" s="46"/>
      <c r="J692" s="43"/>
      <c r="K692" s="43"/>
      <c r="L692" s="43"/>
    </row>
    <row r="693">
      <c r="A693" s="34"/>
      <c r="G693" s="46"/>
      <c r="H693" s="46"/>
      <c r="I693" s="46"/>
      <c r="J693" s="43"/>
      <c r="K693" s="43"/>
      <c r="L693" s="43"/>
    </row>
    <row r="694">
      <c r="A694" s="34"/>
      <c r="G694" s="46"/>
      <c r="H694" s="46"/>
      <c r="I694" s="46"/>
      <c r="J694" s="43"/>
      <c r="K694" s="43"/>
      <c r="L694" s="43"/>
    </row>
    <row r="695">
      <c r="A695" s="34"/>
      <c r="G695" s="46"/>
      <c r="H695" s="46"/>
      <c r="I695" s="46"/>
      <c r="J695" s="43"/>
      <c r="K695" s="43"/>
      <c r="L695" s="43"/>
    </row>
    <row r="696">
      <c r="A696" s="34"/>
      <c r="G696" s="46"/>
      <c r="H696" s="46"/>
      <c r="I696" s="46"/>
      <c r="J696" s="43"/>
      <c r="K696" s="43"/>
      <c r="L696" s="43"/>
    </row>
    <row r="697">
      <c r="A697" s="34"/>
      <c r="G697" s="46"/>
      <c r="H697" s="46"/>
      <c r="I697" s="46"/>
      <c r="J697" s="43"/>
      <c r="K697" s="43"/>
      <c r="L697" s="43"/>
    </row>
    <row r="698">
      <c r="A698" s="34"/>
      <c r="G698" s="46"/>
      <c r="H698" s="46"/>
      <c r="I698" s="46"/>
      <c r="J698" s="43"/>
      <c r="K698" s="43"/>
      <c r="L698" s="43"/>
    </row>
    <row r="699">
      <c r="A699" s="34"/>
      <c r="G699" s="46"/>
      <c r="H699" s="46"/>
      <c r="I699" s="46"/>
      <c r="J699" s="43"/>
      <c r="K699" s="43"/>
      <c r="L699" s="43"/>
    </row>
    <row r="700">
      <c r="A700" s="34"/>
      <c r="G700" s="46"/>
      <c r="H700" s="46"/>
      <c r="I700" s="46"/>
      <c r="J700" s="43"/>
      <c r="K700" s="43"/>
      <c r="L700" s="43"/>
    </row>
    <row r="701">
      <c r="A701" s="34"/>
      <c r="G701" s="46"/>
      <c r="H701" s="46"/>
      <c r="I701" s="46"/>
      <c r="J701" s="43"/>
      <c r="K701" s="43"/>
      <c r="L701" s="43"/>
    </row>
    <row r="702">
      <c r="A702" s="34"/>
      <c r="G702" s="46"/>
      <c r="H702" s="46"/>
      <c r="I702" s="46"/>
      <c r="J702" s="43"/>
      <c r="K702" s="43"/>
      <c r="L702" s="43"/>
    </row>
    <row r="703">
      <c r="A703" s="34"/>
      <c r="G703" s="46"/>
      <c r="H703" s="46"/>
      <c r="I703" s="46"/>
      <c r="J703" s="43"/>
      <c r="K703" s="43"/>
      <c r="L703" s="43"/>
    </row>
    <row r="704">
      <c r="A704" s="34"/>
      <c r="G704" s="46"/>
      <c r="H704" s="46"/>
      <c r="I704" s="46"/>
      <c r="J704" s="43"/>
      <c r="K704" s="43"/>
      <c r="L704" s="43"/>
    </row>
    <row r="705">
      <c r="A705" s="34"/>
      <c r="G705" s="46"/>
      <c r="H705" s="46"/>
      <c r="I705" s="46"/>
      <c r="J705" s="43"/>
      <c r="K705" s="43"/>
      <c r="L705" s="43"/>
    </row>
    <row r="706">
      <c r="A706" s="34"/>
      <c r="G706" s="46"/>
      <c r="H706" s="46"/>
      <c r="I706" s="46"/>
      <c r="J706" s="43"/>
      <c r="K706" s="43"/>
      <c r="L706" s="43"/>
    </row>
    <row r="707">
      <c r="A707" s="34"/>
      <c r="G707" s="46"/>
      <c r="H707" s="46"/>
      <c r="I707" s="46"/>
      <c r="J707" s="43"/>
      <c r="K707" s="43"/>
      <c r="L707" s="43"/>
    </row>
    <row r="708">
      <c r="A708" s="34"/>
      <c r="G708" s="46"/>
      <c r="H708" s="46"/>
      <c r="I708" s="46"/>
      <c r="J708" s="43"/>
      <c r="K708" s="43"/>
      <c r="L708" s="43"/>
    </row>
    <row r="709">
      <c r="A709" s="34"/>
      <c r="G709" s="46"/>
      <c r="H709" s="46"/>
      <c r="I709" s="46"/>
      <c r="J709" s="43"/>
      <c r="K709" s="43"/>
      <c r="L709" s="43"/>
    </row>
    <row r="710">
      <c r="A710" s="34"/>
      <c r="G710" s="46"/>
      <c r="H710" s="46"/>
      <c r="I710" s="46"/>
      <c r="J710" s="43"/>
      <c r="K710" s="43"/>
      <c r="L710" s="43"/>
    </row>
    <row r="711">
      <c r="A711" s="34"/>
      <c r="G711" s="46"/>
      <c r="H711" s="46"/>
      <c r="I711" s="46"/>
      <c r="J711" s="43"/>
      <c r="K711" s="43"/>
      <c r="L711" s="43"/>
    </row>
    <row r="712">
      <c r="A712" s="34"/>
      <c r="G712" s="46"/>
      <c r="H712" s="46"/>
      <c r="I712" s="46"/>
      <c r="J712" s="43"/>
      <c r="K712" s="43"/>
      <c r="L712" s="43"/>
    </row>
    <row r="713">
      <c r="A713" s="34"/>
      <c r="G713" s="46"/>
      <c r="H713" s="46"/>
      <c r="I713" s="46"/>
      <c r="J713" s="43"/>
      <c r="K713" s="43"/>
      <c r="L713" s="43"/>
    </row>
    <row r="714">
      <c r="A714" s="34"/>
      <c r="G714" s="46"/>
      <c r="H714" s="46"/>
      <c r="I714" s="46"/>
      <c r="J714" s="43"/>
      <c r="K714" s="43"/>
      <c r="L714" s="43"/>
    </row>
    <row r="715">
      <c r="A715" s="34"/>
      <c r="G715" s="46"/>
      <c r="H715" s="46"/>
      <c r="I715" s="46"/>
      <c r="J715" s="43"/>
      <c r="K715" s="43"/>
      <c r="L715" s="43"/>
    </row>
    <row r="716">
      <c r="A716" s="34"/>
      <c r="G716" s="46"/>
      <c r="H716" s="46"/>
      <c r="I716" s="46"/>
      <c r="J716" s="43"/>
      <c r="K716" s="43"/>
      <c r="L716" s="43"/>
    </row>
    <row r="717">
      <c r="A717" s="34"/>
      <c r="G717" s="46"/>
      <c r="H717" s="46"/>
      <c r="I717" s="46"/>
      <c r="J717" s="43"/>
      <c r="K717" s="43"/>
      <c r="L717" s="43"/>
    </row>
    <row r="718">
      <c r="A718" s="34"/>
      <c r="G718" s="46"/>
      <c r="H718" s="46"/>
      <c r="I718" s="46"/>
      <c r="J718" s="43"/>
      <c r="K718" s="43"/>
      <c r="L718" s="43"/>
    </row>
    <row r="719">
      <c r="A719" s="34"/>
      <c r="G719" s="46"/>
      <c r="H719" s="46"/>
      <c r="I719" s="46"/>
      <c r="J719" s="43"/>
      <c r="K719" s="43"/>
      <c r="L719" s="43"/>
    </row>
    <row r="720">
      <c r="A720" s="34"/>
      <c r="G720" s="46"/>
      <c r="H720" s="46"/>
      <c r="I720" s="46"/>
      <c r="J720" s="43"/>
      <c r="K720" s="43"/>
      <c r="L720" s="43"/>
    </row>
    <row r="721">
      <c r="A721" s="34"/>
      <c r="G721" s="46"/>
      <c r="H721" s="46"/>
      <c r="I721" s="46"/>
      <c r="J721" s="43"/>
      <c r="K721" s="43"/>
      <c r="L721" s="43"/>
    </row>
    <row r="722">
      <c r="A722" s="34"/>
      <c r="G722" s="46"/>
      <c r="H722" s="46"/>
      <c r="I722" s="46"/>
      <c r="J722" s="43"/>
      <c r="K722" s="43"/>
      <c r="L722" s="43"/>
    </row>
    <row r="723">
      <c r="A723" s="34"/>
      <c r="G723" s="46"/>
      <c r="H723" s="46"/>
      <c r="I723" s="46"/>
      <c r="J723" s="43"/>
      <c r="K723" s="43"/>
      <c r="L723" s="43"/>
    </row>
    <row r="724">
      <c r="A724" s="34"/>
      <c r="G724" s="46"/>
      <c r="H724" s="46"/>
      <c r="I724" s="46"/>
      <c r="J724" s="43"/>
      <c r="K724" s="43"/>
      <c r="L724" s="43"/>
    </row>
    <row r="725">
      <c r="A725" s="34"/>
      <c r="G725" s="46"/>
      <c r="H725" s="46"/>
      <c r="I725" s="46"/>
      <c r="J725" s="43"/>
      <c r="K725" s="43"/>
      <c r="L725" s="43"/>
    </row>
    <row r="726">
      <c r="A726" s="34"/>
      <c r="G726" s="46"/>
      <c r="H726" s="46"/>
      <c r="I726" s="46"/>
      <c r="J726" s="43"/>
      <c r="K726" s="43"/>
      <c r="L726" s="43"/>
    </row>
    <row r="727">
      <c r="A727" s="34"/>
      <c r="G727" s="46"/>
      <c r="H727" s="46"/>
      <c r="I727" s="46"/>
      <c r="J727" s="43"/>
      <c r="K727" s="43"/>
      <c r="L727" s="43"/>
    </row>
    <row r="728">
      <c r="A728" s="34"/>
      <c r="G728" s="46"/>
      <c r="H728" s="46"/>
      <c r="I728" s="46"/>
      <c r="J728" s="43"/>
      <c r="K728" s="43"/>
      <c r="L728" s="43"/>
    </row>
    <row r="729">
      <c r="A729" s="34"/>
      <c r="G729" s="46"/>
      <c r="H729" s="46"/>
      <c r="I729" s="46"/>
      <c r="J729" s="43"/>
      <c r="K729" s="43"/>
      <c r="L729" s="43"/>
    </row>
    <row r="730">
      <c r="A730" s="34"/>
      <c r="G730" s="46"/>
      <c r="H730" s="46"/>
      <c r="I730" s="46"/>
      <c r="J730" s="43"/>
      <c r="K730" s="43"/>
      <c r="L730" s="43"/>
    </row>
    <row r="731">
      <c r="A731" s="34"/>
      <c r="G731" s="46"/>
      <c r="H731" s="46"/>
      <c r="I731" s="46"/>
      <c r="J731" s="43"/>
      <c r="K731" s="43"/>
      <c r="L731" s="43"/>
    </row>
    <row r="732">
      <c r="A732" s="34"/>
      <c r="G732" s="46"/>
      <c r="H732" s="46"/>
      <c r="I732" s="46"/>
      <c r="J732" s="43"/>
      <c r="K732" s="43"/>
      <c r="L732" s="43"/>
    </row>
    <row r="733">
      <c r="A733" s="34"/>
      <c r="G733" s="46"/>
      <c r="H733" s="46"/>
      <c r="I733" s="46"/>
      <c r="J733" s="43"/>
      <c r="K733" s="43"/>
      <c r="L733" s="43"/>
    </row>
    <row r="734">
      <c r="A734" s="34"/>
      <c r="G734" s="46"/>
      <c r="H734" s="46"/>
      <c r="I734" s="46"/>
      <c r="J734" s="43"/>
      <c r="K734" s="43"/>
      <c r="L734" s="43"/>
    </row>
    <row r="735">
      <c r="A735" s="34"/>
      <c r="G735" s="46"/>
      <c r="H735" s="46"/>
      <c r="I735" s="46"/>
      <c r="J735" s="43"/>
      <c r="K735" s="43"/>
      <c r="L735" s="43"/>
    </row>
    <row r="736">
      <c r="A736" s="34"/>
      <c r="G736" s="46"/>
      <c r="H736" s="46"/>
      <c r="I736" s="46"/>
      <c r="J736" s="43"/>
      <c r="K736" s="43"/>
      <c r="L736" s="43"/>
    </row>
    <row r="737">
      <c r="A737" s="34"/>
      <c r="G737" s="46"/>
      <c r="H737" s="46"/>
      <c r="I737" s="46"/>
      <c r="J737" s="43"/>
      <c r="K737" s="43"/>
      <c r="L737" s="43"/>
    </row>
    <row r="738">
      <c r="A738" s="34"/>
      <c r="G738" s="46"/>
      <c r="H738" s="46"/>
      <c r="I738" s="46"/>
      <c r="J738" s="43"/>
      <c r="K738" s="43"/>
      <c r="L738" s="43"/>
    </row>
    <row r="739">
      <c r="A739" s="34"/>
      <c r="G739" s="46"/>
      <c r="H739" s="46"/>
      <c r="I739" s="46"/>
      <c r="J739" s="43"/>
      <c r="K739" s="43"/>
      <c r="L739" s="43"/>
    </row>
    <row r="740">
      <c r="A740" s="34"/>
      <c r="G740" s="46"/>
      <c r="H740" s="46"/>
      <c r="I740" s="46"/>
      <c r="J740" s="43"/>
      <c r="K740" s="43"/>
      <c r="L740" s="43"/>
    </row>
    <row r="741">
      <c r="A741" s="34"/>
      <c r="G741" s="46"/>
      <c r="H741" s="46"/>
      <c r="I741" s="46"/>
      <c r="J741" s="43"/>
      <c r="K741" s="43"/>
      <c r="L741" s="43"/>
    </row>
    <row r="742">
      <c r="A742" s="34"/>
      <c r="G742" s="46"/>
      <c r="H742" s="46"/>
      <c r="I742" s="46"/>
      <c r="J742" s="43"/>
      <c r="K742" s="43"/>
      <c r="L742" s="43"/>
    </row>
    <row r="743">
      <c r="A743" s="34"/>
      <c r="G743" s="46"/>
      <c r="H743" s="46"/>
      <c r="I743" s="46"/>
      <c r="J743" s="43"/>
      <c r="K743" s="43"/>
      <c r="L743" s="43"/>
    </row>
    <row r="744">
      <c r="A744" s="34"/>
      <c r="G744" s="46"/>
      <c r="H744" s="46"/>
      <c r="I744" s="46"/>
      <c r="J744" s="43"/>
      <c r="K744" s="43"/>
      <c r="L744" s="43"/>
    </row>
    <row r="745">
      <c r="A745" s="34"/>
      <c r="G745" s="46"/>
      <c r="H745" s="46"/>
      <c r="I745" s="46"/>
      <c r="J745" s="43"/>
      <c r="K745" s="43"/>
      <c r="L745" s="43"/>
    </row>
    <row r="746">
      <c r="A746" s="34"/>
      <c r="G746" s="46"/>
      <c r="H746" s="46"/>
      <c r="I746" s="46"/>
      <c r="J746" s="43"/>
      <c r="K746" s="43"/>
      <c r="L746" s="43"/>
    </row>
    <row r="747">
      <c r="A747" s="34"/>
      <c r="G747" s="46"/>
      <c r="H747" s="46"/>
      <c r="I747" s="46"/>
      <c r="J747" s="43"/>
      <c r="K747" s="43"/>
      <c r="L747" s="43"/>
    </row>
    <row r="748">
      <c r="A748" s="34"/>
      <c r="G748" s="46"/>
      <c r="H748" s="46"/>
      <c r="I748" s="46"/>
      <c r="J748" s="43"/>
      <c r="K748" s="43"/>
      <c r="L748" s="43"/>
    </row>
    <row r="749">
      <c r="A749" s="34"/>
      <c r="G749" s="46"/>
      <c r="H749" s="46"/>
      <c r="I749" s="46"/>
      <c r="J749" s="43"/>
      <c r="K749" s="43"/>
      <c r="L749" s="43"/>
    </row>
    <row r="750">
      <c r="A750" s="34"/>
      <c r="G750" s="46"/>
      <c r="H750" s="46"/>
      <c r="I750" s="46"/>
      <c r="J750" s="43"/>
      <c r="K750" s="43"/>
      <c r="L750" s="43"/>
    </row>
    <row r="751">
      <c r="A751" s="34"/>
      <c r="G751" s="46"/>
      <c r="H751" s="46"/>
      <c r="I751" s="46"/>
      <c r="J751" s="43"/>
      <c r="K751" s="43"/>
      <c r="L751" s="43"/>
    </row>
    <row r="752">
      <c r="A752" s="34"/>
      <c r="G752" s="46"/>
      <c r="H752" s="46"/>
      <c r="I752" s="46"/>
      <c r="J752" s="43"/>
      <c r="K752" s="43"/>
      <c r="L752" s="43"/>
    </row>
    <row r="753">
      <c r="A753" s="34"/>
      <c r="G753" s="46"/>
      <c r="H753" s="46"/>
      <c r="I753" s="46"/>
      <c r="J753" s="43"/>
      <c r="K753" s="43"/>
      <c r="L753" s="43"/>
    </row>
    <row r="754">
      <c r="A754" s="34"/>
      <c r="G754" s="46"/>
      <c r="H754" s="46"/>
      <c r="I754" s="46"/>
      <c r="J754" s="43"/>
      <c r="K754" s="43"/>
      <c r="L754" s="43"/>
    </row>
    <row r="755">
      <c r="A755" s="34"/>
      <c r="G755" s="46"/>
      <c r="H755" s="46"/>
      <c r="I755" s="46"/>
      <c r="J755" s="43"/>
      <c r="K755" s="43"/>
      <c r="L755" s="43"/>
    </row>
    <row r="756">
      <c r="A756" s="34"/>
      <c r="G756" s="46"/>
      <c r="H756" s="46"/>
      <c r="I756" s="46"/>
      <c r="J756" s="43"/>
      <c r="K756" s="43"/>
      <c r="L756" s="43"/>
    </row>
    <row r="757">
      <c r="A757" s="34"/>
      <c r="G757" s="46"/>
      <c r="H757" s="46"/>
      <c r="I757" s="46"/>
      <c r="J757" s="43"/>
      <c r="K757" s="43"/>
      <c r="L757" s="43"/>
    </row>
    <row r="758">
      <c r="A758" s="34"/>
      <c r="G758" s="46"/>
      <c r="H758" s="46"/>
      <c r="I758" s="46"/>
      <c r="J758" s="43"/>
      <c r="K758" s="43"/>
      <c r="L758" s="43"/>
    </row>
    <row r="759">
      <c r="A759" s="34"/>
      <c r="G759" s="46"/>
      <c r="H759" s="46"/>
      <c r="I759" s="46"/>
      <c r="J759" s="43"/>
      <c r="K759" s="43"/>
      <c r="L759" s="43"/>
    </row>
    <row r="760">
      <c r="A760" s="34"/>
      <c r="G760" s="46"/>
      <c r="H760" s="46"/>
      <c r="I760" s="46"/>
      <c r="J760" s="43"/>
      <c r="K760" s="43"/>
      <c r="L760" s="43"/>
    </row>
    <row r="761">
      <c r="A761" s="34"/>
      <c r="G761" s="46"/>
      <c r="H761" s="46"/>
      <c r="I761" s="46"/>
      <c r="J761" s="43"/>
      <c r="K761" s="43"/>
      <c r="L761" s="43"/>
    </row>
    <row r="762">
      <c r="A762" s="34"/>
      <c r="G762" s="46"/>
      <c r="H762" s="46"/>
      <c r="I762" s="46"/>
      <c r="J762" s="43"/>
      <c r="K762" s="43"/>
      <c r="L762" s="43"/>
    </row>
    <row r="763">
      <c r="A763" s="34"/>
      <c r="G763" s="46"/>
      <c r="H763" s="46"/>
      <c r="I763" s="46"/>
      <c r="J763" s="43"/>
      <c r="K763" s="43"/>
      <c r="L763" s="43"/>
    </row>
    <row r="764">
      <c r="A764" s="34"/>
      <c r="G764" s="46"/>
      <c r="H764" s="46"/>
      <c r="I764" s="46"/>
      <c r="J764" s="43"/>
      <c r="K764" s="43"/>
      <c r="L764" s="43"/>
    </row>
    <row r="765">
      <c r="A765" s="34"/>
      <c r="G765" s="46"/>
      <c r="H765" s="46"/>
      <c r="I765" s="46"/>
      <c r="J765" s="43"/>
      <c r="K765" s="43"/>
      <c r="L765" s="43"/>
    </row>
    <row r="766">
      <c r="A766" s="34"/>
      <c r="G766" s="46"/>
      <c r="H766" s="46"/>
      <c r="I766" s="46"/>
      <c r="J766" s="43"/>
      <c r="K766" s="43"/>
      <c r="L766" s="43"/>
    </row>
    <row r="767">
      <c r="A767" s="34"/>
      <c r="G767" s="46"/>
      <c r="H767" s="46"/>
      <c r="I767" s="46"/>
      <c r="J767" s="43"/>
      <c r="K767" s="43"/>
      <c r="L767" s="43"/>
    </row>
    <row r="768">
      <c r="A768" s="34"/>
      <c r="G768" s="46"/>
      <c r="H768" s="46"/>
      <c r="I768" s="46"/>
      <c r="J768" s="43"/>
      <c r="K768" s="43"/>
      <c r="L768" s="43"/>
    </row>
    <row r="769">
      <c r="A769" s="34"/>
      <c r="G769" s="46"/>
      <c r="H769" s="46"/>
      <c r="I769" s="46"/>
      <c r="J769" s="43"/>
      <c r="K769" s="43"/>
      <c r="L769" s="43"/>
    </row>
    <row r="770">
      <c r="A770" s="34"/>
      <c r="G770" s="46"/>
      <c r="H770" s="46"/>
      <c r="I770" s="46"/>
      <c r="J770" s="43"/>
      <c r="K770" s="43"/>
      <c r="L770" s="43"/>
    </row>
    <row r="771">
      <c r="A771" s="34"/>
      <c r="G771" s="46"/>
      <c r="H771" s="46"/>
      <c r="I771" s="46"/>
      <c r="J771" s="43"/>
      <c r="K771" s="43"/>
      <c r="L771" s="43"/>
    </row>
    <row r="772">
      <c r="A772" s="34"/>
      <c r="G772" s="46"/>
      <c r="H772" s="46"/>
      <c r="I772" s="46"/>
      <c r="J772" s="43"/>
      <c r="K772" s="43"/>
      <c r="L772" s="43"/>
    </row>
    <row r="773">
      <c r="A773" s="34"/>
      <c r="G773" s="46"/>
      <c r="H773" s="46"/>
      <c r="I773" s="46"/>
      <c r="J773" s="43"/>
      <c r="K773" s="43"/>
      <c r="L773" s="43"/>
    </row>
    <row r="774">
      <c r="A774" s="34"/>
      <c r="G774" s="46"/>
      <c r="H774" s="46"/>
      <c r="I774" s="46"/>
      <c r="J774" s="43"/>
      <c r="K774" s="43"/>
      <c r="L774" s="43"/>
    </row>
    <row r="775">
      <c r="A775" s="34"/>
      <c r="G775" s="46"/>
      <c r="H775" s="46"/>
      <c r="I775" s="46"/>
      <c r="J775" s="43"/>
      <c r="K775" s="43"/>
      <c r="L775" s="43"/>
    </row>
    <row r="776">
      <c r="A776" s="34"/>
      <c r="G776" s="46"/>
      <c r="H776" s="46"/>
      <c r="I776" s="46"/>
      <c r="J776" s="43"/>
      <c r="K776" s="43"/>
      <c r="L776" s="43"/>
    </row>
    <row r="777">
      <c r="A777" s="34"/>
      <c r="G777" s="46"/>
      <c r="H777" s="46"/>
      <c r="I777" s="46"/>
      <c r="J777" s="43"/>
      <c r="K777" s="43"/>
      <c r="L777" s="43"/>
    </row>
    <row r="778">
      <c r="A778" s="34"/>
      <c r="G778" s="46"/>
      <c r="H778" s="46"/>
      <c r="I778" s="46"/>
      <c r="J778" s="43"/>
      <c r="K778" s="43"/>
      <c r="L778" s="43"/>
    </row>
    <row r="779">
      <c r="A779" s="34"/>
      <c r="G779" s="46"/>
      <c r="H779" s="46"/>
      <c r="I779" s="46"/>
      <c r="J779" s="43"/>
      <c r="K779" s="43"/>
      <c r="L779" s="43"/>
    </row>
    <row r="780">
      <c r="A780" s="34"/>
      <c r="G780" s="46"/>
      <c r="H780" s="46"/>
      <c r="I780" s="46"/>
      <c r="J780" s="43"/>
      <c r="K780" s="43"/>
      <c r="L780" s="43"/>
    </row>
    <row r="781">
      <c r="A781" s="34"/>
      <c r="G781" s="46"/>
      <c r="H781" s="46"/>
      <c r="I781" s="46"/>
      <c r="J781" s="43"/>
      <c r="K781" s="43"/>
      <c r="L781" s="43"/>
    </row>
    <row r="782">
      <c r="A782" s="34"/>
      <c r="G782" s="46"/>
      <c r="H782" s="46"/>
      <c r="I782" s="46"/>
      <c r="J782" s="43"/>
      <c r="K782" s="43"/>
      <c r="L782" s="43"/>
    </row>
    <row r="783">
      <c r="A783" s="34"/>
      <c r="G783" s="46"/>
      <c r="H783" s="46"/>
      <c r="I783" s="46"/>
      <c r="J783" s="43"/>
      <c r="K783" s="43"/>
      <c r="L783" s="43"/>
    </row>
    <row r="784">
      <c r="A784" s="34"/>
      <c r="G784" s="46"/>
      <c r="H784" s="46"/>
      <c r="I784" s="46"/>
      <c r="J784" s="43"/>
      <c r="K784" s="43"/>
      <c r="L784" s="43"/>
    </row>
    <row r="785">
      <c r="A785" s="34"/>
      <c r="G785" s="46"/>
      <c r="H785" s="46"/>
      <c r="I785" s="46"/>
      <c r="J785" s="43"/>
      <c r="K785" s="43"/>
      <c r="L785" s="43"/>
    </row>
    <row r="786">
      <c r="A786" s="34"/>
      <c r="G786" s="46"/>
      <c r="H786" s="46"/>
      <c r="I786" s="46"/>
      <c r="J786" s="43"/>
      <c r="K786" s="43"/>
      <c r="L786" s="43"/>
    </row>
    <row r="787">
      <c r="A787" s="34"/>
      <c r="G787" s="46"/>
      <c r="H787" s="46"/>
      <c r="I787" s="46"/>
      <c r="J787" s="43"/>
      <c r="K787" s="43"/>
      <c r="L787" s="43"/>
    </row>
    <row r="788">
      <c r="A788" s="34"/>
      <c r="G788" s="46"/>
      <c r="H788" s="46"/>
      <c r="I788" s="46"/>
      <c r="J788" s="43"/>
      <c r="K788" s="43"/>
      <c r="L788" s="43"/>
    </row>
    <row r="789">
      <c r="A789" s="34"/>
      <c r="G789" s="46"/>
      <c r="H789" s="46"/>
      <c r="I789" s="46"/>
      <c r="J789" s="43"/>
      <c r="K789" s="43"/>
      <c r="L789" s="43"/>
    </row>
    <row r="790">
      <c r="A790" s="34"/>
      <c r="G790" s="46"/>
      <c r="H790" s="46"/>
      <c r="I790" s="46"/>
      <c r="J790" s="43"/>
      <c r="K790" s="43"/>
      <c r="L790" s="43"/>
    </row>
    <row r="791">
      <c r="A791" s="34"/>
      <c r="G791" s="46"/>
      <c r="H791" s="46"/>
      <c r="I791" s="46"/>
      <c r="J791" s="43"/>
      <c r="K791" s="43"/>
      <c r="L791" s="43"/>
    </row>
    <row r="792">
      <c r="A792" s="34"/>
      <c r="G792" s="46"/>
      <c r="H792" s="46"/>
      <c r="I792" s="46"/>
      <c r="J792" s="43"/>
      <c r="K792" s="43"/>
      <c r="L792" s="43"/>
    </row>
    <row r="793">
      <c r="A793" s="34"/>
      <c r="G793" s="46"/>
      <c r="H793" s="46"/>
      <c r="I793" s="46"/>
      <c r="J793" s="43"/>
      <c r="K793" s="43"/>
      <c r="L793" s="43"/>
    </row>
    <row r="794">
      <c r="A794" s="34"/>
      <c r="G794" s="46"/>
      <c r="H794" s="46"/>
      <c r="I794" s="46"/>
      <c r="J794" s="43"/>
      <c r="K794" s="43"/>
      <c r="L794" s="43"/>
    </row>
    <row r="795">
      <c r="A795" s="34"/>
      <c r="G795" s="46"/>
      <c r="H795" s="46"/>
      <c r="I795" s="46"/>
      <c r="J795" s="43"/>
      <c r="K795" s="43"/>
      <c r="L795" s="43"/>
    </row>
    <row r="796">
      <c r="A796" s="34"/>
      <c r="G796" s="46"/>
      <c r="H796" s="46"/>
      <c r="I796" s="46"/>
      <c r="J796" s="43"/>
      <c r="K796" s="43"/>
      <c r="L796" s="43"/>
    </row>
    <row r="797">
      <c r="A797" s="34"/>
      <c r="G797" s="46"/>
      <c r="H797" s="46"/>
      <c r="I797" s="46"/>
      <c r="J797" s="43"/>
      <c r="K797" s="43"/>
      <c r="L797" s="43"/>
    </row>
    <row r="798">
      <c r="A798" s="34"/>
      <c r="G798" s="46"/>
      <c r="H798" s="46"/>
      <c r="I798" s="46"/>
      <c r="J798" s="43"/>
      <c r="K798" s="43"/>
      <c r="L798" s="43"/>
    </row>
    <row r="799">
      <c r="A799" s="34"/>
      <c r="G799" s="46"/>
      <c r="H799" s="46"/>
      <c r="I799" s="46"/>
      <c r="J799" s="43"/>
      <c r="K799" s="43"/>
      <c r="L799" s="43"/>
    </row>
    <row r="800">
      <c r="A800" s="34"/>
      <c r="G800" s="46"/>
      <c r="H800" s="46"/>
      <c r="I800" s="46"/>
      <c r="J800" s="43"/>
      <c r="K800" s="43"/>
      <c r="L800" s="43"/>
    </row>
    <row r="801">
      <c r="A801" s="34"/>
      <c r="G801" s="46"/>
      <c r="H801" s="46"/>
      <c r="I801" s="46"/>
      <c r="J801" s="43"/>
      <c r="K801" s="43"/>
      <c r="L801" s="43"/>
    </row>
    <row r="802">
      <c r="A802" s="34"/>
      <c r="G802" s="46"/>
      <c r="H802" s="46"/>
      <c r="I802" s="46"/>
      <c r="J802" s="43"/>
      <c r="K802" s="43"/>
      <c r="L802" s="43"/>
    </row>
    <row r="803">
      <c r="A803" s="34"/>
      <c r="G803" s="46"/>
      <c r="H803" s="46"/>
      <c r="I803" s="46"/>
      <c r="J803" s="43"/>
      <c r="K803" s="43"/>
      <c r="L803" s="43"/>
    </row>
    <row r="804">
      <c r="A804" s="34"/>
      <c r="G804" s="46"/>
      <c r="H804" s="46"/>
      <c r="I804" s="46"/>
      <c r="J804" s="43"/>
      <c r="K804" s="43"/>
      <c r="L804" s="43"/>
    </row>
    <row r="805">
      <c r="A805" s="34"/>
      <c r="G805" s="46"/>
      <c r="H805" s="46"/>
      <c r="I805" s="46"/>
      <c r="J805" s="43"/>
      <c r="K805" s="43"/>
      <c r="L805" s="43"/>
    </row>
    <row r="806">
      <c r="A806" s="34"/>
      <c r="G806" s="46"/>
      <c r="H806" s="46"/>
      <c r="I806" s="46"/>
      <c r="J806" s="43"/>
      <c r="K806" s="43"/>
      <c r="L806" s="43"/>
    </row>
    <row r="807">
      <c r="A807" s="34"/>
      <c r="G807" s="46"/>
      <c r="H807" s="46"/>
      <c r="I807" s="46"/>
      <c r="J807" s="43"/>
      <c r="K807" s="43"/>
      <c r="L807" s="43"/>
    </row>
    <row r="808">
      <c r="A808" s="34"/>
      <c r="G808" s="46"/>
      <c r="H808" s="46"/>
      <c r="I808" s="46"/>
      <c r="J808" s="43"/>
      <c r="K808" s="43"/>
      <c r="L808" s="43"/>
    </row>
    <row r="809">
      <c r="A809" s="34"/>
      <c r="G809" s="46"/>
      <c r="H809" s="46"/>
      <c r="I809" s="46"/>
      <c r="J809" s="43"/>
      <c r="K809" s="43"/>
      <c r="L809" s="43"/>
    </row>
    <row r="810">
      <c r="A810" s="34"/>
      <c r="G810" s="46"/>
      <c r="H810" s="46"/>
      <c r="I810" s="46"/>
      <c r="J810" s="43"/>
      <c r="K810" s="43"/>
      <c r="L810" s="43"/>
    </row>
    <row r="811">
      <c r="A811" s="34"/>
      <c r="G811" s="46"/>
      <c r="H811" s="46"/>
      <c r="I811" s="46"/>
      <c r="J811" s="43"/>
      <c r="K811" s="43"/>
      <c r="L811" s="43"/>
    </row>
    <row r="812">
      <c r="A812" s="34"/>
      <c r="G812" s="46"/>
      <c r="H812" s="46"/>
      <c r="I812" s="46"/>
      <c r="J812" s="43"/>
      <c r="K812" s="43"/>
      <c r="L812" s="43"/>
    </row>
    <row r="813">
      <c r="A813" s="34"/>
      <c r="G813" s="46"/>
      <c r="H813" s="46"/>
      <c r="I813" s="46"/>
      <c r="J813" s="43"/>
      <c r="K813" s="43"/>
      <c r="L813" s="43"/>
    </row>
    <row r="814">
      <c r="A814" s="34"/>
      <c r="G814" s="46"/>
      <c r="H814" s="46"/>
      <c r="I814" s="46"/>
      <c r="J814" s="43"/>
      <c r="K814" s="43"/>
      <c r="L814" s="43"/>
    </row>
    <row r="815">
      <c r="A815" s="34"/>
      <c r="G815" s="46"/>
      <c r="H815" s="46"/>
      <c r="I815" s="46"/>
      <c r="J815" s="43"/>
      <c r="K815" s="43"/>
      <c r="L815" s="43"/>
    </row>
    <row r="816">
      <c r="A816" s="34"/>
      <c r="G816" s="46"/>
      <c r="H816" s="46"/>
      <c r="I816" s="46"/>
      <c r="J816" s="43"/>
      <c r="K816" s="43"/>
      <c r="L816" s="43"/>
    </row>
    <row r="817">
      <c r="A817" s="34"/>
      <c r="G817" s="46"/>
      <c r="H817" s="46"/>
      <c r="I817" s="46"/>
      <c r="J817" s="43"/>
      <c r="K817" s="43"/>
      <c r="L817" s="43"/>
    </row>
    <row r="818">
      <c r="A818" s="34"/>
      <c r="G818" s="46"/>
      <c r="H818" s="46"/>
      <c r="I818" s="46"/>
      <c r="J818" s="43"/>
      <c r="K818" s="43"/>
      <c r="L818" s="43"/>
    </row>
    <row r="819">
      <c r="A819" s="34"/>
      <c r="G819" s="46"/>
      <c r="H819" s="46"/>
      <c r="I819" s="46"/>
      <c r="J819" s="43"/>
      <c r="K819" s="43"/>
      <c r="L819" s="43"/>
    </row>
    <row r="820">
      <c r="A820" s="34"/>
      <c r="G820" s="46"/>
      <c r="H820" s="46"/>
      <c r="I820" s="46"/>
      <c r="J820" s="43"/>
      <c r="K820" s="43"/>
      <c r="L820" s="43"/>
    </row>
    <row r="821">
      <c r="A821" s="34"/>
      <c r="G821" s="46"/>
      <c r="H821" s="46"/>
      <c r="I821" s="46"/>
      <c r="J821" s="43"/>
      <c r="K821" s="43"/>
      <c r="L821" s="43"/>
    </row>
    <row r="822">
      <c r="A822" s="34"/>
      <c r="G822" s="46"/>
      <c r="H822" s="46"/>
      <c r="I822" s="46"/>
      <c r="J822" s="43"/>
      <c r="K822" s="43"/>
      <c r="L822" s="43"/>
    </row>
    <row r="823">
      <c r="A823" s="34"/>
      <c r="G823" s="46"/>
      <c r="H823" s="46"/>
      <c r="I823" s="46"/>
      <c r="J823" s="43"/>
      <c r="K823" s="43"/>
      <c r="L823" s="43"/>
    </row>
    <row r="824">
      <c r="A824" s="34"/>
      <c r="G824" s="46"/>
      <c r="H824" s="46"/>
      <c r="I824" s="46"/>
      <c r="J824" s="43"/>
      <c r="K824" s="43"/>
      <c r="L824" s="43"/>
    </row>
    <row r="825">
      <c r="A825" s="34"/>
      <c r="G825" s="46"/>
      <c r="H825" s="46"/>
      <c r="I825" s="46"/>
      <c r="J825" s="43"/>
      <c r="K825" s="43"/>
      <c r="L825" s="43"/>
    </row>
    <row r="826">
      <c r="A826" s="34"/>
      <c r="G826" s="46"/>
      <c r="H826" s="46"/>
      <c r="I826" s="46"/>
      <c r="J826" s="43"/>
      <c r="K826" s="43"/>
      <c r="L826" s="43"/>
    </row>
    <row r="827">
      <c r="A827" s="34"/>
      <c r="G827" s="46"/>
      <c r="H827" s="46"/>
      <c r="I827" s="46"/>
      <c r="J827" s="43"/>
      <c r="K827" s="43"/>
      <c r="L827" s="43"/>
    </row>
    <row r="828">
      <c r="A828" s="34"/>
      <c r="G828" s="46"/>
      <c r="H828" s="46"/>
      <c r="I828" s="46"/>
      <c r="J828" s="43"/>
      <c r="K828" s="43"/>
      <c r="L828" s="43"/>
    </row>
    <row r="829">
      <c r="A829" s="34"/>
      <c r="G829" s="46"/>
      <c r="H829" s="46"/>
      <c r="I829" s="46"/>
      <c r="J829" s="43"/>
      <c r="K829" s="43"/>
      <c r="L829" s="43"/>
    </row>
    <row r="830">
      <c r="A830" s="34"/>
      <c r="G830" s="46"/>
      <c r="H830" s="46"/>
      <c r="I830" s="46"/>
      <c r="J830" s="43"/>
      <c r="K830" s="43"/>
      <c r="L830" s="43"/>
    </row>
    <row r="831">
      <c r="A831" s="34"/>
      <c r="G831" s="46"/>
      <c r="H831" s="46"/>
      <c r="I831" s="46"/>
      <c r="J831" s="43"/>
      <c r="K831" s="43"/>
      <c r="L831" s="43"/>
    </row>
    <row r="832">
      <c r="A832" s="34"/>
      <c r="G832" s="46"/>
      <c r="H832" s="46"/>
      <c r="I832" s="46"/>
      <c r="J832" s="43"/>
      <c r="K832" s="43"/>
      <c r="L832" s="43"/>
    </row>
    <row r="833">
      <c r="A833" s="34"/>
      <c r="G833" s="46"/>
      <c r="H833" s="46"/>
      <c r="I833" s="46"/>
      <c r="J833" s="43"/>
      <c r="K833" s="43"/>
      <c r="L833" s="43"/>
    </row>
    <row r="834">
      <c r="A834" s="34"/>
      <c r="G834" s="46"/>
      <c r="H834" s="46"/>
      <c r="I834" s="46"/>
      <c r="J834" s="43"/>
      <c r="K834" s="43"/>
      <c r="L834" s="43"/>
    </row>
    <row r="835">
      <c r="A835" s="34"/>
      <c r="G835" s="46"/>
      <c r="H835" s="46"/>
      <c r="I835" s="46"/>
      <c r="J835" s="43"/>
      <c r="K835" s="43"/>
      <c r="L835" s="43"/>
    </row>
    <row r="836">
      <c r="A836" s="34"/>
      <c r="G836" s="46"/>
      <c r="H836" s="46"/>
      <c r="I836" s="46"/>
      <c r="J836" s="43"/>
      <c r="K836" s="43"/>
      <c r="L836" s="43"/>
    </row>
    <row r="837">
      <c r="A837" s="34"/>
      <c r="G837" s="46"/>
      <c r="H837" s="46"/>
      <c r="I837" s="46"/>
      <c r="J837" s="43"/>
      <c r="K837" s="43"/>
      <c r="L837" s="43"/>
    </row>
    <row r="838">
      <c r="A838" s="34"/>
      <c r="G838" s="46"/>
      <c r="H838" s="46"/>
      <c r="I838" s="46"/>
      <c r="J838" s="43"/>
      <c r="K838" s="43"/>
      <c r="L838" s="43"/>
    </row>
    <row r="839">
      <c r="A839" s="34"/>
      <c r="G839" s="46"/>
      <c r="H839" s="46"/>
      <c r="I839" s="46"/>
      <c r="J839" s="43"/>
      <c r="K839" s="43"/>
      <c r="L839" s="43"/>
    </row>
    <row r="840">
      <c r="A840" s="34"/>
      <c r="G840" s="46"/>
      <c r="H840" s="46"/>
      <c r="I840" s="46"/>
      <c r="J840" s="43"/>
      <c r="K840" s="43"/>
      <c r="L840" s="43"/>
    </row>
    <row r="841">
      <c r="A841" s="34"/>
      <c r="G841" s="46"/>
      <c r="H841" s="46"/>
      <c r="I841" s="46"/>
      <c r="J841" s="43"/>
      <c r="K841" s="43"/>
      <c r="L841" s="43"/>
    </row>
    <row r="842">
      <c r="A842" s="34"/>
      <c r="G842" s="46"/>
      <c r="H842" s="46"/>
      <c r="I842" s="46"/>
      <c r="J842" s="43"/>
      <c r="K842" s="43"/>
      <c r="L842" s="43"/>
    </row>
    <row r="843">
      <c r="A843" s="34"/>
      <c r="G843" s="46"/>
      <c r="H843" s="46"/>
      <c r="I843" s="46"/>
      <c r="J843" s="43"/>
      <c r="K843" s="43"/>
      <c r="L843" s="43"/>
    </row>
    <row r="844">
      <c r="A844" s="34"/>
      <c r="G844" s="46"/>
      <c r="H844" s="46"/>
      <c r="I844" s="46"/>
      <c r="J844" s="43"/>
      <c r="K844" s="43"/>
      <c r="L844" s="43"/>
    </row>
    <row r="845">
      <c r="A845" s="34"/>
      <c r="G845" s="46"/>
      <c r="H845" s="46"/>
      <c r="I845" s="46"/>
      <c r="J845" s="43"/>
      <c r="K845" s="43"/>
      <c r="L845" s="43"/>
    </row>
    <row r="846">
      <c r="A846" s="34"/>
      <c r="G846" s="46"/>
      <c r="H846" s="46"/>
      <c r="I846" s="46"/>
      <c r="J846" s="43"/>
      <c r="K846" s="43"/>
      <c r="L846" s="43"/>
    </row>
    <row r="847">
      <c r="A847" s="34"/>
      <c r="G847" s="46"/>
      <c r="H847" s="46"/>
      <c r="I847" s="46"/>
      <c r="J847" s="43"/>
      <c r="K847" s="43"/>
      <c r="L847" s="43"/>
    </row>
    <row r="848">
      <c r="A848" s="34"/>
      <c r="G848" s="46"/>
      <c r="H848" s="46"/>
      <c r="I848" s="46"/>
      <c r="J848" s="43"/>
      <c r="K848" s="43"/>
      <c r="L848" s="43"/>
    </row>
    <row r="849">
      <c r="A849" s="34"/>
      <c r="G849" s="46"/>
      <c r="H849" s="46"/>
      <c r="I849" s="46"/>
      <c r="J849" s="43"/>
      <c r="K849" s="43"/>
      <c r="L849" s="43"/>
    </row>
    <row r="850">
      <c r="A850" s="34"/>
      <c r="G850" s="46"/>
      <c r="H850" s="46"/>
      <c r="I850" s="46"/>
      <c r="J850" s="43"/>
      <c r="K850" s="43"/>
      <c r="L850" s="43"/>
    </row>
    <row r="851">
      <c r="A851" s="34"/>
      <c r="G851" s="46"/>
      <c r="H851" s="46"/>
      <c r="I851" s="46"/>
      <c r="J851" s="43"/>
      <c r="K851" s="43"/>
      <c r="L851" s="43"/>
    </row>
    <row r="852">
      <c r="A852" s="34"/>
      <c r="G852" s="46"/>
      <c r="H852" s="46"/>
      <c r="I852" s="46"/>
      <c r="J852" s="43"/>
      <c r="K852" s="43"/>
      <c r="L852" s="43"/>
    </row>
    <row r="853">
      <c r="A853" s="34"/>
      <c r="G853" s="46"/>
      <c r="H853" s="46"/>
      <c r="I853" s="46"/>
      <c r="J853" s="43"/>
      <c r="K853" s="43"/>
      <c r="L853" s="43"/>
    </row>
    <row r="854">
      <c r="A854" s="34"/>
      <c r="G854" s="46"/>
      <c r="H854" s="46"/>
      <c r="I854" s="46"/>
      <c r="J854" s="43"/>
      <c r="K854" s="43"/>
      <c r="L854" s="43"/>
    </row>
    <row r="855">
      <c r="A855" s="34"/>
      <c r="G855" s="46"/>
      <c r="H855" s="46"/>
      <c r="I855" s="46"/>
      <c r="J855" s="43"/>
      <c r="K855" s="43"/>
      <c r="L855" s="43"/>
    </row>
    <row r="856">
      <c r="A856" s="34"/>
      <c r="G856" s="46"/>
      <c r="H856" s="46"/>
      <c r="I856" s="46"/>
      <c r="J856" s="43"/>
      <c r="K856" s="43"/>
      <c r="L856" s="43"/>
    </row>
    <row r="857">
      <c r="A857" s="34"/>
      <c r="G857" s="46"/>
      <c r="H857" s="46"/>
      <c r="I857" s="46"/>
      <c r="J857" s="43"/>
      <c r="K857" s="43"/>
      <c r="L857" s="43"/>
    </row>
    <row r="858">
      <c r="A858" s="34"/>
      <c r="G858" s="46"/>
      <c r="H858" s="46"/>
      <c r="I858" s="46"/>
      <c r="J858" s="43"/>
      <c r="K858" s="43"/>
      <c r="L858" s="43"/>
    </row>
    <row r="859">
      <c r="A859" s="34"/>
      <c r="G859" s="46"/>
      <c r="H859" s="46"/>
      <c r="I859" s="46"/>
      <c r="J859" s="43"/>
      <c r="K859" s="43"/>
      <c r="L859" s="43"/>
    </row>
    <row r="860">
      <c r="A860" s="34"/>
      <c r="G860" s="46"/>
      <c r="H860" s="46"/>
      <c r="I860" s="46"/>
      <c r="J860" s="43"/>
      <c r="K860" s="43"/>
      <c r="L860" s="43"/>
    </row>
    <row r="861">
      <c r="A861" s="34"/>
      <c r="G861" s="46"/>
      <c r="H861" s="46"/>
      <c r="I861" s="46"/>
      <c r="J861" s="43"/>
      <c r="K861" s="43"/>
      <c r="L861" s="43"/>
    </row>
    <row r="862">
      <c r="A862" s="34"/>
      <c r="G862" s="46"/>
      <c r="H862" s="46"/>
      <c r="I862" s="46"/>
      <c r="J862" s="43"/>
      <c r="K862" s="43"/>
      <c r="L862" s="43"/>
    </row>
    <row r="863">
      <c r="A863" s="34"/>
      <c r="G863" s="46"/>
      <c r="H863" s="46"/>
      <c r="I863" s="46"/>
      <c r="J863" s="43"/>
      <c r="K863" s="43"/>
      <c r="L863" s="43"/>
    </row>
    <row r="864">
      <c r="A864" s="34"/>
      <c r="G864" s="46"/>
      <c r="H864" s="46"/>
      <c r="I864" s="46"/>
      <c r="J864" s="43"/>
      <c r="K864" s="43"/>
      <c r="L864" s="43"/>
    </row>
    <row r="865">
      <c r="A865" s="34"/>
      <c r="G865" s="46"/>
      <c r="H865" s="46"/>
      <c r="I865" s="46"/>
      <c r="J865" s="43"/>
      <c r="K865" s="43"/>
      <c r="L865" s="43"/>
    </row>
    <row r="866">
      <c r="A866" s="34"/>
      <c r="G866" s="46"/>
      <c r="H866" s="46"/>
      <c r="I866" s="46"/>
      <c r="J866" s="43"/>
      <c r="K866" s="43"/>
      <c r="L866" s="43"/>
    </row>
    <row r="867">
      <c r="A867" s="34"/>
      <c r="G867" s="46"/>
      <c r="H867" s="46"/>
      <c r="I867" s="46"/>
      <c r="J867" s="43"/>
      <c r="K867" s="43"/>
      <c r="L867" s="43"/>
    </row>
    <row r="868">
      <c r="A868" s="34"/>
      <c r="G868" s="46"/>
      <c r="H868" s="46"/>
      <c r="I868" s="46"/>
      <c r="J868" s="43"/>
      <c r="K868" s="43"/>
      <c r="L868" s="43"/>
    </row>
    <row r="869">
      <c r="A869" s="34"/>
      <c r="G869" s="46"/>
      <c r="H869" s="46"/>
      <c r="I869" s="46"/>
      <c r="J869" s="43"/>
      <c r="K869" s="43"/>
      <c r="L869" s="43"/>
    </row>
    <row r="870">
      <c r="A870" s="34"/>
      <c r="G870" s="46"/>
      <c r="H870" s="46"/>
      <c r="I870" s="46"/>
      <c r="J870" s="43"/>
      <c r="K870" s="43"/>
      <c r="L870" s="43"/>
    </row>
    <row r="871">
      <c r="A871" s="34"/>
      <c r="G871" s="46"/>
      <c r="H871" s="46"/>
      <c r="I871" s="46"/>
      <c r="J871" s="43"/>
      <c r="K871" s="43"/>
      <c r="L871" s="43"/>
    </row>
    <row r="872">
      <c r="A872" s="34"/>
      <c r="G872" s="46"/>
      <c r="H872" s="46"/>
      <c r="I872" s="46"/>
      <c r="J872" s="43"/>
      <c r="K872" s="43"/>
      <c r="L872" s="43"/>
    </row>
    <row r="873">
      <c r="A873" s="34"/>
      <c r="G873" s="46"/>
      <c r="H873" s="46"/>
      <c r="I873" s="46"/>
      <c r="J873" s="43"/>
      <c r="K873" s="43"/>
      <c r="L873" s="43"/>
    </row>
    <row r="874">
      <c r="A874" s="34"/>
      <c r="G874" s="46"/>
      <c r="H874" s="46"/>
      <c r="I874" s="46"/>
      <c r="J874" s="43"/>
      <c r="K874" s="43"/>
      <c r="L874" s="43"/>
    </row>
    <row r="875">
      <c r="A875" s="34"/>
      <c r="G875" s="46"/>
      <c r="H875" s="46"/>
      <c r="I875" s="46"/>
      <c r="J875" s="43"/>
      <c r="K875" s="43"/>
      <c r="L875" s="43"/>
    </row>
    <row r="876">
      <c r="A876" s="34"/>
      <c r="G876" s="46"/>
      <c r="H876" s="46"/>
      <c r="I876" s="46"/>
      <c r="J876" s="43"/>
      <c r="K876" s="43"/>
      <c r="L876" s="43"/>
    </row>
    <row r="877">
      <c r="A877" s="34"/>
      <c r="G877" s="46"/>
      <c r="H877" s="46"/>
      <c r="I877" s="46"/>
      <c r="J877" s="43"/>
      <c r="K877" s="43"/>
      <c r="L877" s="43"/>
    </row>
    <row r="878">
      <c r="A878" s="34"/>
      <c r="G878" s="46"/>
      <c r="H878" s="46"/>
      <c r="I878" s="46"/>
      <c r="J878" s="43"/>
      <c r="K878" s="43"/>
      <c r="L878" s="43"/>
    </row>
    <row r="879">
      <c r="A879" s="34"/>
      <c r="G879" s="46"/>
      <c r="H879" s="46"/>
      <c r="I879" s="46"/>
      <c r="J879" s="43"/>
      <c r="K879" s="43"/>
      <c r="L879" s="43"/>
    </row>
    <row r="880">
      <c r="A880" s="34"/>
      <c r="G880" s="46"/>
      <c r="H880" s="46"/>
      <c r="I880" s="46"/>
      <c r="J880" s="43"/>
      <c r="K880" s="43"/>
      <c r="L880" s="43"/>
    </row>
    <row r="881">
      <c r="A881" s="34"/>
      <c r="G881" s="46"/>
      <c r="H881" s="46"/>
      <c r="I881" s="46"/>
      <c r="J881" s="43"/>
      <c r="K881" s="43"/>
      <c r="L881" s="43"/>
    </row>
    <row r="882">
      <c r="A882" s="34"/>
      <c r="G882" s="46"/>
      <c r="H882" s="46"/>
      <c r="I882" s="46"/>
      <c r="J882" s="43"/>
      <c r="K882" s="43"/>
      <c r="L882" s="43"/>
    </row>
    <row r="883">
      <c r="A883" s="34"/>
      <c r="G883" s="46"/>
      <c r="H883" s="46"/>
      <c r="I883" s="46"/>
      <c r="J883" s="43"/>
      <c r="K883" s="43"/>
      <c r="L883" s="43"/>
    </row>
    <row r="884">
      <c r="A884" s="34"/>
      <c r="G884" s="46"/>
      <c r="H884" s="46"/>
      <c r="I884" s="46"/>
      <c r="J884" s="43"/>
      <c r="K884" s="43"/>
      <c r="L884" s="43"/>
    </row>
    <row r="885">
      <c r="A885" s="34"/>
      <c r="G885" s="46"/>
      <c r="H885" s="46"/>
      <c r="I885" s="46"/>
      <c r="J885" s="43"/>
      <c r="K885" s="43"/>
      <c r="L885" s="43"/>
    </row>
    <row r="886">
      <c r="A886" s="34"/>
      <c r="G886" s="46"/>
      <c r="H886" s="46"/>
      <c r="I886" s="46"/>
      <c r="J886" s="43"/>
      <c r="K886" s="43"/>
      <c r="L886" s="43"/>
    </row>
    <row r="887">
      <c r="A887" s="34"/>
      <c r="G887" s="46"/>
      <c r="H887" s="46"/>
      <c r="I887" s="46"/>
      <c r="J887" s="43"/>
      <c r="K887" s="43"/>
      <c r="L887" s="43"/>
    </row>
    <row r="888">
      <c r="A888" s="34"/>
      <c r="G888" s="46"/>
      <c r="H888" s="46"/>
      <c r="I888" s="46"/>
      <c r="J888" s="43"/>
      <c r="K888" s="43"/>
      <c r="L888" s="43"/>
    </row>
    <row r="889">
      <c r="A889" s="34"/>
      <c r="G889" s="46"/>
      <c r="H889" s="46"/>
      <c r="I889" s="46"/>
      <c r="J889" s="43"/>
      <c r="K889" s="43"/>
      <c r="L889" s="43"/>
    </row>
    <row r="890">
      <c r="A890" s="34"/>
      <c r="G890" s="46"/>
      <c r="H890" s="46"/>
      <c r="I890" s="46"/>
      <c r="J890" s="43"/>
      <c r="K890" s="43"/>
      <c r="L890" s="43"/>
    </row>
    <row r="891">
      <c r="A891" s="34"/>
      <c r="G891" s="46"/>
      <c r="H891" s="46"/>
      <c r="I891" s="46"/>
      <c r="J891" s="43"/>
      <c r="K891" s="43"/>
      <c r="L891" s="43"/>
    </row>
    <row r="892">
      <c r="A892" s="34"/>
      <c r="G892" s="46"/>
      <c r="H892" s="46"/>
      <c r="I892" s="46"/>
      <c r="J892" s="43"/>
      <c r="K892" s="43"/>
      <c r="L892" s="43"/>
    </row>
    <row r="893">
      <c r="A893" s="34"/>
      <c r="G893" s="46"/>
      <c r="H893" s="46"/>
      <c r="I893" s="46"/>
      <c r="J893" s="43"/>
      <c r="K893" s="43"/>
      <c r="L893" s="43"/>
    </row>
    <row r="894">
      <c r="A894" s="34"/>
      <c r="G894" s="46"/>
      <c r="H894" s="46"/>
      <c r="I894" s="46"/>
      <c r="J894" s="43"/>
      <c r="K894" s="43"/>
      <c r="L894" s="43"/>
    </row>
    <row r="895">
      <c r="A895" s="34"/>
      <c r="G895" s="46"/>
      <c r="H895" s="46"/>
      <c r="I895" s="46"/>
      <c r="J895" s="43"/>
      <c r="K895" s="43"/>
      <c r="L895" s="43"/>
    </row>
    <row r="896">
      <c r="A896" s="34"/>
      <c r="G896" s="46"/>
      <c r="H896" s="46"/>
      <c r="I896" s="46"/>
      <c r="J896" s="43"/>
      <c r="K896" s="43"/>
      <c r="L896" s="43"/>
    </row>
    <row r="897">
      <c r="A897" s="34"/>
      <c r="G897" s="46"/>
      <c r="H897" s="46"/>
      <c r="I897" s="46"/>
      <c r="J897" s="43"/>
      <c r="K897" s="43"/>
      <c r="L897" s="43"/>
    </row>
    <row r="898">
      <c r="A898" s="34"/>
      <c r="G898" s="46"/>
      <c r="H898" s="46"/>
      <c r="I898" s="46"/>
      <c r="J898" s="43"/>
      <c r="K898" s="43"/>
      <c r="L898" s="43"/>
    </row>
    <row r="899">
      <c r="A899" s="34"/>
      <c r="G899" s="46"/>
      <c r="H899" s="46"/>
      <c r="I899" s="46"/>
      <c r="J899" s="43"/>
      <c r="K899" s="43"/>
      <c r="L899" s="43"/>
    </row>
    <row r="900">
      <c r="A900" s="34"/>
      <c r="G900" s="46"/>
      <c r="H900" s="46"/>
      <c r="I900" s="46"/>
      <c r="J900" s="43"/>
      <c r="K900" s="43"/>
      <c r="L900" s="43"/>
    </row>
    <row r="901">
      <c r="A901" s="34"/>
      <c r="G901" s="46"/>
      <c r="H901" s="46"/>
      <c r="I901" s="46"/>
      <c r="J901" s="43"/>
      <c r="K901" s="43"/>
      <c r="L901" s="43"/>
    </row>
    <row r="902">
      <c r="A902" s="34"/>
      <c r="G902" s="46"/>
      <c r="H902" s="46"/>
      <c r="I902" s="46"/>
      <c r="J902" s="43"/>
      <c r="K902" s="43"/>
      <c r="L902" s="43"/>
    </row>
    <row r="903">
      <c r="A903" s="34"/>
      <c r="G903" s="46"/>
      <c r="H903" s="46"/>
      <c r="I903" s="46"/>
      <c r="J903" s="43"/>
      <c r="K903" s="43"/>
      <c r="L903" s="43"/>
    </row>
    <row r="904">
      <c r="A904" s="34"/>
      <c r="G904" s="46"/>
      <c r="H904" s="46"/>
      <c r="I904" s="46"/>
      <c r="J904" s="43"/>
      <c r="K904" s="43"/>
      <c r="L904" s="43"/>
    </row>
    <row r="905">
      <c r="A905" s="34"/>
      <c r="G905" s="46"/>
      <c r="H905" s="46"/>
      <c r="I905" s="46"/>
      <c r="J905" s="43"/>
      <c r="K905" s="43"/>
      <c r="L905" s="43"/>
    </row>
    <row r="906">
      <c r="A906" s="34"/>
      <c r="G906" s="46"/>
      <c r="H906" s="46"/>
      <c r="I906" s="46"/>
      <c r="J906" s="43"/>
      <c r="K906" s="43"/>
      <c r="L906" s="43"/>
    </row>
    <row r="907">
      <c r="A907" s="34"/>
      <c r="G907" s="46"/>
      <c r="H907" s="46"/>
      <c r="I907" s="46"/>
      <c r="J907" s="43"/>
      <c r="K907" s="43"/>
      <c r="L907" s="43"/>
    </row>
    <row r="908">
      <c r="A908" s="34"/>
      <c r="G908" s="46"/>
      <c r="H908" s="46"/>
      <c r="I908" s="46"/>
      <c r="J908" s="43"/>
      <c r="K908" s="43"/>
      <c r="L908" s="43"/>
    </row>
    <row r="909">
      <c r="A909" s="34"/>
      <c r="G909" s="46"/>
      <c r="H909" s="46"/>
      <c r="I909" s="46"/>
      <c r="J909" s="43"/>
      <c r="K909" s="43"/>
      <c r="L909" s="43"/>
    </row>
    <row r="910">
      <c r="A910" s="34"/>
      <c r="G910" s="46"/>
      <c r="H910" s="46"/>
      <c r="I910" s="46"/>
      <c r="J910" s="43"/>
      <c r="K910" s="43"/>
      <c r="L910" s="43"/>
    </row>
    <row r="911">
      <c r="A911" s="34"/>
      <c r="G911" s="46"/>
      <c r="H911" s="46"/>
      <c r="I911" s="46"/>
      <c r="J911" s="43"/>
      <c r="K911" s="43"/>
      <c r="L911" s="43"/>
    </row>
    <row r="912">
      <c r="A912" s="34"/>
      <c r="G912" s="46"/>
      <c r="H912" s="46"/>
      <c r="I912" s="46"/>
      <c r="J912" s="43"/>
      <c r="K912" s="43"/>
      <c r="L912" s="43"/>
    </row>
    <row r="913">
      <c r="A913" s="34"/>
      <c r="G913" s="46"/>
      <c r="H913" s="46"/>
      <c r="I913" s="46"/>
      <c r="J913" s="43"/>
      <c r="K913" s="43"/>
      <c r="L913" s="43"/>
    </row>
    <row r="914">
      <c r="A914" s="34"/>
      <c r="G914" s="46"/>
      <c r="H914" s="46"/>
      <c r="I914" s="46"/>
      <c r="J914" s="43"/>
      <c r="K914" s="43"/>
      <c r="L914" s="43"/>
    </row>
    <row r="915">
      <c r="A915" s="34"/>
      <c r="G915" s="46"/>
      <c r="H915" s="46"/>
      <c r="I915" s="46"/>
      <c r="J915" s="43"/>
      <c r="K915" s="43"/>
      <c r="L915" s="43"/>
    </row>
    <row r="916">
      <c r="A916" s="34"/>
      <c r="G916" s="46"/>
      <c r="H916" s="46"/>
      <c r="I916" s="46"/>
      <c r="J916" s="43"/>
      <c r="K916" s="43"/>
      <c r="L916" s="43"/>
    </row>
    <row r="917">
      <c r="A917" s="34"/>
      <c r="G917" s="46"/>
      <c r="H917" s="46"/>
      <c r="I917" s="46"/>
      <c r="J917" s="43"/>
      <c r="K917" s="43"/>
      <c r="L917" s="43"/>
    </row>
    <row r="918">
      <c r="A918" s="34"/>
      <c r="G918" s="46"/>
      <c r="H918" s="46"/>
      <c r="I918" s="46"/>
      <c r="J918" s="43"/>
      <c r="K918" s="43"/>
      <c r="L918" s="43"/>
    </row>
    <row r="919">
      <c r="A919" s="34"/>
      <c r="G919" s="46"/>
      <c r="H919" s="46"/>
      <c r="I919" s="46"/>
      <c r="J919" s="43"/>
      <c r="K919" s="43"/>
      <c r="L919" s="43"/>
    </row>
    <row r="920">
      <c r="A920" s="34"/>
      <c r="G920" s="46"/>
      <c r="H920" s="46"/>
      <c r="I920" s="46"/>
      <c r="J920" s="43"/>
      <c r="K920" s="43"/>
      <c r="L920" s="43"/>
    </row>
    <row r="921">
      <c r="A921" s="34"/>
      <c r="G921" s="46"/>
      <c r="H921" s="46"/>
      <c r="I921" s="46"/>
      <c r="J921" s="43"/>
      <c r="K921" s="43"/>
      <c r="L921" s="43"/>
    </row>
    <row r="922">
      <c r="A922" s="34"/>
      <c r="G922" s="46"/>
      <c r="H922" s="46"/>
      <c r="I922" s="46"/>
      <c r="J922" s="43"/>
      <c r="K922" s="43"/>
      <c r="L922" s="43"/>
    </row>
    <row r="923">
      <c r="A923" s="34"/>
      <c r="G923" s="46"/>
      <c r="H923" s="46"/>
      <c r="I923" s="46"/>
      <c r="J923" s="43"/>
      <c r="K923" s="43"/>
      <c r="L923" s="43"/>
    </row>
    <row r="924">
      <c r="A924" s="34"/>
      <c r="G924" s="46"/>
      <c r="H924" s="46"/>
      <c r="I924" s="46"/>
      <c r="J924" s="43"/>
      <c r="K924" s="43"/>
      <c r="L924" s="43"/>
    </row>
    <row r="925">
      <c r="A925" s="34"/>
      <c r="G925" s="46"/>
      <c r="H925" s="46"/>
      <c r="I925" s="46"/>
      <c r="J925" s="43"/>
      <c r="K925" s="43"/>
      <c r="L925" s="43"/>
    </row>
    <row r="926">
      <c r="A926" s="34"/>
      <c r="G926" s="46"/>
      <c r="H926" s="46"/>
      <c r="I926" s="46"/>
      <c r="J926" s="43"/>
      <c r="K926" s="43"/>
      <c r="L926" s="43"/>
    </row>
    <row r="927">
      <c r="A927" s="34"/>
      <c r="G927" s="46"/>
      <c r="H927" s="46"/>
      <c r="I927" s="46"/>
      <c r="J927" s="43"/>
      <c r="K927" s="43"/>
      <c r="L927" s="43"/>
    </row>
    <row r="928">
      <c r="A928" s="34"/>
      <c r="G928" s="46"/>
      <c r="H928" s="46"/>
      <c r="I928" s="46"/>
      <c r="J928" s="43"/>
      <c r="K928" s="43"/>
      <c r="L928" s="43"/>
    </row>
    <row r="929">
      <c r="A929" s="34"/>
      <c r="G929" s="46"/>
      <c r="H929" s="46"/>
      <c r="I929" s="46"/>
      <c r="J929" s="43"/>
      <c r="K929" s="43"/>
      <c r="L929" s="43"/>
    </row>
    <row r="930">
      <c r="A930" s="34"/>
      <c r="G930" s="46"/>
      <c r="H930" s="46"/>
      <c r="I930" s="46"/>
      <c r="J930" s="43"/>
      <c r="K930" s="43"/>
      <c r="L930" s="43"/>
    </row>
    <row r="931">
      <c r="A931" s="34"/>
      <c r="G931" s="46"/>
      <c r="H931" s="46"/>
      <c r="I931" s="46"/>
      <c r="J931" s="43"/>
      <c r="K931" s="43"/>
      <c r="L931" s="43"/>
    </row>
    <row r="932">
      <c r="A932" s="34"/>
      <c r="G932" s="46"/>
      <c r="H932" s="46"/>
      <c r="I932" s="46"/>
      <c r="J932" s="43"/>
      <c r="K932" s="43"/>
      <c r="L932" s="43"/>
    </row>
    <row r="933">
      <c r="A933" s="34"/>
      <c r="G933" s="46"/>
      <c r="H933" s="46"/>
      <c r="I933" s="46"/>
      <c r="J933" s="43"/>
      <c r="K933" s="43"/>
      <c r="L933" s="43"/>
    </row>
    <row r="934">
      <c r="A934" s="34"/>
      <c r="G934" s="46"/>
      <c r="H934" s="46"/>
      <c r="I934" s="46"/>
      <c r="J934" s="43"/>
      <c r="K934" s="43"/>
      <c r="L934" s="43"/>
    </row>
    <row r="935">
      <c r="A935" s="34"/>
      <c r="G935" s="46"/>
      <c r="H935" s="46"/>
      <c r="I935" s="46"/>
      <c r="J935" s="43"/>
      <c r="K935" s="43"/>
      <c r="L935" s="43"/>
    </row>
    <row r="936">
      <c r="A936" s="34"/>
      <c r="G936" s="46"/>
      <c r="H936" s="46"/>
      <c r="I936" s="46"/>
      <c r="J936" s="43"/>
      <c r="K936" s="43"/>
      <c r="L936" s="43"/>
    </row>
    <row r="937">
      <c r="A937" s="34"/>
      <c r="G937" s="46"/>
      <c r="H937" s="46"/>
      <c r="I937" s="46"/>
      <c r="J937" s="43"/>
      <c r="K937" s="43"/>
      <c r="L937" s="43"/>
    </row>
    <row r="938">
      <c r="A938" s="34"/>
      <c r="G938" s="46"/>
      <c r="H938" s="46"/>
      <c r="I938" s="46"/>
      <c r="J938" s="43"/>
      <c r="K938" s="43"/>
      <c r="L938" s="43"/>
    </row>
    <row r="939">
      <c r="A939" s="34"/>
      <c r="G939" s="46"/>
      <c r="H939" s="46"/>
      <c r="I939" s="46"/>
      <c r="J939" s="43"/>
      <c r="K939" s="43"/>
      <c r="L939" s="43"/>
    </row>
    <row r="940">
      <c r="A940" s="34"/>
      <c r="G940" s="46"/>
      <c r="H940" s="46"/>
      <c r="I940" s="46"/>
      <c r="J940" s="43"/>
      <c r="K940" s="43"/>
      <c r="L940" s="43"/>
    </row>
    <row r="941">
      <c r="A941" s="34"/>
      <c r="G941" s="46"/>
      <c r="H941" s="46"/>
      <c r="I941" s="46"/>
      <c r="J941" s="43"/>
      <c r="K941" s="43"/>
      <c r="L941" s="43"/>
    </row>
    <row r="942">
      <c r="A942" s="34"/>
      <c r="G942" s="46"/>
      <c r="H942" s="46"/>
      <c r="I942" s="46"/>
      <c r="J942" s="43"/>
      <c r="K942" s="43"/>
      <c r="L942" s="43"/>
    </row>
    <row r="943">
      <c r="A943" s="34"/>
      <c r="G943" s="46"/>
      <c r="H943" s="46"/>
      <c r="I943" s="46"/>
      <c r="J943" s="43"/>
      <c r="K943" s="43"/>
      <c r="L943" s="43"/>
    </row>
    <row r="944">
      <c r="A944" s="34"/>
      <c r="G944" s="46"/>
      <c r="H944" s="46"/>
      <c r="I944" s="46"/>
      <c r="J944" s="43"/>
      <c r="K944" s="43"/>
      <c r="L944" s="43"/>
    </row>
    <row r="945">
      <c r="A945" s="34"/>
      <c r="G945" s="46"/>
      <c r="H945" s="46"/>
      <c r="I945" s="46"/>
      <c r="J945" s="43"/>
      <c r="K945" s="43"/>
      <c r="L945" s="43"/>
    </row>
    <row r="946">
      <c r="A946" s="34"/>
      <c r="G946" s="46"/>
      <c r="H946" s="46"/>
      <c r="I946" s="46"/>
      <c r="J946" s="43"/>
      <c r="K946" s="43"/>
      <c r="L946" s="43"/>
    </row>
    <row r="947">
      <c r="A947" s="34"/>
      <c r="G947" s="46"/>
      <c r="H947" s="46"/>
      <c r="I947" s="46"/>
      <c r="J947" s="43"/>
      <c r="K947" s="43"/>
      <c r="L947" s="43"/>
    </row>
    <row r="948">
      <c r="A948" s="34"/>
      <c r="G948" s="46"/>
      <c r="H948" s="46"/>
      <c r="I948" s="46"/>
      <c r="J948" s="43"/>
      <c r="K948" s="43"/>
      <c r="L948" s="43"/>
    </row>
    <row r="949">
      <c r="A949" s="34"/>
      <c r="G949" s="46"/>
      <c r="H949" s="46"/>
      <c r="I949" s="46"/>
      <c r="J949" s="43"/>
      <c r="K949" s="43"/>
      <c r="L949" s="43"/>
    </row>
    <row r="950">
      <c r="A950" s="34"/>
      <c r="G950" s="46"/>
      <c r="H950" s="46"/>
      <c r="I950" s="46"/>
      <c r="J950" s="43"/>
      <c r="K950" s="43"/>
      <c r="L950" s="43"/>
    </row>
    <row r="951">
      <c r="A951" s="34"/>
      <c r="G951" s="46"/>
      <c r="H951" s="46"/>
      <c r="I951" s="46"/>
      <c r="J951" s="43"/>
      <c r="K951" s="43"/>
      <c r="L951" s="43"/>
    </row>
    <row r="952">
      <c r="A952" s="34"/>
      <c r="G952" s="46"/>
      <c r="H952" s="46"/>
      <c r="I952" s="46"/>
      <c r="J952" s="43"/>
      <c r="K952" s="43"/>
      <c r="L952" s="43"/>
    </row>
    <row r="953">
      <c r="A953" s="34"/>
      <c r="G953" s="46"/>
      <c r="H953" s="46"/>
      <c r="I953" s="46"/>
      <c r="J953" s="43"/>
      <c r="K953" s="43"/>
      <c r="L953" s="43"/>
    </row>
    <row r="954">
      <c r="A954" s="34"/>
      <c r="G954" s="46"/>
      <c r="H954" s="46"/>
      <c r="I954" s="46"/>
      <c r="J954" s="43"/>
      <c r="K954" s="43"/>
      <c r="L954" s="43"/>
    </row>
    <row r="955">
      <c r="A955" s="34"/>
      <c r="G955" s="46"/>
      <c r="H955" s="46"/>
      <c r="I955" s="46"/>
      <c r="J955" s="43"/>
      <c r="K955" s="43"/>
      <c r="L955" s="43"/>
    </row>
    <row r="956">
      <c r="A956" s="34"/>
      <c r="G956" s="46"/>
      <c r="H956" s="46"/>
      <c r="I956" s="46"/>
      <c r="J956" s="43"/>
      <c r="K956" s="43"/>
      <c r="L956" s="43"/>
    </row>
    <row r="957">
      <c r="A957" s="34"/>
      <c r="G957" s="46"/>
      <c r="H957" s="46"/>
      <c r="I957" s="46"/>
      <c r="J957" s="43"/>
      <c r="K957" s="43"/>
      <c r="L957" s="43"/>
    </row>
    <row r="958">
      <c r="A958" s="34"/>
      <c r="G958" s="46"/>
      <c r="H958" s="46"/>
      <c r="I958" s="46"/>
      <c r="J958" s="43"/>
      <c r="K958" s="43"/>
      <c r="L958" s="43"/>
    </row>
    <row r="959">
      <c r="A959" s="34"/>
      <c r="G959" s="46"/>
      <c r="H959" s="46"/>
      <c r="I959" s="46"/>
      <c r="J959" s="43"/>
      <c r="K959" s="43"/>
      <c r="L959" s="43"/>
    </row>
    <row r="960">
      <c r="A960" s="34"/>
      <c r="G960" s="46"/>
      <c r="H960" s="46"/>
      <c r="I960" s="46"/>
      <c r="J960" s="43"/>
      <c r="K960" s="43"/>
      <c r="L960" s="43"/>
    </row>
    <row r="961">
      <c r="A961" s="34"/>
      <c r="G961" s="46"/>
      <c r="H961" s="46"/>
      <c r="I961" s="46"/>
      <c r="J961" s="43"/>
      <c r="K961" s="43"/>
      <c r="L961" s="43"/>
    </row>
    <row r="962">
      <c r="A962" s="34"/>
      <c r="G962" s="46"/>
      <c r="H962" s="46"/>
      <c r="I962" s="46"/>
      <c r="J962" s="43"/>
      <c r="K962" s="43"/>
      <c r="L962" s="43"/>
    </row>
    <row r="963">
      <c r="A963" s="34"/>
      <c r="G963" s="46"/>
      <c r="H963" s="46"/>
      <c r="I963" s="46"/>
      <c r="J963" s="43"/>
      <c r="K963" s="43"/>
      <c r="L963" s="43"/>
    </row>
    <row r="964">
      <c r="A964" s="34"/>
      <c r="G964" s="46"/>
      <c r="H964" s="46"/>
      <c r="I964" s="46"/>
      <c r="J964" s="43"/>
      <c r="K964" s="43"/>
      <c r="L964" s="43"/>
    </row>
    <row r="965">
      <c r="A965" s="34"/>
      <c r="G965" s="46"/>
      <c r="H965" s="46"/>
      <c r="I965" s="46"/>
      <c r="J965" s="43"/>
      <c r="K965" s="43"/>
      <c r="L965" s="43"/>
    </row>
    <row r="966">
      <c r="A966" s="34"/>
      <c r="G966" s="46"/>
      <c r="H966" s="46"/>
      <c r="I966" s="46"/>
      <c r="J966" s="43"/>
      <c r="K966" s="43"/>
      <c r="L966" s="43"/>
    </row>
    <row r="967">
      <c r="A967" s="34"/>
      <c r="G967" s="46"/>
      <c r="H967" s="46"/>
      <c r="I967" s="46"/>
      <c r="J967" s="43"/>
      <c r="K967" s="43"/>
      <c r="L967" s="43"/>
    </row>
    <row r="968">
      <c r="A968" s="34"/>
      <c r="G968" s="46"/>
      <c r="H968" s="46"/>
      <c r="I968" s="46"/>
      <c r="J968" s="43"/>
      <c r="K968" s="43"/>
      <c r="L968" s="43"/>
    </row>
    <row r="969">
      <c r="A969" s="34"/>
      <c r="G969" s="46"/>
      <c r="H969" s="46"/>
      <c r="I969" s="46"/>
      <c r="J969" s="43"/>
      <c r="K969" s="43"/>
      <c r="L969" s="43"/>
    </row>
    <row r="970">
      <c r="A970" s="34"/>
      <c r="G970" s="46"/>
      <c r="H970" s="46"/>
      <c r="I970" s="46"/>
      <c r="J970" s="43"/>
      <c r="K970" s="43"/>
      <c r="L970" s="43"/>
    </row>
    <row r="971">
      <c r="A971" s="34"/>
      <c r="G971" s="46"/>
      <c r="H971" s="46"/>
      <c r="I971" s="46"/>
      <c r="J971" s="43"/>
      <c r="K971" s="43"/>
      <c r="L971" s="43"/>
    </row>
    <row r="972">
      <c r="A972" s="34"/>
      <c r="G972" s="46"/>
      <c r="H972" s="46"/>
      <c r="I972" s="46"/>
      <c r="J972" s="43"/>
      <c r="K972" s="43"/>
      <c r="L972" s="43"/>
    </row>
    <row r="973">
      <c r="A973" s="34"/>
      <c r="G973" s="46"/>
      <c r="H973" s="46"/>
      <c r="I973" s="46"/>
      <c r="J973" s="43"/>
      <c r="K973" s="43"/>
      <c r="L973" s="43"/>
    </row>
    <row r="974">
      <c r="A974" s="34"/>
      <c r="G974" s="46"/>
      <c r="H974" s="46"/>
      <c r="I974" s="46"/>
      <c r="J974" s="43"/>
      <c r="K974" s="43"/>
      <c r="L974" s="43"/>
    </row>
    <row r="975">
      <c r="A975" s="34"/>
      <c r="G975" s="46"/>
      <c r="H975" s="46"/>
      <c r="I975" s="46"/>
      <c r="J975" s="43"/>
      <c r="K975" s="43"/>
      <c r="L975" s="43"/>
    </row>
    <row r="976">
      <c r="A976" s="34"/>
      <c r="G976" s="46"/>
      <c r="H976" s="46"/>
      <c r="I976" s="46"/>
      <c r="J976" s="43"/>
      <c r="K976" s="43"/>
      <c r="L976" s="43"/>
    </row>
    <row r="977">
      <c r="A977" s="34"/>
      <c r="G977" s="46"/>
      <c r="H977" s="46"/>
      <c r="I977" s="46"/>
      <c r="J977" s="43"/>
      <c r="K977" s="43"/>
      <c r="L977" s="43"/>
    </row>
    <row r="978">
      <c r="A978" s="34"/>
      <c r="G978" s="46"/>
      <c r="H978" s="46"/>
      <c r="I978" s="46"/>
      <c r="J978" s="43"/>
      <c r="K978" s="43"/>
      <c r="L978" s="43"/>
    </row>
    <row r="979">
      <c r="A979" s="34"/>
      <c r="G979" s="46"/>
      <c r="H979" s="46"/>
      <c r="I979" s="46"/>
      <c r="J979" s="43"/>
      <c r="K979" s="43"/>
      <c r="L979" s="43"/>
    </row>
    <row r="980">
      <c r="A980" s="34"/>
      <c r="G980" s="46"/>
      <c r="H980" s="46"/>
      <c r="I980" s="46"/>
      <c r="J980" s="43"/>
      <c r="K980" s="43"/>
      <c r="L980" s="43"/>
    </row>
    <row r="981">
      <c r="A981" s="34"/>
      <c r="G981" s="46"/>
      <c r="H981" s="46"/>
      <c r="I981" s="46"/>
      <c r="J981" s="43"/>
      <c r="K981" s="43"/>
      <c r="L981" s="43"/>
    </row>
    <row r="982">
      <c r="A982" s="34"/>
      <c r="G982" s="46"/>
      <c r="H982" s="46"/>
      <c r="I982" s="46"/>
      <c r="J982" s="43"/>
      <c r="K982" s="43"/>
      <c r="L982" s="43"/>
    </row>
    <row r="983">
      <c r="A983" s="34"/>
      <c r="G983" s="46"/>
      <c r="H983" s="46"/>
      <c r="I983" s="46"/>
      <c r="J983" s="43"/>
      <c r="K983" s="43"/>
      <c r="L983" s="43"/>
    </row>
    <row r="984">
      <c r="A984" s="34"/>
      <c r="G984" s="46"/>
      <c r="H984" s="46"/>
      <c r="I984" s="46"/>
      <c r="J984" s="43"/>
      <c r="K984" s="43"/>
      <c r="L984" s="43"/>
    </row>
    <row r="985">
      <c r="A985" s="34"/>
      <c r="G985" s="46"/>
      <c r="H985" s="46"/>
      <c r="I985" s="46"/>
      <c r="J985" s="43"/>
      <c r="K985" s="43"/>
      <c r="L985" s="43"/>
    </row>
    <row r="986">
      <c r="A986" s="34"/>
      <c r="G986" s="46"/>
      <c r="H986" s="46"/>
      <c r="I986" s="46"/>
      <c r="J986" s="43"/>
      <c r="K986" s="43"/>
      <c r="L986" s="43"/>
    </row>
    <row r="987">
      <c r="A987" s="34"/>
      <c r="G987" s="46"/>
      <c r="H987" s="46"/>
      <c r="I987" s="46"/>
      <c r="J987" s="43"/>
      <c r="K987" s="43"/>
      <c r="L987" s="43"/>
    </row>
    <row r="988">
      <c r="A988" s="34"/>
      <c r="G988" s="46"/>
      <c r="H988" s="46"/>
      <c r="I988" s="46"/>
      <c r="J988" s="43"/>
      <c r="K988" s="43"/>
      <c r="L988" s="43"/>
    </row>
    <row r="989">
      <c r="A989" s="34"/>
      <c r="G989" s="46"/>
      <c r="H989" s="46"/>
      <c r="I989" s="46"/>
      <c r="J989" s="43"/>
      <c r="K989" s="43"/>
      <c r="L989" s="43"/>
    </row>
    <row r="990">
      <c r="A990" s="34"/>
      <c r="G990" s="46"/>
      <c r="H990" s="46"/>
      <c r="I990" s="46"/>
      <c r="J990" s="43"/>
      <c r="K990" s="43"/>
      <c r="L990" s="43"/>
    </row>
    <row r="991">
      <c r="A991" s="34"/>
      <c r="G991" s="46"/>
      <c r="H991" s="46"/>
      <c r="I991" s="46"/>
      <c r="J991" s="43"/>
      <c r="K991" s="43"/>
      <c r="L991" s="43"/>
    </row>
    <row r="992">
      <c r="A992" s="34"/>
      <c r="G992" s="46"/>
      <c r="H992" s="46"/>
      <c r="I992" s="46"/>
      <c r="J992" s="43"/>
      <c r="K992" s="43"/>
      <c r="L992" s="43"/>
    </row>
    <row r="993">
      <c r="A993" s="34"/>
      <c r="G993" s="46"/>
      <c r="H993" s="46"/>
      <c r="I993" s="46"/>
      <c r="J993" s="43"/>
      <c r="K993" s="43"/>
      <c r="L993" s="43"/>
    </row>
    <row r="994">
      <c r="A994" s="34"/>
      <c r="G994" s="46"/>
      <c r="H994" s="46"/>
      <c r="I994" s="46"/>
      <c r="J994" s="43"/>
      <c r="K994" s="43"/>
      <c r="L994" s="43"/>
    </row>
    <row r="995">
      <c r="A995" s="34"/>
      <c r="G995" s="46"/>
      <c r="H995" s="46"/>
      <c r="I995" s="46"/>
      <c r="J995" s="43"/>
      <c r="K995" s="43"/>
      <c r="L995" s="43"/>
    </row>
    <row r="996">
      <c r="A996" s="34"/>
      <c r="G996" s="46"/>
      <c r="H996" s="46"/>
      <c r="I996" s="46"/>
      <c r="J996" s="43"/>
      <c r="K996" s="43"/>
      <c r="L996" s="43"/>
    </row>
    <row r="997">
      <c r="A997" s="34"/>
      <c r="G997" s="46"/>
      <c r="H997" s="46"/>
      <c r="I997" s="46"/>
      <c r="J997" s="43"/>
      <c r="K997" s="43"/>
      <c r="L997" s="43"/>
    </row>
    <row r="998">
      <c r="A998" s="34"/>
      <c r="G998" s="46"/>
      <c r="H998" s="46"/>
      <c r="I998" s="46"/>
      <c r="J998" s="43"/>
      <c r="K998" s="43"/>
      <c r="L998" s="43"/>
    </row>
    <row r="999">
      <c r="A999" s="34"/>
      <c r="G999" s="46"/>
      <c r="H999" s="46"/>
      <c r="I999" s="46"/>
      <c r="J999" s="43"/>
      <c r="K999" s="43"/>
      <c r="L999" s="43"/>
    </row>
    <row r="1000">
      <c r="A1000" s="34"/>
      <c r="G1000" s="46"/>
      <c r="H1000" s="46"/>
      <c r="I1000" s="46"/>
      <c r="J1000" s="43"/>
      <c r="K1000" s="43"/>
      <c r="L1000" s="43"/>
    </row>
    <row r="1001">
      <c r="A1001" s="34"/>
      <c r="G1001" s="46"/>
      <c r="H1001" s="46"/>
      <c r="I1001" s="46"/>
      <c r="J1001" s="43"/>
      <c r="K1001" s="43"/>
      <c r="L1001" s="43"/>
    </row>
    <row r="1002">
      <c r="A1002" s="34"/>
      <c r="G1002" s="46"/>
      <c r="H1002" s="46"/>
      <c r="I1002" s="46"/>
      <c r="J1002" s="43"/>
      <c r="K1002" s="43"/>
      <c r="L1002" s="43"/>
    </row>
    <row r="1003">
      <c r="A1003" s="34"/>
      <c r="G1003" s="46"/>
      <c r="H1003" s="46"/>
      <c r="I1003" s="46"/>
      <c r="J1003" s="43"/>
      <c r="K1003" s="43"/>
      <c r="L1003" s="43"/>
    </row>
    <row r="1004">
      <c r="A1004" s="34"/>
      <c r="G1004" s="46"/>
      <c r="H1004" s="46"/>
      <c r="I1004" s="46"/>
      <c r="J1004" s="43"/>
      <c r="K1004" s="43"/>
      <c r="L1004" s="43"/>
    </row>
    <row r="1005">
      <c r="A1005" s="34"/>
      <c r="G1005" s="46"/>
      <c r="H1005" s="46"/>
      <c r="I1005" s="46"/>
      <c r="J1005" s="43"/>
      <c r="K1005" s="43"/>
      <c r="L1005" s="43"/>
    </row>
    <row r="1006">
      <c r="A1006" s="34"/>
      <c r="G1006" s="46"/>
      <c r="H1006" s="46"/>
      <c r="I1006" s="46"/>
      <c r="J1006" s="43"/>
      <c r="K1006" s="43"/>
      <c r="L1006" s="43"/>
    </row>
    <row r="1007">
      <c r="A1007" s="34"/>
      <c r="G1007" s="46"/>
      <c r="H1007" s="46"/>
      <c r="I1007" s="46"/>
      <c r="J1007" s="43"/>
      <c r="K1007" s="43"/>
      <c r="L1007" s="43"/>
    </row>
    <row r="1008">
      <c r="A1008" s="34"/>
      <c r="G1008" s="46"/>
      <c r="H1008" s="46"/>
      <c r="I1008" s="46"/>
      <c r="J1008" s="43"/>
      <c r="K1008" s="43"/>
      <c r="L1008" s="43"/>
    </row>
    <row r="1009">
      <c r="A1009" s="34"/>
      <c r="G1009" s="46"/>
      <c r="H1009" s="46"/>
      <c r="I1009" s="46"/>
      <c r="J1009" s="43"/>
      <c r="K1009" s="43"/>
      <c r="L1009" s="43"/>
    </row>
    <row r="1010">
      <c r="A1010" s="34"/>
      <c r="G1010" s="46"/>
      <c r="H1010" s="46"/>
      <c r="I1010" s="46"/>
      <c r="J1010" s="43"/>
      <c r="K1010" s="43"/>
      <c r="L1010" s="43"/>
    </row>
    <row r="1011">
      <c r="A1011" s="34"/>
      <c r="G1011" s="46"/>
      <c r="H1011" s="46"/>
      <c r="I1011" s="46"/>
      <c r="J1011" s="43"/>
      <c r="K1011" s="43"/>
      <c r="L1011" s="43"/>
    </row>
    <row r="1012">
      <c r="A1012" s="34"/>
      <c r="G1012" s="46"/>
      <c r="H1012" s="46"/>
      <c r="I1012" s="46"/>
      <c r="J1012" s="43"/>
      <c r="K1012" s="43"/>
      <c r="L1012" s="43"/>
    </row>
    <row r="1013">
      <c r="A1013" s="34"/>
      <c r="G1013" s="46"/>
      <c r="H1013" s="46"/>
      <c r="I1013" s="46"/>
      <c r="J1013" s="43"/>
      <c r="K1013" s="43"/>
      <c r="L1013" s="43"/>
    </row>
    <row r="1014">
      <c r="A1014" s="34"/>
      <c r="G1014" s="46"/>
      <c r="H1014" s="46"/>
      <c r="I1014" s="46"/>
      <c r="J1014" s="43"/>
      <c r="K1014" s="43"/>
      <c r="L1014" s="43"/>
    </row>
    <row r="1015">
      <c r="A1015" s="34"/>
      <c r="G1015" s="46"/>
      <c r="H1015" s="46"/>
      <c r="I1015" s="46"/>
      <c r="J1015" s="43"/>
      <c r="K1015" s="43"/>
      <c r="L1015" s="43"/>
    </row>
    <row r="1016">
      <c r="A1016" s="34"/>
      <c r="G1016" s="46"/>
      <c r="H1016" s="46"/>
      <c r="I1016" s="46"/>
      <c r="J1016" s="43"/>
      <c r="K1016" s="43"/>
      <c r="L1016" s="43"/>
    </row>
    <row r="1017">
      <c r="A1017" s="34"/>
      <c r="G1017" s="46"/>
      <c r="H1017" s="46"/>
      <c r="I1017" s="46"/>
      <c r="J1017" s="43"/>
      <c r="K1017" s="43"/>
      <c r="L1017" s="43"/>
    </row>
    <row r="1018">
      <c r="A1018" s="34"/>
      <c r="G1018" s="46"/>
      <c r="H1018" s="46"/>
      <c r="I1018" s="46"/>
      <c r="J1018" s="43"/>
      <c r="K1018" s="43"/>
      <c r="L1018" s="43"/>
    </row>
    <row r="1019">
      <c r="A1019" s="34"/>
      <c r="G1019" s="46"/>
      <c r="H1019" s="46"/>
      <c r="I1019" s="46"/>
      <c r="J1019" s="43"/>
      <c r="K1019" s="43"/>
      <c r="L1019" s="43"/>
    </row>
    <row r="1020">
      <c r="A1020" s="34"/>
      <c r="G1020" s="46"/>
      <c r="H1020" s="46"/>
      <c r="I1020" s="46"/>
      <c r="J1020" s="43"/>
      <c r="K1020" s="43"/>
      <c r="L1020" s="43"/>
    </row>
    <row r="1021">
      <c r="A1021" s="34"/>
      <c r="G1021" s="46"/>
      <c r="H1021" s="46"/>
      <c r="I1021" s="46"/>
      <c r="J1021" s="43"/>
      <c r="K1021" s="43"/>
      <c r="L1021" s="43"/>
    </row>
    <row r="1022">
      <c r="A1022" s="34"/>
      <c r="G1022" s="46"/>
      <c r="H1022" s="46"/>
      <c r="I1022" s="46"/>
      <c r="J1022" s="43"/>
      <c r="K1022" s="43"/>
      <c r="L1022" s="43"/>
    </row>
    <row r="1023">
      <c r="A1023" s="34"/>
      <c r="G1023" s="46"/>
      <c r="H1023" s="46"/>
      <c r="I1023" s="46"/>
      <c r="J1023" s="43"/>
      <c r="K1023" s="43"/>
      <c r="L1023" s="43"/>
    </row>
    <row r="1024">
      <c r="A1024" s="34"/>
      <c r="G1024" s="46"/>
      <c r="H1024" s="46"/>
      <c r="I1024" s="46"/>
      <c r="J1024" s="43"/>
      <c r="K1024" s="43"/>
      <c r="L1024" s="43"/>
    </row>
    <row r="1025">
      <c r="A1025" s="34"/>
      <c r="G1025" s="46"/>
      <c r="H1025" s="46"/>
      <c r="I1025" s="46"/>
      <c r="J1025" s="43"/>
      <c r="K1025" s="43"/>
      <c r="L1025" s="43"/>
    </row>
    <row r="1026">
      <c r="A1026" s="34"/>
      <c r="G1026" s="46"/>
      <c r="H1026" s="46"/>
      <c r="I1026" s="46"/>
      <c r="J1026" s="43"/>
      <c r="K1026" s="43"/>
      <c r="L1026" s="43"/>
    </row>
    <row r="1027">
      <c r="A1027" s="34"/>
      <c r="G1027" s="46"/>
      <c r="H1027" s="46"/>
      <c r="I1027" s="46"/>
      <c r="J1027" s="43"/>
      <c r="K1027" s="43"/>
      <c r="L1027" s="43"/>
    </row>
    <row r="1028">
      <c r="A1028" s="34"/>
      <c r="G1028" s="46"/>
      <c r="H1028" s="46"/>
      <c r="I1028" s="46"/>
      <c r="J1028" s="43"/>
      <c r="K1028" s="43"/>
      <c r="L1028" s="43"/>
    </row>
    <row r="1029">
      <c r="A1029" s="34"/>
      <c r="G1029" s="46"/>
      <c r="H1029" s="46"/>
      <c r="I1029" s="46"/>
      <c r="J1029" s="43"/>
      <c r="K1029" s="43"/>
      <c r="L1029" s="43"/>
    </row>
    <row r="1030">
      <c r="A1030" s="34"/>
      <c r="G1030" s="46"/>
      <c r="H1030" s="46"/>
      <c r="I1030" s="46"/>
      <c r="J1030" s="43"/>
      <c r="K1030" s="43"/>
      <c r="L1030" s="43"/>
    </row>
    <row r="1031">
      <c r="A1031" s="34"/>
      <c r="G1031" s="46"/>
      <c r="H1031" s="46"/>
      <c r="I1031" s="46"/>
      <c r="J1031" s="43"/>
      <c r="K1031" s="43"/>
      <c r="L1031" s="43"/>
    </row>
    <row r="1032">
      <c r="A1032" s="34"/>
      <c r="G1032" s="46"/>
      <c r="H1032" s="46"/>
      <c r="I1032" s="46"/>
      <c r="J1032" s="43"/>
      <c r="K1032" s="43"/>
      <c r="L1032" s="43"/>
    </row>
    <row r="1033">
      <c r="A1033" s="34"/>
      <c r="G1033" s="46"/>
      <c r="H1033" s="46"/>
      <c r="I1033" s="46"/>
      <c r="J1033" s="43"/>
      <c r="K1033" s="43"/>
      <c r="L1033" s="43"/>
    </row>
    <row r="1034">
      <c r="A1034" s="34"/>
      <c r="G1034" s="46"/>
      <c r="H1034" s="46"/>
      <c r="I1034" s="46"/>
      <c r="J1034" s="43"/>
      <c r="K1034" s="43"/>
      <c r="L1034" s="43"/>
    </row>
    <row r="1035">
      <c r="A1035" s="34"/>
      <c r="G1035" s="46"/>
      <c r="H1035" s="46"/>
      <c r="I1035" s="46"/>
      <c r="J1035" s="43"/>
      <c r="K1035" s="43"/>
      <c r="L1035" s="43"/>
    </row>
    <row r="1036">
      <c r="A1036" s="34"/>
      <c r="G1036" s="46"/>
      <c r="H1036" s="46"/>
      <c r="I1036" s="46"/>
      <c r="J1036" s="43"/>
      <c r="K1036" s="43"/>
      <c r="L1036" s="43"/>
    </row>
    <row r="1037">
      <c r="A1037" s="34"/>
      <c r="G1037" s="46"/>
      <c r="H1037" s="46"/>
      <c r="I1037" s="46"/>
      <c r="J1037" s="43"/>
      <c r="K1037" s="43"/>
      <c r="L1037" s="43"/>
    </row>
    <row r="1038">
      <c r="A1038" s="34"/>
      <c r="G1038" s="46"/>
      <c r="H1038" s="46"/>
      <c r="I1038" s="46"/>
      <c r="J1038" s="43"/>
      <c r="K1038" s="43"/>
      <c r="L1038" s="43"/>
    </row>
    <row r="1039">
      <c r="A1039" s="34"/>
      <c r="G1039" s="46"/>
      <c r="H1039" s="46"/>
      <c r="I1039" s="46"/>
      <c r="J1039" s="43"/>
      <c r="K1039" s="43"/>
      <c r="L1039" s="43"/>
    </row>
    <row r="1040">
      <c r="A1040" s="34"/>
      <c r="G1040" s="46"/>
      <c r="H1040" s="46"/>
      <c r="I1040" s="46"/>
      <c r="J1040" s="43"/>
      <c r="K1040" s="43"/>
      <c r="L1040" s="43"/>
    </row>
    <row r="1041">
      <c r="A1041" s="34"/>
      <c r="G1041" s="46"/>
      <c r="H1041" s="46"/>
      <c r="I1041" s="46"/>
      <c r="J1041" s="43"/>
      <c r="K1041" s="43"/>
      <c r="L1041" s="43"/>
    </row>
    <row r="1042">
      <c r="A1042" s="34"/>
      <c r="G1042" s="46"/>
      <c r="H1042" s="46"/>
      <c r="I1042" s="46"/>
      <c r="J1042" s="43"/>
      <c r="K1042" s="43"/>
      <c r="L1042" s="43"/>
    </row>
    <row r="1043">
      <c r="A1043" s="34"/>
      <c r="G1043" s="46"/>
      <c r="H1043" s="46"/>
      <c r="I1043" s="46"/>
      <c r="J1043" s="43"/>
      <c r="K1043" s="43"/>
      <c r="L1043" s="43"/>
    </row>
    <row r="1044">
      <c r="A1044" s="34"/>
      <c r="G1044" s="46"/>
      <c r="H1044" s="46"/>
      <c r="I1044" s="46"/>
      <c r="J1044" s="43"/>
      <c r="K1044" s="43"/>
      <c r="L1044" s="43"/>
    </row>
    <row r="1045">
      <c r="A1045" s="34"/>
      <c r="G1045" s="46"/>
      <c r="H1045" s="46"/>
      <c r="I1045" s="46"/>
      <c r="J1045" s="43"/>
      <c r="K1045" s="43"/>
      <c r="L1045" s="43"/>
    </row>
    <row r="1046">
      <c r="A1046" s="34"/>
      <c r="G1046" s="46"/>
      <c r="H1046" s="46"/>
      <c r="I1046" s="46"/>
      <c r="J1046" s="43"/>
      <c r="K1046" s="43"/>
      <c r="L1046" s="43"/>
    </row>
    <row r="1047">
      <c r="A1047" s="34"/>
      <c r="G1047" s="46"/>
      <c r="H1047" s="46"/>
      <c r="I1047" s="46"/>
      <c r="J1047" s="43"/>
      <c r="K1047" s="43"/>
      <c r="L1047" s="43"/>
    </row>
    <row r="1048">
      <c r="A1048" s="34"/>
      <c r="G1048" s="46"/>
      <c r="H1048" s="46"/>
      <c r="I1048" s="46"/>
      <c r="J1048" s="43"/>
      <c r="K1048" s="43"/>
      <c r="L1048" s="43"/>
    </row>
    <row r="1049">
      <c r="A1049" s="34"/>
      <c r="G1049" s="46"/>
      <c r="H1049" s="46"/>
      <c r="I1049" s="46"/>
      <c r="J1049" s="43"/>
      <c r="K1049" s="43"/>
      <c r="L1049" s="43"/>
    </row>
    <row r="1050">
      <c r="A1050" s="34"/>
      <c r="G1050" s="46"/>
      <c r="H1050" s="46"/>
      <c r="I1050" s="46"/>
      <c r="J1050" s="43"/>
      <c r="K1050" s="43"/>
      <c r="L1050" s="43"/>
    </row>
    <row r="1051">
      <c r="A1051" s="34"/>
      <c r="G1051" s="46"/>
      <c r="H1051" s="46"/>
      <c r="I1051" s="46"/>
      <c r="J1051" s="43"/>
      <c r="K1051" s="43"/>
      <c r="L1051" s="43"/>
    </row>
    <row r="1052">
      <c r="A1052" s="34"/>
      <c r="G1052" s="46"/>
      <c r="H1052" s="46"/>
      <c r="I1052" s="46"/>
      <c r="J1052" s="43"/>
      <c r="K1052" s="43"/>
      <c r="L1052" s="43"/>
    </row>
    <row r="1053">
      <c r="A1053" s="34"/>
      <c r="G1053" s="46"/>
      <c r="H1053" s="46"/>
      <c r="I1053" s="46"/>
      <c r="J1053" s="43"/>
      <c r="K1053" s="43"/>
      <c r="L1053" s="43"/>
    </row>
    <row r="1054">
      <c r="A1054" s="34"/>
      <c r="G1054" s="46"/>
      <c r="H1054" s="46"/>
      <c r="I1054" s="46"/>
      <c r="J1054" s="43"/>
      <c r="K1054" s="43"/>
      <c r="L1054" s="43"/>
    </row>
    <row r="1055">
      <c r="A1055" s="34"/>
      <c r="G1055" s="46"/>
      <c r="H1055" s="46"/>
      <c r="I1055" s="46"/>
      <c r="J1055" s="43"/>
      <c r="K1055" s="43"/>
      <c r="L1055" s="43"/>
    </row>
    <row r="1056">
      <c r="A1056" s="34"/>
      <c r="G1056" s="46"/>
      <c r="H1056" s="46"/>
      <c r="I1056" s="46"/>
      <c r="J1056" s="43"/>
      <c r="K1056" s="43"/>
      <c r="L1056" s="43"/>
    </row>
    <row r="1057">
      <c r="A1057" s="34"/>
      <c r="G1057" s="46"/>
      <c r="H1057" s="46"/>
      <c r="I1057" s="46"/>
      <c r="J1057" s="43"/>
      <c r="K1057" s="43"/>
      <c r="L1057" s="43"/>
    </row>
    <row r="1058">
      <c r="A1058" s="34"/>
      <c r="G1058" s="46"/>
      <c r="H1058" s="46"/>
      <c r="I1058" s="46"/>
      <c r="J1058" s="43"/>
      <c r="K1058" s="43"/>
      <c r="L1058" s="43"/>
    </row>
    <row r="1059">
      <c r="A1059" s="34"/>
      <c r="G1059" s="46"/>
      <c r="H1059" s="46"/>
      <c r="I1059" s="46"/>
      <c r="J1059" s="43"/>
      <c r="K1059" s="43"/>
      <c r="L1059" s="43"/>
    </row>
    <row r="1060">
      <c r="A1060" s="34"/>
      <c r="G1060" s="46"/>
      <c r="H1060" s="46"/>
      <c r="I1060" s="46"/>
      <c r="J1060" s="43"/>
      <c r="K1060" s="43"/>
      <c r="L1060" s="43"/>
    </row>
    <row r="1061">
      <c r="A1061" s="34"/>
      <c r="G1061" s="46"/>
      <c r="H1061" s="46"/>
      <c r="I1061" s="46"/>
      <c r="J1061" s="43"/>
      <c r="K1061" s="43"/>
      <c r="L1061" s="43"/>
    </row>
    <row r="1062">
      <c r="A1062" s="34"/>
      <c r="G1062" s="46"/>
      <c r="H1062" s="46"/>
      <c r="I1062" s="46"/>
      <c r="J1062" s="43"/>
      <c r="K1062" s="43"/>
      <c r="L1062" s="43"/>
    </row>
    <row r="1063">
      <c r="A1063" s="34"/>
      <c r="G1063" s="46"/>
      <c r="H1063" s="46"/>
      <c r="I1063" s="46"/>
      <c r="J1063" s="43"/>
      <c r="K1063" s="43"/>
      <c r="L1063" s="43"/>
    </row>
    <row r="1064">
      <c r="A1064" s="34"/>
      <c r="G1064" s="46"/>
      <c r="H1064" s="46"/>
      <c r="I1064" s="46"/>
      <c r="J1064" s="43"/>
      <c r="K1064" s="43"/>
      <c r="L1064" s="43"/>
    </row>
    <row r="1065">
      <c r="A1065" s="34"/>
      <c r="G1065" s="46"/>
      <c r="H1065" s="46"/>
      <c r="I1065" s="46"/>
      <c r="J1065" s="43"/>
      <c r="K1065" s="43"/>
      <c r="L1065" s="43"/>
    </row>
    <row r="1066">
      <c r="A1066" s="34"/>
      <c r="G1066" s="46"/>
      <c r="H1066" s="46"/>
      <c r="I1066" s="46"/>
      <c r="J1066" s="43"/>
      <c r="K1066" s="43"/>
      <c r="L1066" s="43"/>
    </row>
    <row r="1067">
      <c r="A1067" s="34"/>
      <c r="G1067" s="46"/>
      <c r="H1067" s="46"/>
      <c r="I1067" s="46"/>
      <c r="J1067" s="43"/>
      <c r="K1067" s="43"/>
      <c r="L1067" s="43"/>
    </row>
    <row r="1068">
      <c r="A1068" s="34"/>
      <c r="G1068" s="46"/>
      <c r="H1068" s="46"/>
      <c r="I1068" s="46"/>
      <c r="J1068" s="43"/>
      <c r="K1068" s="43"/>
      <c r="L1068" s="43"/>
    </row>
    <row r="1069">
      <c r="A1069" s="34"/>
      <c r="G1069" s="46"/>
      <c r="H1069" s="46"/>
      <c r="I1069" s="46"/>
      <c r="J1069" s="43"/>
      <c r="K1069" s="43"/>
      <c r="L1069" s="43"/>
    </row>
    <row r="1070">
      <c r="A1070" s="34"/>
      <c r="G1070" s="46"/>
      <c r="H1070" s="46"/>
      <c r="I1070" s="46"/>
      <c r="J1070" s="43"/>
      <c r="K1070" s="43"/>
      <c r="L1070" s="43"/>
    </row>
    <row r="1071">
      <c r="A1071" s="34"/>
      <c r="G1071" s="46"/>
      <c r="H1071" s="46"/>
      <c r="I1071" s="46"/>
      <c r="J1071" s="43"/>
      <c r="K1071" s="43"/>
      <c r="L1071" s="43"/>
    </row>
    <row r="1072">
      <c r="A1072" s="34"/>
      <c r="G1072" s="46"/>
      <c r="H1072" s="46"/>
      <c r="I1072" s="46"/>
      <c r="J1072" s="43"/>
      <c r="K1072" s="43"/>
      <c r="L1072" s="43"/>
    </row>
    <row r="1073">
      <c r="A1073" s="34"/>
      <c r="G1073" s="46"/>
      <c r="H1073" s="46"/>
      <c r="I1073" s="46"/>
      <c r="J1073" s="43"/>
      <c r="K1073" s="43"/>
      <c r="L1073" s="43"/>
    </row>
    <row r="1074">
      <c r="A1074" s="34"/>
      <c r="G1074" s="46"/>
      <c r="H1074" s="46"/>
      <c r="I1074" s="46"/>
      <c r="J1074" s="43"/>
      <c r="K1074" s="43"/>
      <c r="L1074" s="43"/>
    </row>
    <row r="1075">
      <c r="A1075" s="34"/>
      <c r="G1075" s="46"/>
      <c r="H1075" s="46"/>
      <c r="I1075" s="46"/>
      <c r="J1075" s="43"/>
      <c r="K1075" s="43"/>
      <c r="L1075" s="43"/>
    </row>
    <row r="1076">
      <c r="A1076" s="34"/>
      <c r="G1076" s="46"/>
      <c r="H1076" s="46"/>
      <c r="I1076" s="46"/>
      <c r="J1076" s="43"/>
      <c r="K1076" s="43"/>
      <c r="L1076" s="43"/>
    </row>
    <row r="1077">
      <c r="A1077" s="34"/>
      <c r="G1077" s="46"/>
      <c r="H1077" s="46"/>
      <c r="I1077" s="46"/>
      <c r="J1077" s="43"/>
      <c r="K1077" s="43"/>
      <c r="L1077" s="43"/>
    </row>
    <row r="1078">
      <c r="A1078" s="34"/>
      <c r="G1078" s="46"/>
      <c r="H1078" s="46"/>
      <c r="I1078" s="46"/>
      <c r="J1078" s="43"/>
      <c r="K1078" s="43"/>
      <c r="L1078" s="43"/>
    </row>
    <row r="1079">
      <c r="A1079" s="34"/>
      <c r="G1079" s="46"/>
      <c r="H1079" s="46"/>
      <c r="I1079" s="46"/>
      <c r="J1079" s="43"/>
      <c r="K1079" s="43"/>
      <c r="L1079" s="43"/>
    </row>
    <row r="1080">
      <c r="A1080" s="34"/>
      <c r="G1080" s="46"/>
      <c r="H1080" s="46"/>
      <c r="I1080" s="46"/>
      <c r="J1080" s="43"/>
      <c r="K1080" s="43"/>
      <c r="L1080" s="43"/>
    </row>
    <row r="1081">
      <c r="A1081" s="34"/>
      <c r="G1081" s="46"/>
      <c r="H1081" s="46"/>
      <c r="I1081" s="46"/>
      <c r="J1081" s="43"/>
      <c r="K1081" s="43"/>
      <c r="L1081" s="43"/>
    </row>
    <row r="1082">
      <c r="A1082" s="34"/>
      <c r="G1082" s="46"/>
      <c r="H1082" s="46"/>
      <c r="I1082" s="46"/>
      <c r="J1082" s="43"/>
      <c r="K1082" s="43"/>
      <c r="L1082" s="43"/>
    </row>
    <row r="1083">
      <c r="A1083" s="34"/>
      <c r="G1083" s="46"/>
      <c r="H1083" s="46"/>
      <c r="I1083" s="46"/>
      <c r="J1083" s="43"/>
      <c r="K1083" s="43"/>
      <c r="L1083" s="43"/>
    </row>
    <row r="1084">
      <c r="A1084" s="34"/>
      <c r="G1084" s="46"/>
      <c r="H1084" s="46"/>
      <c r="I1084" s="46"/>
      <c r="J1084" s="43"/>
      <c r="K1084" s="43"/>
      <c r="L1084" s="43"/>
    </row>
    <row r="1085">
      <c r="A1085" s="34"/>
      <c r="G1085" s="46"/>
      <c r="H1085" s="46"/>
      <c r="I1085" s="46"/>
      <c r="J1085" s="43"/>
      <c r="K1085" s="43"/>
      <c r="L1085" s="43"/>
    </row>
    <row r="1086">
      <c r="A1086" s="34"/>
      <c r="G1086" s="46"/>
      <c r="H1086" s="46"/>
      <c r="I1086" s="46"/>
      <c r="J1086" s="43"/>
      <c r="K1086" s="43"/>
      <c r="L1086" s="43"/>
    </row>
    <row r="1087">
      <c r="A1087" s="34"/>
      <c r="G1087" s="46"/>
      <c r="H1087" s="46"/>
      <c r="I1087" s="46"/>
      <c r="J1087" s="43"/>
      <c r="K1087" s="43"/>
      <c r="L1087" s="43"/>
    </row>
    <row r="1088">
      <c r="A1088" s="34"/>
      <c r="G1088" s="46"/>
      <c r="H1088" s="46"/>
      <c r="I1088" s="46"/>
      <c r="J1088" s="43"/>
      <c r="K1088" s="43"/>
      <c r="L1088" s="43"/>
    </row>
    <row r="1089">
      <c r="A1089" s="34"/>
      <c r="G1089" s="46"/>
      <c r="H1089" s="46"/>
      <c r="I1089" s="46"/>
      <c r="J1089" s="43"/>
      <c r="K1089" s="43"/>
      <c r="L1089" s="43"/>
    </row>
    <row r="1090">
      <c r="A1090" s="34"/>
      <c r="G1090" s="46"/>
      <c r="H1090" s="46"/>
      <c r="I1090" s="46"/>
      <c r="J1090" s="43"/>
      <c r="K1090" s="43"/>
      <c r="L1090" s="43"/>
    </row>
    <row r="1091">
      <c r="A1091" s="34"/>
      <c r="G1091" s="46"/>
      <c r="H1091" s="46"/>
      <c r="I1091" s="46"/>
      <c r="J1091" s="43"/>
      <c r="K1091" s="43"/>
      <c r="L1091" s="43"/>
    </row>
    <row r="1092">
      <c r="A1092" s="34"/>
      <c r="G1092" s="46"/>
      <c r="H1092" s="46"/>
      <c r="I1092" s="46"/>
      <c r="J1092" s="43"/>
      <c r="K1092" s="43"/>
      <c r="L1092" s="43"/>
    </row>
    <row r="1093">
      <c r="A1093" s="34"/>
      <c r="G1093" s="46"/>
      <c r="H1093" s="46"/>
      <c r="I1093" s="46"/>
      <c r="J1093" s="43"/>
      <c r="K1093" s="43"/>
      <c r="L1093" s="43"/>
    </row>
    <row r="1094">
      <c r="A1094" s="34"/>
      <c r="G1094" s="46"/>
      <c r="H1094" s="46"/>
      <c r="I1094" s="46"/>
      <c r="J1094" s="43"/>
      <c r="K1094" s="43"/>
      <c r="L1094" s="43"/>
    </row>
    <row r="1095">
      <c r="A1095" s="34"/>
      <c r="G1095" s="46"/>
      <c r="H1095" s="46"/>
      <c r="I1095" s="46"/>
      <c r="J1095" s="43"/>
      <c r="K1095" s="43"/>
      <c r="L1095" s="43"/>
    </row>
    <row r="1096">
      <c r="A1096" s="34"/>
      <c r="G1096" s="46"/>
      <c r="H1096" s="46"/>
      <c r="I1096" s="46"/>
      <c r="J1096" s="43"/>
      <c r="K1096" s="43"/>
      <c r="L1096" s="43"/>
    </row>
    <row r="1097">
      <c r="A1097" s="34"/>
      <c r="G1097" s="46"/>
      <c r="H1097" s="46"/>
      <c r="I1097" s="46"/>
      <c r="J1097" s="43"/>
      <c r="K1097" s="43"/>
      <c r="L1097" s="43"/>
    </row>
    <row r="1098">
      <c r="A1098" s="34"/>
      <c r="G1098" s="46"/>
      <c r="H1098" s="46"/>
      <c r="I1098" s="46"/>
      <c r="J1098" s="43"/>
      <c r="K1098" s="43"/>
      <c r="L1098" s="43"/>
    </row>
    <row r="1099">
      <c r="A1099" s="34"/>
      <c r="G1099" s="46"/>
      <c r="H1099" s="46"/>
      <c r="I1099" s="46"/>
      <c r="J1099" s="43"/>
      <c r="K1099" s="43"/>
      <c r="L1099" s="43"/>
    </row>
    <row r="1100">
      <c r="A1100" s="34"/>
      <c r="G1100" s="46"/>
      <c r="H1100" s="46"/>
      <c r="I1100" s="46"/>
      <c r="J1100" s="43"/>
      <c r="K1100" s="43"/>
      <c r="L1100" s="43"/>
    </row>
    <row r="1101">
      <c r="A1101" s="34"/>
      <c r="G1101" s="46"/>
      <c r="H1101" s="46"/>
      <c r="I1101" s="46"/>
      <c r="J1101" s="43"/>
      <c r="K1101" s="43"/>
      <c r="L1101" s="43"/>
    </row>
    <row r="1102">
      <c r="A1102" s="34"/>
      <c r="G1102" s="46"/>
      <c r="H1102" s="46"/>
      <c r="I1102" s="46"/>
      <c r="J1102" s="43"/>
      <c r="K1102" s="43"/>
      <c r="L1102" s="43"/>
    </row>
    <row r="1103">
      <c r="A1103" s="34"/>
      <c r="G1103" s="46"/>
      <c r="H1103" s="46"/>
      <c r="I1103" s="46"/>
      <c r="J1103" s="43"/>
      <c r="K1103" s="43"/>
      <c r="L1103" s="43"/>
    </row>
    <row r="1104">
      <c r="A1104" s="34"/>
      <c r="G1104" s="46"/>
      <c r="H1104" s="46"/>
      <c r="I1104" s="46"/>
      <c r="J1104" s="43"/>
      <c r="K1104" s="43"/>
      <c r="L1104" s="43"/>
    </row>
    <row r="1105">
      <c r="A1105" s="34"/>
      <c r="G1105" s="46"/>
      <c r="H1105" s="46"/>
      <c r="I1105" s="46"/>
      <c r="J1105" s="43"/>
      <c r="K1105" s="43"/>
      <c r="L1105" s="43"/>
    </row>
    <row r="1106">
      <c r="A1106" s="34"/>
      <c r="G1106" s="46"/>
      <c r="H1106" s="46"/>
      <c r="I1106" s="46"/>
      <c r="J1106" s="43"/>
      <c r="K1106" s="43"/>
      <c r="L1106" s="43"/>
    </row>
    <row r="1107">
      <c r="A1107" s="34"/>
      <c r="G1107" s="46"/>
      <c r="H1107" s="46"/>
      <c r="I1107" s="46"/>
      <c r="J1107" s="43"/>
      <c r="K1107" s="43"/>
      <c r="L1107" s="43"/>
    </row>
    <row r="1108">
      <c r="A1108" s="34"/>
      <c r="G1108" s="46"/>
      <c r="H1108" s="46"/>
      <c r="I1108" s="46"/>
      <c r="J1108" s="43"/>
      <c r="K1108" s="43"/>
      <c r="L1108" s="43"/>
    </row>
    <row r="1109">
      <c r="A1109" s="34"/>
      <c r="G1109" s="46"/>
      <c r="H1109" s="46"/>
      <c r="I1109" s="46"/>
      <c r="J1109" s="43"/>
      <c r="K1109" s="43"/>
      <c r="L1109" s="43"/>
    </row>
    <row r="1110">
      <c r="A1110" s="34"/>
      <c r="G1110" s="46"/>
      <c r="H1110" s="46"/>
      <c r="I1110" s="46"/>
      <c r="J1110" s="43"/>
      <c r="K1110" s="43"/>
      <c r="L1110" s="43"/>
    </row>
    <row r="1111">
      <c r="A1111" s="34"/>
      <c r="G1111" s="46"/>
      <c r="H1111" s="46"/>
      <c r="I1111" s="46"/>
      <c r="J1111" s="43"/>
      <c r="K1111" s="43"/>
      <c r="L1111" s="43"/>
    </row>
    <row r="1112">
      <c r="A1112" s="34"/>
      <c r="G1112" s="46"/>
      <c r="H1112" s="46"/>
      <c r="I1112" s="46"/>
      <c r="J1112" s="43"/>
      <c r="K1112" s="43"/>
      <c r="L1112" s="43"/>
    </row>
    <row r="1113">
      <c r="A1113" s="34"/>
      <c r="G1113" s="46"/>
      <c r="H1113" s="46"/>
      <c r="I1113" s="46"/>
      <c r="J1113" s="43"/>
      <c r="K1113" s="43"/>
      <c r="L1113" s="43"/>
    </row>
    <row r="1114">
      <c r="A1114" s="34"/>
      <c r="G1114" s="46"/>
      <c r="H1114" s="46"/>
      <c r="I1114" s="46"/>
      <c r="J1114" s="43"/>
      <c r="K1114" s="43"/>
      <c r="L1114" s="43"/>
    </row>
    <row r="1115">
      <c r="A1115" s="34"/>
      <c r="G1115" s="46"/>
      <c r="H1115" s="46"/>
      <c r="I1115" s="46"/>
      <c r="J1115" s="43"/>
      <c r="K1115" s="43"/>
      <c r="L1115" s="43"/>
    </row>
    <row r="1116">
      <c r="A1116" s="34"/>
      <c r="G1116" s="46"/>
      <c r="H1116" s="46"/>
      <c r="I1116" s="46"/>
      <c r="J1116" s="43"/>
      <c r="K1116" s="43"/>
      <c r="L1116" s="43"/>
    </row>
    <row r="1117">
      <c r="A1117" s="34"/>
      <c r="G1117" s="46"/>
      <c r="H1117" s="46"/>
      <c r="I1117" s="46"/>
      <c r="J1117" s="43"/>
      <c r="K1117" s="43"/>
      <c r="L1117" s="43"/>
    </row>
    <row r="1118">
      <c r="A1118" s="34"/>
      <c r="G1118" s="46"/>
      <c r="H1118" s="46"/>
      <c r="I1118" s="46"/>
      <c r="J1118" s="43"/>
      <c r="K1118" s="43"/>
      <c r="L1118" s="43"/>
    </row>
    <row r="1119">
      <c r="A1119" s="34"/>
      <c r="G1119" s="46"/>
      <c r="H1119" s="46"/>
      <c r="I1119" s="46"/>
      <c r="J1119" s="43"/>
      <c r="K1119" s="43"/>
      <c r="L1119" s="43"/>
    </row>
    <row r="1120">
      <c r="A1120" s="34"/>
      <c r="G1120" s="46"/>
      <c r="H1120" s="46"/>
      <c r="I1120" s="46"/>
      <c r="J1120" s="43"/>
      <c r="K1120" s="43"/>
      <c r="L1120" s="43"/>
    </row>
    <row r="1121">
      <c r="A1121" s="34"/>
      <c r="G1121" s="46"/>
      <c r="H1121" s="46"/>
      <c r="I1121" s="46"/>
      <c r="J1121" s="43"/>
      <c r="K1121" s="43"/>
      <c r="L1121" s="43"/>
    </row>
    <row r="1122">
      <c r="A1122" s="34"/>
      <c r="G1122" s="46"/>
      <c r="H1122" s="46"/>
      <c r="I1122" s="46"/>
      <c r="J1122" s="43"/>
      <c r="K1122" s="43"/>
      <c r="L1122" s="43"/>
    </row>
    <row r="1123">
      <c r="A1123" s="34"/>
      <c r="G1123" s="46"/>
      <c r="H1123" s="46"/>
      <c r="I1123" s="46"/>
      <c r="J1123" s="43"/>
      <c r="K1123" s="43"/>
      <c r="L1123" s="43"/>
    </row>
    <row r="1124">
      <c r="A1124" s="34"/>
      <c r="G1124" s="46"/>
      <c r="H1124" s="46"/>
      <c r="I1124" s="46"/>
      <c r="J1124" s="43"/>
      <c r="K1124" s="43"/>
      <c r="L1124" s="43"/>
    </row>
    <row r="1125">
      <c r="A1125" s="34"/>
      <c r="G1125" s="46"/>
      <c r="H1125" s="46"/>
      <c r="I1125" s="46"/>
      <c r="J1125" s="43"/>
      <c r="K1125" s="43"/>
      <c r="L1125" s="43"/>
    </row>
    <row r="1126">
      <c r="A1126" s="34"/>
      <c r="G1126" s="46"/>
      <c r="H1126" s="46"/>
      <c r="I1126" s="46"/>
      <c r="J1126" s="43"/>
      <c r="K1126" s="43"/>
      <c r="L1126" s="43"/>
    </row>
    <row r="1127">
      <c r="A1127" s="34"/>
      <c r="G1127" s="46"/>
      <c r="H1127" s="46"/>
      <c r="I1127" s="46"/>
      <c r="J1127" s="43"/>
      <c r="K1127" s="43"/>
      <c r="L1127" s="43"/>
    </row>
    <row r="1128">
      <c r="A1128" s="34"/>
      <c r="G1128" s="46"/>
      <c r="H1128" s="46"/>
      <c r="I1128" s="46"/>
      <c r="J1128" s="43"/>
      <c r="K1128" s="43"/>
      <c r="L1128" s="43"/>
    </row>
    <row r="1129">
      <c r="A1129" s="34"/>
      <c r="G1129" s="46"/>
      <c r="H1129" s="46"/>
      <c r="I1129" s="46"/>
      <c r="J1129" s="43"/>
      <c r="K1129" s="43"/>
      <c r="L1129" s="43"/>
    </row>
    <row r="1130">
      <c r="A1130" s="34"/>
      <c r="G1130" s="46"/>
      <c r="H1130" s="46"/>
      <c r="I1130" s="46"/>
      <c r="J1130" s="43"/>
      <c r="K1130" s="43"/>
      <c r="L1130" s="43"/>
    </row>
    <row r="1131">
      <c r="A1131" s="34"/>
      <c r="G1131" s="46"/>
      <c r="H1131" s="46"/>
      <c r="I1131" s="46"/>
      <c r="J1131" s="43"/>
      <c r="K1131" s="43"/>
      <c r="L1131" s="43"/>
    </row>
    <row r="1132">
      <c r="A1132" s="34"/>
      <c r="G1132" s="46"/>
      <c r="H1132" s="46"/>
      <c r="I1132" s="46"/>
      <c r="J1132" s="43"/>
      <c r="K1132" s="43"/>
      <c r="L1132" s="43"/>
    </row>
    <row r="1133">
      <c r="A1133" s="34"/>
      <c r="G1133" s="46"/>
      <c r="H1133" s="46"/>
      <c r="I1133" s="46"/>
      <c r="J1133" s="43"/>
      <c r="K1133" s="43"/>
      <c r="L1133" s="43"/>
    </row>
    <row r="1134">
      <c r="A1134" s="34"/>
      <c r="G1134" s="46"/>
      <c r="H1134" s="46"/>
      <c r="I1134" s="46"/>
      <c r="J1134" s="43"/>
      <c r="K1134" s="43"/>
      <c r="L1134" s="43"/>
    </row>
    <row r="1135">
      <c r="A1135" s="34"/>
      <c r="G1135" s="46"/>
      <c r="H1135" s="46"/>
      <c r="I1135" s="46"/>
      <c r="J1135" s="43"/>
      <c r="K1135" s="43"/>
      <c r="L1135" s="43"/>
    </row>
    <row r="1136">
      <c r="A1136" s="34"/>
      <c r="G1136" s="46"/>
      <c r="H1136" s="46"/>
      <c r="I1136" s="46"/>
      <c r="J1136" s="43"/>
      <c r="K1136" s="43"/>
      <c r="L1136" s="43"/>
    </row>
    <row r="1137">
      <c r="A1137" s="34"/>
      <c r="G1137" s="46"/>
      <c r="H1137" s="46"/>
      <c r="I1137" s="46"/>
      <c r="J1137" s="43"/>
      <c r="K1137" s="43"/>
      <c r="L1137" s="43"/>
    </row>
    <row r="1138">
      <c r="A1138" s="34"/>
      <c r="G1138" s="46"/>
      <c r="H1138" s="46"/>
      <c r="I1138" s="46"/>
      <c r="J1138" s="43"/>
      <c r="K1138" s="43"/>
      <c r="L1138" s="43"/>
    </row>
    <row r="1139">
      <c r="A1139" s="34"/>
      <c r="G1139" s="46"/>
      <c r="H1139" s="46"/>
      <c r="I1139" s="46"/>
      <c r="J1139" s="43"/>
      <c r="K1139" s="43"/>
      <c r="L1139" s="43"/>
    </row>
    <row r="1140">
      <c r="A1140" s="34"/>
      <c r="G1140" s="46"/>
      <c r="H1140" s="46"/>
      <c r="I1140" s="46"/>
      <c r="J1140" s="43"/>
      <c r="K1140" s="43"/>
      <c r="L1140" s="43"/>
    </row>
    <row r="1141">
      <c r="A1141" s="34"/>
      <c r="G1141" s="46"/>
      <c r="H1141" s="46"/>
      <c r="I1141" s="46"/>
      <c r="J1141" s="43"/>
      <c r="K1141" s="43"/>
      <c r="L1141" s="43"/>
    </row>
    <row r="1142">
      <c r="A1142" s="34"/>
      <c r="G1142" s="46"/>
      <c r="H1142" s="46"/>
      <c r="I1142" s="46"/>
      <c r="J1142" s="43"/>
      <c r="K1142" s="43"/>
      <c r="L1142" s="43"/>
    </row>
    <row r="1143">
      <c r="A1143" s="34"/>
      <c r="G1143" s="46"/>
      <c r="H1143" s="46"/>
      <c r="I1143" s="46"/>
      <c r="J1143" s="43"/>
      <c r="K1143" s="43"/>
      <c r="L1143" s="43"/>
    </row>
    <row r="1144">
      <c r="A1144" s="34"/>
      <c r="G1144" s="46"/>
      <c r="H1144" s="46"/>
      <c r="I1144" s="46"/>
      <c r="J1144" s="43"/>
      <c r="K1144" s="43"/>
      <c r="L1144" s="43"/>
    </row>
    <row r="1145">
      <c r="A1145" s="34"/>
      <c r="G1145" s="46"/>
      <c r="H1145" s="46"/>
      <c r="I1145" s="46"/>
      <c r="J1145" s="43"/>
      <c r="K1145" s="43"/>
      <c r="L1145" s="43"/>
    </row>
    <row r="1146">
      <c r="A1146" s="34"/>
      <c r="G1146" s="46"/>
      <c r="H1146" s="46"/>
      <c r="I1146" s="46"/>
      <c r="J1146" s="43"/>
      <c r="K1146" s="43"/>
      <c r="L1146" s="43"/>
    </row>
    <row r="1147">
      <c r="A1147" s="34"/>
      <c r="G1147" s="46"/>
      <c r="H1147" s="46"/>
      <c r="I1147" s="46"/>
      <c r="J1147" s="43"/>
      <c r="K1147" s="43"/>
      <c r="L1147" s="43"/>
    </row>
    <row r="1148">
      <c r="A1148" s="34"/>
      <c r="G1148" s="46"/>
      <c r="H1148" s="46"/>
      <c r="I1148" s="46"/>
      <c r="J1148" s="43"/>
      <c r="K1148" s="43"/>
      <c r="L1148" s="43"/>
    </row>
    <row r="1149">
      <c r="A1149" s="34"/>
      <c r="G1149" s="46"/>
      <c r="H1149" s="46"/>
      <c r="I1149" s="46"/>
      <c r="J1149" s="43"/>
      <c r="K1149" s="43"/>
      <c r="L1149" s="43"/>
    </row>
    <row r="1150">
      <c r="A1150" s="34"/>
      <c r="G1150" s="46"/>
      <c r="H1150" s="46"/>
      <c r="I1150" s="46"/>
      <c r="J1150" s="43"/>
      <c r="K1150" s="43"/>
      <c r="L1150" s="43"/>
    </row>
    <row r="1151">
      <c r="A1151" s="34"/>
      <c r="G1151" s="46"/>
      <c r="H1151" s="46"/>
      <c r="I1151" s="46"/>
      <c r="J1151" s="43"/>
      <c r="K1151" s="43"/>
      <c r="L1151" s="43"/>
    </row>
    <row r="1152">
      <c r="A1152" s="34"/>
      <c r="G1152" s="46"/>
      <c r="H1152" s="46"/>
      <c r="I1152" s="46"/>
      <c r="J1152" s="43"/>
      <c r="K1152" s="43"/>
      <c r="L1152" s="43"/>
    </row>
    <row r="1153">
      <c r="A1153" s="34"/>
      <c r="G1153" s="46"/>
      <c r="H1153" s="46"/>
      <c r="I1153" s="46"/>
      <c r="J1153" s="43"/>
      <c r="K1153" s="43"/>
      <c r="L1153" s="43"/>
    </row>
    <row r="1154">
      <c r="A1154" s="34"/>
      <c r="G1154" s="46"/>
      <c r="H1154" s="46"/>
      <c r="I1154" s="46"/>
      <c r="J1154" s="43"/>
      <c r="K1154" s="43"/>
      <c r="L1154" s="43"/>
    </row>
    <row r="1155">
      <c r="A1155" s="34"/>
      <c r="G1155" s="46"/>
      <c r="H1155" s="46"/>
      <c r="I1155" s="46"/>
      <c r="J1155" s="43"/>
      <c r="K1155" s="43"/>
      <c r="L1155" s="43"/>
    </row>
    <row r="1156">
      <c r="A1156" s="34"/>
      <c r="G1156" s="46"/>
      <c r="H1156" s="46"/>
      <c r="I1156" s="46"/>
      <c r="J1156" s="43"/>
      <c r="K1156" s="43"/>
      <c r="L1156" s="43"/>
    </row>
    <row r="1157">
      <c r="A1157" s="34"/>
      <c r="G1157" s="46"/>
      <c r="H1157" s="46"/>
      <c r="I1157" s="46"/>
      <c r="J1157" s="43"/>
      <c r="K1157" s="43"/>
      <c r="L1157" s="43"/>
    </row>
    <row r="1158">
      <c r="A1158" s="34"/>
      <c r="G1158" s="46"/>
      <c r="H1158" s="46"/>
      <c r="I1158" s="46"/>
      <c r="J1158" s="43"/>
      <c r="K1158" s="43"/>
      <c r="L1158" s="43"/>
    </row>
    <row r="1159">
      <c r="A1159" s="34"/>
      <c r="G1159" s="46"/>
      <c r="H1159" s="46"/>
      <c r="I1159" s="46"/>
      <c r="J1159" s="43"/>
      <c r="K1159" s="43"/>
      <c r="L1159" s="43"/>
    </row>
    <row r="1160">
      <c r="A1160" s="34"/>
      <c r="G1160" s="46"/>
      <c r="H1160" s="46"/>
      <c r="I1160" s="46"/>
      <c r="J1160" s="43"/>
      <c r="K1160" s="43"/>
      <c r="L1160" s="43"/>
    </row>
    <row r="1161">
      <c r="A1161" s="34"/>
      <c r="G1161" s="46"/>
      <c r="H1161" s="46"/>
      <c r="I1161" s="46"/>
      <c r="J1161" s="43"/>
      <c r="K1161" s="43"/>
      <c r="L1161" s="43"/>
    </row>
    <row r="1162">
      <c r="A1162" s="34"/>
      <c r="G1162" s="46"/>
      <c r="H1162" s="46"/>
      <c r="I1162" s="46"/>
      <c r="J1162" s="43"/>
      <c r="K1162" s="43"/>
      <c r="L1162" s="43"/>
    </row>
    <row r="1163">
      <c r="A1163" s="34"/>
      <c r="G1163" s="46"/>
      <c r="H1163" s="46"/>
      <c r="I1163" s="46"/>
      <c r="J1163" s="43"/>
      <c r="K1163" s="43"/>
      <c r="L1163" s="43"/>
    </row>
    <row r="1164">
      <c r="A1164" s="34"/>
      <c r="G1164" s="46"/>
      <c r="H1164" s="46"/>
      <c r="I1164" s="46"/>
      <c r="J1164" s="43"/>
      <c r="K1164" s="43"/>
      <c r="L1164" s="43"/>
    </row>
    <row r="1165">
      <c r="A1165" s="34"/>
      <c r="G1165" s="46"/>
      <c r="H1165" s="46"/>
      <c r="I1165" s="46"/>
      <c r="J1165" s="43"/>
      <c r="K1165" s="43"/>
      <c r="L1165" s="43"/>
    </row>
    <row r="1166">
      <c r="A1166" s="34"/>
      <c r="G1166" s="46"/>
      <c r="H1166" s="46"/>
      <c r="I1166" s="46"/>
      <c r="J1166" s="43"/>
      <c r="K1166" s="43"/>
      <c r="L1166" s="43"/>
    </row>
    <row r="1167">
      <c r="A1167" s="34"/>
      <c r="G1167" s="46"/>
      <c r="H1167" s="46"/>
      <c r="I1167" s="46"/>
      <c r="J1167" s="43"/>
      <c r="K1167" s="43"/>
      <c r="L1167" s="43"/>
    </row>
    <row r="1168">
      <c r="A1168" s="34"/>
      <c r="G1168" s="46"/>
      <c r="H1168" s="46"/>
      <c r="I1168" s="46"/>
      <c r="J1168" s="43"/>
      <c r="K1168" s="43"/>
      <c r="L1168" s="43"/>
    </row>
    <row r="1169">
      <c r="A1169" s="34"/>
      <c r="G1169" s="46"/>
      <c r="H1169" s="46"/>
      <c r="I1169" s="46"/>
      <c r="J1169" s="43"/>
      <c r="K1169" s="43"/>
      <c r="L1169" s="43"/>
    </row>
    <row r="1170">
      <c r="A1170" s="34"/>
      <c r="G1170" s="46"/>
      <c r="H1170" s="46"/>
      <c r="I1170" s="46"/>
      <c r="J1170" s="43"/>
      <c r="K1170" s="43"/>
      <c r="L1170" s="43"/>
    </row>
    <row r="1171">
      <c r="A1171" s="34"/>
      <c r="G1171" s="46"/>
      <c r="H1171" s="46"/>
      <c r="I1171" s="46"/>
      <c r="J1171" s="43"/>
      <c r="K1171" s="43"/>
      <c r="L1171" s="43"/>
    </row>
    <row r="1172">
      <c r="A1172" s="34"/>
      <c r="G1172" s="46"/>
      <c r="H1172" s="46"/>
      <c r="I1172" s="46"/>
      <c r="J1172" s="43"/>
      <c r="K1172" s="43"/>
      <c r="L1172" s="43"/>
    </row>
    <row r="1173">
      <c r="A1173" s="34"/>
      <c r="G1173" s="46"/>
      <c r="H1173" s="46"/>
      <c r="I1173" s="46"/>
      <c r="J1173" s="43"/>
      <c r="K1173" s="43"/>
      <c r="L1173" s="43"/>
    </row>
    <row r="1174">
      <c r="A1174" s="34"/>
      <c r="G1174" s="46"/>
      <c r="H1174" s="46"/>
      <c r="I1174" s="46"/>
      <c r="J1174" s="43"/>
      <c r="K1174" s="43"/>
      <c r="L1174" s="43"/>
    </row>
    <row r="1175">
      <c r="A1175" s="34"/>
      <c r="G1175" s="46"/>
      <c r="H1175" s="46"/>
      <c r="I1175" s="46"/>
      <c r="J1175" s="43"/>
      <c r="K1175" s="43"/>
      <c r="L1175" s="43"/>
    </row>
    <row r="1176">
      <c r="A1176" s="34"/>
      <c r="G1176" s="46"/>
      <c r="H1176" s="46"/>
      <c r="I1176" s="46"/>
      <c r="J1176" s="43"/>
      <c r="K1176" s="43"/>
      <c r="L1176" s="43"/>
    </row>
    <row r="1177">
      <c r="A1177" s="34"/>
      <c r="G1177" s="46"/>
      <c r="H1177" s="46"/>
      <c r="I1177" s="46"/>
      <c r="J1177" s="43"/>
      <c r="K1177" s="43"/>
      <c r="L1177" s="43"/>
    </row>
    <row r="1178">
      <c r="A1178" s="34"/>
      <c r="G1178" s="46"/>
      <c r="H1178" s="46"/>
      <c r="I1178" s="46"/>
      <c r="J1178" s="43"/>
      <c r="K1178" s="43"/>
      <c r="L1178" s="43"/>
    </row>
    <row r="1179">
      <c r="A1179" s="34"/>
      <c r="G1179" s="46"/>
      <c r="H1179" s="46"/>
      <c r="I1179" s="46"/>
      <c r="J1179" s="43"/>
      <c r="K1179" s="43"/>
      <c r="L1179" s="43"/>
    </row>
    <row r="1180">
      <c r="A1180" s="34"/>
      <c r="G1180" s="46"/>
      <c r="H1180" s="46"/>
      <c r="I1180" s="46"/>
      <c r="J1180" s="43"/>
      <c r="K1180" s="43"/>
      <c r="L1180" s="43"/>
    </row>
    <row r="1181">
      <c r="A1181" s="34"/>
      <c r="G1181" s="46"/>
      <c r="H1181" s="46"/>
      <c r="I1181" s="46"/>
      <c r="J1181" s="43"/>
      <c r="K1181" s="43"/>
      <c r="L1181" s="43"/>
    </row>
    <row r="1182">
      <c r="A1182" s="34"/>
      <c r="G1182" s="46"/>
      <c r="H1182" s="46"/>
      <c r="I1182" s="46"/>
      <c r="J1182" s="43"/>
      <c r="K1182" s="43"/>
      <c r="L1182" s="43"/>
    </row>
    <row r="1183">
      <c r="A1183" s="34"/>
      <c r="G1183" s="46"/>
      <c r="H1183" s="46"/>
      <c r="I1183" s="46"/>
      <c r="J1183" s="43"/>
      <c r="K1183" s="43"/>
      <c r="L1183" s="43"/>
    </row>
    <row r="1184">
      <c r="A1184" s="34"/>
      <c r="G1184" s="46"/>
      <c r="H1184" s="46"/>
      <c r="I1184" s="46"/>
      <c r="J1184" s="43"/>
      <c r="K1184" s="43"/>
      <c r="L1184" s="43"/>
    </row>
    <row r="1185">
      <c r="A1185" s="34"/>
      <c r="G1185" s="46"/>
      <c r="H1185" s="46"/>
      <c r="I1185" s="46"/>
      <c r="J1185" s="43"/>
      <c r="K1185" s="43"/>
      <c r="L1185" s="43"/>
    </row>
    <row r="1186">
      <c r="A1186" s="34"/>
      <c r="G1186" s="46"/>
      <c r="H1186" s="46"/>
      <c r="I1186" s="46"/>
      <c r="J1186" s="43"/>
      <c r="K1186" s="43"/>
      <c r="L1186" s="43"/>
    </row>
    <row r="1187">
      <c r="A1187" s="34"/>
      <c r="G1187" s="46"/>
      <c r="H1187" s="46"/>
      <c r="I1187" s="46"/>
      <c r="J1187" s="43"/>
      <c r="K1187" s="43"/>
      <c r="L1187" s="43"/>
    </row>
    <row r="1188">
      <c r="A1188" s="34"/>
      <c r="G1188" s="46"/>
      <c r="H1188" s="46"/>
      <c r="I1188" s="46"/>
      <c r="J1188" s="43"/>
      <c r="K1188" s="43"/>
      <c r="L1188" s="43"/>
    </row>
    <row r="1189">
      <c r="A1189" s="34"/>
      <c r="G1189" s="46"/>
      <c r="H1189" s="46"/>
      <c r="I1189" s="46"/>
      <c r="J1189" s="43"/>
      <c r="K1189" s="43"/>
      <c r="L1189" s="43"/>
    </row>
    <row r="1190">
      <c r="A1190" s="34"/>
      <c r="G1190" s="46"/>
      <c r="H1190" s="46"/>
      <c r="I1190" s="46"/>
      <c r="J1190" s="43"/>
      <c r="K1190" s="43"/>
      <c r="L1190" s="43"/>
    </row>
    <row r="1191">
      <c r="A1191" s="34"/>
      <c r="G1191" s="46"/>
      <c r="H1191" s="46"/>
      <c r="I1191" s="46"/>
      <c r="J1191" s="43"/>
      <c r="K1191" s="43"/>
      <c r="L1191" s="43"/>
    </row>
    <row r="1192">
      <c r="A1192" s="34"/>
      <c r="G1192" s="46"/>
      <c r="H1192" s="46"/>
      <c r="I1192" s="46"/>
      <c r="J1192" s="43"/>
      <c r="K1192" s="43"/>
      <c r="L1192" s="43"/>
    </row>
    <row r="1193">
      <c r="A1193" s="34"/>
      <c r="G1193" s="46"/>
      <c r="H1193" s="46"/>
      <c r="I1193" s="46"/>
      <c r="J1193" s="43"/>
      <c r="K1193" s="43"/>
      <c r="L1193" s="43"/>
    </row>
    <row r="1194">
      <c r="A1194" s="34"/>
      <c r="G1194" s="46"/>
      <c r="H1194" s="46"/>
      <c r="I1194" s="46"/>
      <c r="J1194" s="43"/>
      <c r="K1194" s="43"/>
      <c r="L1194" s="43"/>
    </row>
    <row r="1195">
      <c r="A1195" s="34"/>
      <c r="G1195" s="46"/>
      <c r="H1195" s="46"/>
      <c r="I1195" s="46"/>
      <c r="J1195" s="43"/>
      <c r="K1195" s="43"/>
      <c r="L1195" s="43"/>
    </row>
    <row r="1196">
      <c r="A1196" s="34"/>
      <c r="G1196" s="46"/>
      <c r="H1196" s="46"/>
      <c r="I1196" s="46"/>
      <c r="J1196" s="43"/>
      <c r="K1196" s="43"/>
      <c r="L1196" s="43"/>
    </row>
    <row r="1197">
      <c r="A1197" s="34"/>
      <c r="G1197" s="46"/>
      <c r="H1197" s="46"/>
      <c r="I1197" s="46"/>
      <c r="J1197" s="43"/>
      <c r="K1197" s="43"/>
      <c r="L1197" s="43"/>
    </row>
    <row r="1198">
      <c r="A1198" s="34"/>
      <c r="G1198" s="46"/>
      <c r="H1198" s="46"/>
      <c r="I1198" s="46"/>
      <c r="J1198" s="43"/>
      <c r="K1198" s="43"/>
      <c r="L1198" s="43"/>
    </row>
    <row r="1199">
      <c r="A1199" s="34"/>
      <c r="G1199" s="46"/>
      <c r="H1199" s="46"/>
      <c r="I1199" s="46"/>
      <c r="J1199" s="43"/>
      <c r="K1199" s="43"/>
      <c r="L1199" s="43"/>
    </row>
    <row r="1200">
      <c r="A1200" s="34"/>
      <c r="G1200" s="46"/>
      <c r="H1200" s="46"/>
      <c r="I1200" s="46"/>
      <c r="J1200" s="43"/>
      <c r="K1200" s="43"/>
      <c r="L1200" s="43"/>
    </row>
    <row r="1201">
      <c r="A1201" s="34"/>
      <c r="G1201" s="46"/>
      <c r="H1201" s="46"/>
      <c r="I1201" s="46"/>
      <c r="J1201" s="43"/>
      <c r="K1201" s="43"/>
      <c r="L1201" s="43"/>
    </row>
    <row r="1202">
      <c r="A1202" s="34"/>
      <c r="G1202" s="46"/>
      <c r="H1202" s="46"/>
      <c r="I1202" s="46"/>
      <c r="J1202" s="43"/>
      <c r="K1202" s="43"/>
      <c r="L1202" s="43"/>
    </row>
    <row r="1203">
      <c r="A1203" s="34"/>
      <c r="G1203" s="46"/>
      <c r="H1203" s="46"/>
      <c r="I1203" s="46"/>
      <c r="J1203" s="43"/>
      <c r="K1203" s="43"/>
      <c r="L1203" s="43"/>
    </row>
    <row r="1204">
      <c r="A1204" s="34"/>
      <c r="G1204" s="46"/>
      <c r="H1204" s="46"/>
      <c r="I1204" s="46"/>
      <c r="J1204" s="43"/>
      <c r="K1204" s="43"/>
      <c r="L1204" s="43"/>
    </row>
    <row r="1205">
      <c r="A1205" s="34"/>
      <c r="G1205" s="46"/>
      <c r="H1205" s="46"/>
      <c r="I1205" s="46"/>
      <c r="J1205" s="43"/>
      <c r="K1205" s="43"/>
      <c r="L1205" s="43"/>
    </row>
    <row r="1206">
      <c r="A1206" s="34"/>
      <c r="G1206" s="46"/>
      <c r="H1206" s="46"/>
      <c r="I1206" s="46"/>
      <c r="J1206" s="43"/>
      <c r="K1206" s="43"/>
      <c r="L1206" s="43"/>
    </row>
    <row r="1207">
      <c r="A1207" s="34"/>
      <c r="G1207" s="46"/>
      <c r="H1207" s="46"/>
      <c r="I1207" s="46"/>
      <c r="J1207" s="43"/>
      <c r="K1207" s="43"/>
      <c r="L1207" s="43"/>
    </row>
    <row r="1208">
      <c r="A1208" s="34"/>
      <c r="G1208" s="46"/>
      <c r="H1208" s="46"/>
      <c r="I1208" s="46"/>
      <c r="J1208" s="43"/>
      <c r="K1208" s="43"/>
      <c r="L1208" s="43"/>
    </row>
    <row r="1209">
      <c r="A1209" s="34"/>
      <c r="G1209" s="46"/>
      <c r="H1209" s="46"/>
      <c r="I1209" s="46"/>
      <c r="J1209" s="43"/>
      <c r="K1209" s="43"/>
      <c r="L1209" s="43"/>
    </row>
    <row r="1210">
      <c r="A1210" s="34"/>
      <c r="G1210" s="46"/>
      <c r="H1210" s="46"/>
      <c r="I1210" s="46"/>
      <c r="J1210" s="43"/>
      <c r="K1210" s="43"/>
      <c r="L1210" s="43"/>
    </row>
    <row r="1211">
      <c r="A1211" s="34"/>
      <c r="G1211" s="46"/>
      <c r="H1211" s="46"/>
      <c r="I1211" s="46"/>
      <c r="J1211" s="43"/>
      <c r="K1211" s="43"/>
      <c r="L1211" s="43"/>
    </row>
    <row r="1212">
      <c r="A1212" s="34"/>
      <c r="G1212" s="46"/>
      <c r="H1212" s="46"/>
      <c r="I1212" s="46"/>
      <c r="J1212" s="43"/>
      <c r="K1212" s="43"/>
      <c r="L1212" s="43"/>
    </row>
    <row r="1213">
      <c r="A1213" s="34"/>
      <c r="G1213" s="46"/>
      <c r="H1213" s="46"/>
      <c r="I1213" s="46"/>
      <c r="J1213" s="43"/>
      <c r="K1213" s="43"/>
      <c r="L1213" s="43"/>
    </row>
    <row r="1214">
      <c r="A1214" s="34"/>
      <c r="G1214" s="46"/>
      <c r="H1214" s="46"/>
      <c r="I1214" s="46"/>
      <c r="J1214" s="43"/>
      <c r="K1214" s="43"/>
      <c r="L1214" s="43"/>
    </row>
    <row r="1215">
      <c r="A1215" s="34"/>
      <c r="G1215" s="46"/>
      <c r="H1215" s="46"/>
      <c r="I1215" s="46"/>
      <c r="J1215" s="43"/>
      <c r="K1215" s="43"/>
      <c r="L1215" s="43"/>
    </row>
    <row r="1216">
      <c r="A1216" s="34"/>
      <c r="G1216" s="46"/>
      <c r="H1216" s="46"/>
      <c r="I1216" s="46"/>
      <c r="J1216" s="43"/>
      <c r="K1216" s="43"/>
      <c r="L1216" s="43"/>
    </row>
    <row r="1217">
      <c r="A1217" s="34"/>
      <c r="G1217" s="46"/>
      <c r="H1217" s="46"/>
      <c r="I1217" s="46"/>
      <c r="J1217" s="43"/>
      <c r="K1217" s="43"/>
      <c r="L1217" s="43"/>
    </row>
    <row r="1218">
      <c r="A1218" s="34"/>
      <c r="G1218" s="46"/>
      <c r="H1218" s="46"/>
      <c r="I1218" s="46"/>
      <c r="J1218" s="43"/>
      <c r="K1218" s="43"/>
      <c r="L1218" s="43"/>
    </row>
    <row r="1219">
      <c r="A1219" s="34"/>
      <c r="G1219" s="46"/>
      <c r="H1219" s="46"/>
      <c r="I1219" s="46"/>
      <c r="J1219" s="43"/>
      <c r="K1219" s="43"/>
      <c r="L1219" s="43"/>
    </row>
    <row r="1220">
      <c r="A1220" s="34"/>
      <c r="G1220" s="46"/>
      <c r="H1220" s="46"/>
      <c r="I1220" s="46"/>
      <c r="J1220" s="43"/>
      <c r="K1220" s="43"/>
      <c r="L1220" s="43"/>
    </row>
    <row r="1221">
      <c r="A1221" s="34"/>
      <c r="G1221" s="46"/>
      <c r="H1221" s="46"/>
      <c r="I1221" s="46"/>
      <c r="J1221" s="43"/>
      <c r="K1221" s="43"/>
      <c r="L1221" s="43"/>
    </row>
    <row r="1222">
      <c r="A1222" s="34"/>
      <c r="G1222" s="46"/>
      <c r="H1222" s="46"/>
      <c r="I1222" s="46"/>
      <c r="J1222" s="43"/>
      <c r="K1222" s="43"/>
      <c r="L1222" s="43"/>
    </row>
    <row r="1223">
      <c r="A1223" s="34"/>
      <c r="G1223" s="46"/>
      <c r="H1223" s="46"/>
      <c r="I1223" s="46"/>
      <c r="J1223" s="43"/>
      <c r="K1223" s="43"/>
      <c r="L1223" s="43"/>
    </row>
    <row r="1224">
      <c r="A1224" s="34"/>
      <c r="G1224" s="46"/>
      <c r="H1224" s="46"/>
      <c r="I1224" s="46"/>
      <c r="J1224" s="43"/>
      <c r="K1224" s="43"/>
      <c r="L1224" s="43"/>
    </row>
    <row r="1225">
      <c r="A1225" s="34"/>
      <c r="G1225" s="46"/>
      <c r="H1225" s="46"/>
      <c r="I1225" s="46"/>
      <c r="J1225" s="43"/>
      <c r="K1225" s="43"/>
      <c r="L1225" s="43"/>
    </row>
    <row r="1226">
      <c r="A1226" s="34"/>
      <c r="G1226" s="46"/>
      <c r="H1226" s="46"/>
      <c r="I1226" s="46"/>
      <c r="J1226" s="43"/>
      <c r="K1226" s="43"/>
      <c r="L1226" s="43"/>
    </row>
    <row r="1227">
      <c r="A1227" s="34"/>
      <c r="G1227" s="46"/>
      <c r="H1227" s="46"/>
      <c r="I1227" s="46"/>
      <c r="J1227" s="43"/>
      <c r="K1227" s="43"/>
      <c r="L1227" s="43"/>
    </row>
    <row r="1228">
      <c r="A1228" s="34"/>
      <c r="G1228" s="46"/>
      <c r="H1228" s="46"/>
      <c r="I1228" s="46"/>
      <c r="J1228" s="43"/>
      <c r="K1228" s="43"/>
      <c r="L1228" s="43"/>
    </row>
    <row r="1229">
      <c r="A1229" s="34"/>
      <c r="G1229" s="46"/>
      <c r="H1229" s="46"/>
      <c r="I1229" s="46"/>
      <c r="J1229" s="43"/>
      <c r="K1229" s="43"/>
      <c r="L1229" s="43"/>
    </row>
    <row r="1230">
      <c r="A1230" s="34"/>
      <c r="G1230" s="46"/>
      <c r="H1230" s="46"/>
      <c r="I1230" s="46"/>
      <c r="J1230" s="43"/>
      <c r="K1230" s="43"/>
      <c r="L1230" s="43"/>
    </row>
    <row r="1231">
      <c r="A1231" s="34"/>
      <c r="G1231" s="46"/>
      <c r="H1231" s="46"/>
      <c r="I1231" s="46"/>
      <c r="J1231" s="43"/>
      <c r="K1231" s="43"/>
      <c r="L1231" s="43"/>
    </row>
    <row r="1232">
      <c r="A1232" s="34"/>
      <c r="G1232" s="46"/>
      <c r="H1232" s="46"/>
      <c r="I1232" s="46"/>
      <c r="J1232" s="43"/>
      <c r="K1232" s="43"/>
      <c r="L1232" s="43"/>
    </row>
    <row r="1233">
      <c r="A1233" s="34"/>
      <c r="G1233" s="46"/>
      <c r="H1233" s="46"/>
      <c r="I1233" s="46"/>
      <c r="J1233" s="43"/>
      <c r="K1233" s="43"/>
      <c r="L1233" s="43"/>
    </row>
    <row r="1234">
      <c r="A1234" s="34"/>
      <c r="G1234" s="46"/>
      <c r="H1234" s="46"/>
      <c r="I1234" s="46"/>
      <c r="J1234" s="43"/>
      <c r="K1234" s="43"/>
      <c r="L1234" s="43"/>
    </row>
    <row r="1235">
      <c r="A1235" s="34"/>
      <c r="G1235" s="46"/>
      <c r="H1235" s="46"/>
      <c r="I1235" s="46"/>
      <c r="J1235" s="43"/>
      <c r="K1235" s="43"/>
      <c r="L1235" s="43"/>
    </row>
    <row r="1236">
      <c r="A1236" s="34"/>
      <c r="G1236" s="46"/>
      <c r="H1236" s="46"/>
      <c r="I1236" s="46"/>
      <c r="J1236" s="43"/>
      <c r="K1236" s="43"/>
      <c r="L1236" s="43"/>
    </row>
    <row r="1237">
      <c r="A1237" s="34"/>
      <c r="G1237" s="46"/>
      <c r="H1237" s="46"/>
      <c r="I1237" s="46"/>
      <c r="J1237" s="43"/>
      <c r="K1237" s="43"/>
      <c r="L1237" s="43"/>
    </row>
    <row r="1238">
      <c r="A1238" s="34"/>
      <c r="G1238" s="46"/>
      <c r="H1238" s="46"/>
      <c r="I1238" s="46"/>
      <c r="J1238" s="43"/>
      <c r="K1238" s="43"/>
      <c r="L1238" s="43"/>
    </row>
    <row r="1239">
      <c r="A1239" s="34"/>
      <c r="G1239" s="46"/>
      <c r="H1239" s="46"/>
      <c r="I1239" s="46"/>
      <c r="J1239" s="43"/>
      <c r="K1239" s="43"/>
      <c r="L1239" s="43"/>
    </row>
    <row r="1240">
      <c r="A1240" s="34"/>
      <c r="G1240" s="46"/>
      <c r="H1240" s="46"/>
      <c r="I1240" s="46"/>
      <c r="J1240" s="43"/>
      <c r="K1240" s="43"/>
      <c r="L1240" s="43"/>
    </row>
    <row r="1241">
      <c r="A1241" s="34"/>
      <c r="G1241" s="46"/>
      <c r="H1241" s="46"/>
      <c r="I1241" s="46"/>
      <c r="J1241" s="43"/>
      <c r="K1241" s="43"/>
      <c r="L1241" s="43"/>
    </row>
    <row r="1242">
      <c r="A1242" s="34"/>
      <c r="G1242" s="46"/>
      <c r="H1242" s="46"/>
      <c r="I1242" s="46"/>
      <c r="J1242" s="43"/>
      <c r="K1242" s="43"/>
      <c r="L1242" s="43"/>
    </row>
    <row r="1243">
      <c r="A1243" s="34"/>
      <c r="G1243" s="46"/>
      <c r="H1243" s="46"/>
      <c r="I1243" s="46"/>
      <c r="J1243" s="43"/>
      <c r="K1243" s="43"/>
      <c r="L1243" s="43"/>
    </row>
    <row r="1244">
      <c r="A1244" s="34"/>
      <c r="G1244" s="46"/>
      <c r="H1244" s="46"/>
      <c r="I1244" s="46"/>
      <c r="J1244" s="43"/>
      <c r="K1244" s="43"/>
      <c r="L1244" s="43"/>
    </row>
    <row r="1245">
      <c r="A1245" s="34"/>
      <c r="G1245" s="46"/>
      <c r="H1245" s="46"/>
      <c r="I1245" s="46"/>
      <c r="J1245" s="43"/>
      <c r="K1245" s="43"/>
      <c r="L1245" s="43"/>
    </row>
    <row r="1246">
      <c r="A1246" s="34"/>
      <c r="G1246" s="46"/>
      <c r="H1246" s="46"/>
      <c r="I1246" s="46"/>
      <c r="J1246" s="43"/>
      <c r="K1246" s="43"/>
      <c r="L1246" s="43"/>
    </row>
    <row r="1247">
      <c r="A1247" s="34"/>
      <c r="G1247" s="46"/>
      <c r="H1247" s="46"/>
      <c r="I1247" s="46"/>
      <c r="J1247" s="43"/>
      <c r="K1247" s="43"/>
      <c r="L1247" s="43"/>
    </row>
    <row r="1248">
      <c r="A1248" s="34"/>
      <c r="G1248" s="46"/>
      <c r="H1248" s="46"/>
      <c r="I1248" s="46"/>
      <c r="J1248" s="43"/>
      <c r="K1248" s="43"/>
      <c r="L1248" s="43"/>
    </row>
    <row r="1249">
      <c r="A1249" s="34"/>
      <c r="G1249" s="46"/>
      <c r="H1249" s="46"/>
      <c r="I1249" s="46"/>
      <c r="J1249" s="43"/>
      <c r="K1249" s="43"/>
      <c r="L1249" s="43"/>
    </row>
    <row r="1250">
      <c r="A1250" s="34"/>
      <c r="G1250" s="46"/>
      <c r="H1250" s="46"/>
      <c r="I1250" s="46"/>
      <c r="J1250" s="43"/>
      <c r="K1250" s="43"/>
      <c r="L1250" s="43"/>
    </row>
    <row r="1251">
      <c r="A1251" s="34"/>
      <c r="G1251" s="46"/>
      <c r="H1251" s="46"/>
      <c r="I1251" s="46"/>
      <c r="J1251" s="43"/>
      <c r="K1251" s="43"/>
      <c r="L1251" s="43"/>
    </row>
    <row r="1252">
      <c r="A1252" s="34"/>
      <c r="G1252" s="46"/>
      <c r="H1252" s="46"/>
      <c r="I1252" s="46"/>
      <c r="J1252" s="43"/>
      <c r="K1252" s="43"/>
      <c r="L1252" s="43"/>
    </row>
    <row r="1253">
      <c r="A1253" s="34"/>
      <c r="G1253" s="46"/>
      <c r="H1253" s="46"/>
      <c r="I1253" s="46"/>
      <c r="J1253" s="43"/>
      <c r="K1253" s="43"/>
      <c r="L1253" s="43"/>
    </row>
    <row r="1254">
      <c r="A1254" s="34"/>
      <c r="G1254" s="46"/>
      <c r="H1254" s="46"/>
      <c r="I1254" s="46"/>
      <c r="J1254" s="43"/>
      <c r="K1254" s="43"/>
      <c r="L1254" s="43"/>
    </row>
    <row r="1255">
      <c r="A1255" s="34"/>
      <c r="G1255" s="46"/>
      <c r="H1255" s="46"/>
      <c r="I1255" s="46"/>
      <c r="J1255" s="43"/>
      <c r="K1255" s="43"/>
      <c r="L1255" s="43"/>
    </row>
    <row r="1256">
      <c r="A1256" s="34"/>
      <c r="G1256" s="46"/>
      <c r="H1256" s="46"/>
      <c r="I1256" s="46"/>
      <c r="J1256" s="43"/>
      <c r="K1256" s="43"/>
      <c r="L1256" s="43"/>
    </row>
    <row r="1257">
      <c r="A1257" s="34"/>
      <c r="G1257" s="46"/>
      <c r="H1257" s="46"/>
      <c r="I1257" s="46"/>
      <c r="J1257" s="43"/>
      <c r="K1257" s="43"/>
      <c r="L1257" s="43"/>
    </row>
    <row r="1258">
      <c r="A1258" s="34"/>
      <c r="G1258" s="46"/>
      <c r="H1258" s="46"/>
      <c r="I1258" s="46"/>
      <c r="J1258" s="43"/>
      <c r="K1258" s="43"/>
      <c r="L1258" s="43"/>
    </row>
    <row r="1259">
      <c r="A1259" s="34"/>
      <c r="G1259" s="46"/>
      <c r="H1259" s="46"/>
      <c r="I1259" s="46"/>
      <c r="J1259" s="43"/>
      <c r="K1259" s="43"/>
      <c r="L1259" s="43"/>
    </row>
    <row r="1260">
      <c r="A1260" s="34"/>
      <c r="G1260" s="46"/>
      <c r="H1260" s="46"/>
      <c r="I1260" s="46"/>
      <c r="J1260" s="43"/>
      <c r="K1260" s="43"/>
      <c r="L1260" s="43"/>
    </row>
    <row r="1261">
      <c r="A1261" s="34"/>
      <c r="G1261" s="46"/>
      <c r="H1261" s="46"/>
      <c r="I1261" s="46"/>
      <c r="J1261" s="43"/>
      <c r="K1261" s="43"/>
      <c r="L1261" s="43"/>
    </row>
    <row r="1262">
      <c r="A1262" s="34"/>
      <c r="G1262" s="46"/>
      <c r="H1262" s="46"/>
      <c r="I1262" s="46"/>
      <c r="J1262" s="43"/>
      <c r="K1262" s="43"/>
      <c r="L1262" s="43"/>
    </row>
    <row r="1263">
      <c r="A1263" s="34"/>
      <c r="G1263" s="46"/>
      <c r="H1263" s="46"/>
      <c r="I1263" s="46"/>
      <c r="J1263" s="43"/>
      <c r="K1263" s="43"/>
      <c r="L1263" s="43"/>
    </row>
    <row r="1264">
      <c r="A1264" s="34"/>
      <c r="G1264" s="46"/>
      <c r="H1264" s="46"/>
      <c r="I1264" s="46"/>
      <c r="J1264" s="43"/>
      <c r="K1264" s="43"/>
      <c r="L1264" s="43"/>
    </row>
    <row r="1265">
      <c r="A1265" s="34"/>
      <c r="G1265" s="46"/>
      <c r="H1265" s="46"/>
      <c r="I1265" s="46"/>
      <c r="J1265" s="43"/>
      <c r="K1265" s="43"/>
      <c r="L1265" s="43"/>
    </row>
    <row r="1266">
      <c r="A1266" s="34"/>
      <c r="G1266" s="46"/>
      <c r="H1266" s="46"/>
      <c r="I1266" s="46"/>
      <c r="J1266" s="43"/>
      <c r="K1266" s="43"/>
      <c r="L1266" s="43"/>
    </row>
    <row r="1267">
      <c r="A1267" s="34"/>
      <c r="G1267" s="46"/>
      <c r="H1267" s="46"/>
      <c r="I1267" s="46"/>
      <c r="J1267" s="43"/>
      <c r="K1267" s="43"/>
      <c r="L1267" s="43"/>
    </row>
    <row r="1268">
      <c r="A1268" s="34"/>
      <c r="G1268" s="46"/>
      <c r="H1268" s="46"/>
      <c r="I1268" s="46"/>
      <c r="J1268" s="43"/>
      <c r="K1268" s="43"/>
      <c r="L1268" s="43"/>
    </row>
    <row r="1269">
      <c r="A1269" s="34"/>
      <c r="G1269" s="46"/>
      <c r="H1269" s="46"/>
      <c r="I1269" s="46"/>
      <c r="J1269" s="43"/>
      <c r="K1269" s="43"/>
      <c r="L1269" s="43"/>
    </row>
    <row r="1270">
      <c r="A1270" s="34"/>
      <c r="G1270" s="46"/>
      <c r="H1270" s="46"/>
      <c r="I1270" s="46"/>
      <c r="J1270" s="43"/>
      <c r="K1270" s="43"/>
      <c r="L1270" s="43"/>
    </row>
    <row r="1271">
      <c r="A1271" s="34"/>
      <c r="G1271" s="46"/>
      <c r="H1271" s="46"/>
      <c r="I1271" s="46"/>
      <c r="J1271" s="43"/>
      <c r="K1271" s="43"/>
      <c r="L1271" s="43"/>
    </row>
    <row r="1272">
      <c r="A1272" s="34"/>
      <c r="G1272" s="46"/>
      <c r="H1272" s="46"/>
      <c r="I1272" s="46"/>
      <c r="J1272" s="43"/>
      <c r="K1272" s="43"/>
      <c r="L1272" s="43"/>
    </row>
    <row r="1273">
      <c r="A1273" s="34"/>
      <c r="G1273" s="46"/>
      <c r="H1273" s="46"/>
      <c r="I1273" s="46"/>
      <c r="J1273" s="43"/>
      <c r="K1273" s="43"/>
      <c r="L1273" s="43"/>
    </row>
    <row r="1274">
      <c r="A1274" s="34"/>
      <c r="G1274" s="46"/>
      <c r="H1274" s="46"/>
      <c r="I1274" s="46"/>
      <c r="J1274" s="43"/>
      <c r="K1274" s="43"/>
      <c r="L1274" s="43"/>
    </row>
    <row r="1275">
      <c r="A1275" s="34"/>
      <c r="G1275" s="46"/>
      <c r="H1275" s="46"/>
      <c r="I1275" s="46"/>
      <c r="J1275" s="43"/>
      <c r="K1275" s="43"/>
      <c r="L1275" s="43"/>
    </row>
    <row r="1276">
      <c r="A1276" s="34"/>
      <c r="G1276" s="46"/>
      <c r="H1276" s="46"/>
      <c r="I1276" s="46"/>
      <c r="J1276" s="43"/>
      <c r="K1276" s="43"/>
      <c r="L1276" s="43"/>
    </row>
    <row r="1277">
      <c r="A1277" s="34"/>
      <c r="G1277" s="46"/>
      <c r="H1277" s="46"/>
      <c r="I1277" s="46"/>
      <c r="J1277" s="43"/>
      <c r="K1277" s="43"/>
      <c r="L1277" s="43"/>
    </row>
    <row r="1278">
      <c r="A1278" s="34"/>
      <c r="G1278" s="46"/>
      <c r="H1278" s="46"/>
      <c r="I1278" s="46"/>
      <c r="J1278" s="43"/>
      <c r="K1278" s="43"/>
      <c r="L1278" s="43"/>
    </row>
    <row r="1279">
      <c r="A1279" s="34"/>
      <c r="G1279" s="46"/>
      <c r="H1279" s="46"/>
      <c r="I1279" s="46"/>
      <c r="J1279" s="43"/>
      <c r="K1279" s="43"/>
      <c r="L1279" s="43"/>
    </row>
    <row r="1280">
      <c r="A1280" s="34"/>
      <c r="G1280" s="46"/>
      <c r="H1280" s="46"/>
      <c r="I1280" s="46"/>
      <c r="J1280" s="43"/>
      <c r="K1280" s="43"/>
      <c r="L1280" s="43"/>
    </row>
    <row r="1281">
      <c r="A1281" s="34"/>
      <c r="G1281" s="46"/>
      <c r="H1281" s="46"/>
      <c r="I1281" s="46"/>
      <c r="J1281" s="43"/>
      <c r="K1281" s="43"/>
      <c r="L1281" s="43"/>
    </row>
    <row r="1282">
      <c r="A1282" s="34"/>
      <c r="G1282" s="46"/>
      <c r="H1282" s="46"/>
      <c r="I1282" s="46"/>
      <c r="J1282" s="43"/>
      <c r="K1282" s="43"/>
      <c r="L1282" s="43"/>
    </row>
    <row r="1283">
      <c r="A1283" s="34"/>
      <c r="G1283" s="46"/>
      <c r="H1283" s="46"/>
      <c r="I1283" s="46"/>
      <c r="J1283" s="43"/>
      <c r="K1283" s="43"/>
      <c r="L1283" s="43"/>
    </row>
    <row r="1284">
      <c r="A1284" s="34"/>
      <c r="G1284" s="46"/>
      <c r="H1284" s="46"/>
      <c r="I1284" s="46"/>
      <c r="J1284" s="43"/>
      <c r="K1284" s="43"/>
      <c r="L1284" s="43"/>
    </row>
    <row r="1285">
      <c r="A1285" s="34"/>
      <c r="G1285" s="46"/>
      <c r="H1285" s="46"/>
      <c r="I1285" s="46"/>
      <c r="J1285" s="43"/>
      <c r="K1285" s="43"/>
      <c r="L1285" s="43"/>
    </row>
    <row r="1286">
      <c r="A1286" s="34"/>
      <c r="G1286" s="46"/>
      <c r="H1286" s="46"/>
      <c r="I1286" s="46"/>
      <c r="J1286" s="43"/>
      <c r="K1286" s="43"/>
      <c r="L1286" s="43"/>
    </row>
    <row r="1287">
      <c r="A1287" s="34"/>
      <c r="G1287" s="46"/>
      <c r="H1287" s="46"/>
      <c r="I1287" s="46"/>
      <c r="J1287" s="43"/>
      <c r="K1287" s="43"/>
      <c r="L1287" s="43"/>
    </row>
    <row r="1288">
      <c r="A1288" s="34"/>
      <c r="G1288" s="46"/>
      <c r="H1288" s="46"/>
      <c r="I1288" s="46"/>
      <c r="J1288" s="43"/>
      <c r="K1288" s="43"/>
      <c r="L1288" s="43"/>
    </row>
    <row r="1289">
      <c r="A1289" s="34"/>
      <c r="G1289" s="46"/>
      <c r="H1289" s="46"/>
      <c r="I1289" s="46"/>
      <c r="J1289" s="43"/>
      <c r="K1289" s="43"/>
      <c r="L1289" s="43"/>
    </row>
    <row r="1290">
      <c r="A1290" s="34"/>
      <c r="G1290" s="46"/>
      <c r="H1290" s="46"/>
      <c r="I1290" s="46"/>
      <c r="J1290" s="43"/>
      <c r="K1290" s="43"/>
      <c r="L1290" s="43"/>
    </row>
    <row r="1291">
      <c r="A1291" s="34"/>
      <c r="G1291" s="46"/>
      <c r="H1291" s="46"/>
      <c r="I1291" s="46"/>
      <c r="J1291" s="43"/>
      <c r="K1291" s="43"/>
      <c r="L1291" s="43"/>
    </row>
    <row r="1292">
      <c r="A1292" s="34"/>
      <c r="G1292" s="46"/>
      <c r="H1292" s="46"/>
      <c r="I1292" s="46"/>
      <c r="J1292" s="43"/>
      <c r="K1292" s="43"/>
      <c r="L1292" s="43"/>
    </row>
    <row r="1293">
      <c r="A1293" s="34"/>
      <c r="G1293" s="46"/>
      <c r="H1293" s="46"/>
      <c r="I1293" s="46"/>
      <c r="J1293" s="43"/>
      <c r="K1293" s="43"/>
      <c r="L1293" s="43"/>
    </row>
    <row r="1294">
      <c r="A1294" s="34"/>
      <c r="G1294" s="46"/>
      <c r="H1294" s="46"/>
      <c r="I1294" s="46"/>
      <c r="J1294" s="43"/>
      <c r="K1294" s="43"/>
      <c r="L1294" s="43"/>
    </row>
    <row r="1295">
      <c r="A1295" s="34"/>
      <c r="G1295" s="46"/>
      <c r="H1295" s="46"/>
      <c r="I1295" s="46"/>
      <c r="J1295" s="43"/>
      <c r="K1295" s="43"/>
      <c r="L1295" s="43"/>
    </row>
    <row r="1296">
      <c r="A1296" s="34"/>
      <c r="G1296" s="46"/>
      <c r="H1296" s="46"/>
      <c r="I1296" s="46"/>
      <c r="J1296" s="43"/>
      <c r="K1296" s="43"/>
      <c r="L1296" s="43"/>
    </row>
    <row r="1297">
      <c r="A1297" s="34"/>
      <c r="G1297" s="46"/>
      <c r="H1297" s="46"/>
      <c r="I1297" s="46"/>
      <c r="J1297" s="43"/>
      <c r="K1297" s="43"/>
      <c r="L1297" s="43"/>
    </row>
    <row r="1298">
      <c r="A1298" s="34"/>
      <c r="G1298" s="46"/>
      <c r="H1298" s="46"/>
      <c r="I1298" s="46"/>
      <c r="J1298" s="43"/>
      <c r="K1298" s="43"/>
      <c r="L1298" s="43"/>
    </row>
    <row r="1299">
      <c r="A1299" s="34"/>
      <c r="G1299" s="46"/>
      <c r="H1299" s="46"/>
      <c r="I1299" s="46"/>
      <c r="J1299" s="43"/>
      <c r="K1299" s="43"/>
      <c r="L1299" s="43"/>
    </row>
    <row r="1300">
      <c r="A1300" s="34"/>
      <c r="G1300" s="46"/>
      <c r="H1300" s="46"/>
      <c r="I1300" s="46"/>
      <c r="J1300" s="43"/>
      <c r="K1300" s="43"/>
      <c r="L1300" s="43"/>
    </row>
    <row r="1301">
      <c r="A1301" s="34"/>
      <c r="G1301" s="46"/>
      <c r="H1301" s="46"/>
      <c r="I1301" s="46"/>
      <c r="J1301" s="43"/>
      <c r="K1301" s="43"/>
      <c r="L1301" s="43"/>
    </row>
    <row r="1302">
      <c r="A1302" s="34"/>
      <c r="G1302" s="46"/>
      <c r="H1302" s="46"/>
      <c r="I1302" s="46"/>
      <c r="J1302" s="43"/>
      <c r="K1302" s="43"/>
      <c r="L1302" s="43"/>
    </row>
    <row r="1303">
      <c r="A1303" s="34"/>
      <c r="G1303" s="46"/>
      <c r="H1303" s="46"/>
      <c r="I1303" s="46"/>
      <c r="J1303" s="43"/>
      <c r="K1303" s="43"/>
      <c r="L1303" s="43"/>
    </row>
    <row r="1304">
      <c r="A1304" s="34"/>
      <c r="G1304" s="46"/>
      <c r="H1304" s="46"/>
      <c r="I1304" s="46"/>
      <c r="J1304" s="43"/>
      <c r="K1304" s="43"/>
      <c r="L1304" s="43"/>
    </row>
    <row r="1305">
      <c r="A1305" s="34"/>
      <c r="G1305" s="46"/>
      <c r="H1305" s="46"/>
      <c r="I1305" s="46"/>
      <c r="J1305" s="43"/>
      <c r="K1305" s="43"/>
      <c r="L1305" s="43"/>
    </row>
    <row r="1306">
      <c r="A1306" s="34"/>
      <c r="G1306" s="46"/>
      <c r="H1306" s="46"/>
      <c r="I1306" s="46"/>
      <c r="J1306" s="43"/>
      <c r="K1306" s="43"/>
      <c r="L1306" s="43"/>
    </row>
    <row r="1307">
      <c r="A1307" s="34"/>
      <c r="G1307" s="46"/>
      <c r="H1307" s="46"/>
      <c r="I1307" s="46"/>
      <c r="J1307" s="43"/>
      <c r="K1307" s="43"/>
      <c r="L1307" s="43"/>
    </row>
    <row r="1308">
      <c r="A1308" s="34"/>
      <c r="G1308" s="46"/>
      <c r="H1308" s="46"/>
      <c r="I1308" s="46"/>
      <c r="J1308" s="43"/>
      <c r="K1308" s="43"/>
      <c r="L1308" s="43"/>
    </row>
    <row r="1309">
      <c r="A1309" s="34"/>
      <c r="G1309" s="46"/>
      <c r="H1309" s="46"/>
      <c r="I1309" s="46"/>
      <c r="J1309" s="43"/>
      <c r="K1309" s="43"/>
      <c r="L1309" s="43"/>
    </row>
    <row r="1310">
      <c r="A1310" s="34"/>
      <c r="G1310" s="46"/>
      <c r="H1310" s="46"/>
      <c r="I1310" s="46"/>
      <c r="J1310" s="43"/>
      <c r="K1310" s="43"/>
      <c r="L1310" s="43"/>
    </row>
    <row r="1311">
      <c r="A1311" s="34"/>
      <c r="G1311" s="46"/>
      <c r="H1311" s="46"/>
      <c r="I1311" s="46"/>
      <c r="J1311" s="43"/>
      <c r="K1311" s="43"/>
      <c r="L1311" s="43"/>
    </row>
    <row r="1312">
      <c r="A1312" s="34"/>
      <c r="G1312" s="46"/>
      <c r="H1312" s="46"/>
      <c r="I1312" s="46"/>
      <c r="J1312" s="43"/>
      <c r="K1312" s="43"/>
      <c r="L1312" s="43"/>
    </row>
    <row r="1313">
      <c r="A1313" s="34"/>
      <c r="G1313" s="46"/>
      <c r="H1313" s="46"/>
      <c r="I1313" s="46"/>
      <c r="J1313" s="43"/>
      <c r="K1313" s="43"/>
      <c r="L1313" s="43"/>
    </row>
    <row r="1314">
      <c r="A1314" s="34"/>
      <c r="G1314" s="46"/>
      <c r="H1314" s="46"/>
      <c r="I1314" s="46"/>
      <c r="J1314" s="43"/>
      <c r="K1314" s="43"/>
      <c r="L1314" s="43"/>
    </row>
    <row r="1315">
      <c r="A1315" s="34"/>
      <c r="G1315" s="46"/>
      <c r="H1315" s="46"/>
      <c r="I1315" s="46"/>
      <c r="J1315" s="43"/>
      <c r="K1315" s="43"/>
      <c r="L1315" s="43"/>
    </row>
    <row r="1316">
      <c r="A1316" s="34"/>
      <c r="G1316" s="46"/>
      <c r="H1316" s="46"/>
      <c r="I1316" s="46"/>
      <c r="J1316" s="43"/>
      <c r="K1316" s="43"/>
      <c r="L1316" s="43"/>
    </row>
    <row r="1317">
      <c r="A1317" s="34"/>
      <c r="G1317" s="46"/>
      <c r="H1317" s="46"/>
      <c r="I1317" s="46"/>
      <c r="J1317" s="43"/>
      <c r="K1317" s="43"/>
      <c r="L1317" s="43"/>
    </row>
    <row r="1318">
      <c r="A1318" s="34"/>
      <c r="G1318" s="46"/>
      <c r="H1318" s="46"/>
      <c r="I1318" s="46"/>
      <c r="J1318" s="43"/>
      <c r="K1318" s="43"/>
      <c r="L1318" s="43"/>
    </row>
    <row r="1319">
      <c r="A1319" s="34"/>
      <c r="G1319" s="46"/>
      <c r="H1319" s="46"/>
      <c r="I1319" s="46"/>
      <c r="J1319" s="43"/>
      <c r="K1319" s="43"/>
      <c r="L1319" s="43"/>
    </row>
    <row r="1320">
      <c r="A1320" s="34"/>
      <c r="G1320" s="46"/>
      <c r="H1320" s="46"/>
      <c r="I1320" s="46"/>
      <c r="J1320" s="43"/>
      <c r="K1320" s="43"/>
      <c r="L1320" s="43"/>
    </row>
    <row r="1321">
      <c r="A1321" s="34"/>
      <c r="G1321" s="46"/>
      <c r="H1321" s="46"/>
      <c r="I1321" s="46"/>
      <c r="J1321" s="43"/>
      <c r="K1321" s="43"/>
      <c r="L1321" s="43"/>
    </row>
    <row r="1322">
      <c r="A1322" s="34"/>
      <c r="G1322" s="46"/>
      <c r="H1322" s="46"/>
      <c r="I1322" s="46"/>
      <c r="J1322" s="43"/>
      <c r="K1322" s="43"/>
      <c r="L1322" s="43"/>
    </row>
    <row r="1323">
      <c r="A1323" s="34"/>
      <c r="G1323" s="46"/>
      <c r="H1323" s="46"/>
      <c r="I1323" s="46"/>
      <c r="J1323" s="43"/>
      <c r="K1323" s="43"/>
      <c r="L1323" s="43"/>
    </row>
    <row r="1324">
      <c r="A1324" s="34"/>
      <c r="G1324" s="46"/>
      <c r="H1324" s="46"/>
      <c r="I1324" s="46"/>
      <c r="J1324" s="43"/>
      <c r="K1324" s="43"/>
      <c r="L1324" s="43"/>
    </row>
    <row r="1325">
      <c r="A1325" s="34"/>
      <c r="G1325" s="46"/>
      <c r="H1325" s="46"/>
      <c r="I1325" s="46"/>
      <c r="J1325" s="43"/>
      <c r="K1325" s="43"/>
      <c r="L1325" s="43"/>
    </row>
    <row r="1326">
      <c r="A1326" s="34"/>
      <c r="G1326" s="46"/>
      <c r="H1326" s="46"/>
      <c r="I1326" s="46"/>
      <c r="J1326" s="43"/>
      <c r="K1326" s="43"/>
      <c r="L1326" s="43"/>
    </row>
    <row r="1327">
      <c r="A1327" s="34"/>
      <c r="G1327" s="46"/>
      <c r="H1327" s="46"/>
      <c r="I1327" s="46"/>
      <c r="J1327" s="43"/>
      <c r="K1327" s="43"/>
      <c r="L1327" s="43"/>
    </row>
    <row r="1328">
      <c r="A1328" s="34"/>
      <c r="G1328" s="46"/>
      <c r="H1328" s="46"/>
      <c r="I1328" s="46"/>
      <c r="J1328" s="43"/>
      <c r="K1328" s="43"/>
      <c r="L1328" s="43"/>
    </row>
    <row r="1329">
      <c r="A1329" s="34"/>
      <c r="G1329" s="46"/>
      <c r="H1329" s="46"/>
      <c r="I1329" s="46"/>
      <c r="J1329" s="43"/>
      <c r="K1329" s="43"/>
      <c r="L1329" s="43"/>
    </row>
    <row r="1330">
      <c r="A1330" s="34"/>
      <c r="G1330" s="46"/>
      <c r="H1330" s="46"/>
      <c r="I1330" s="46"/>
      <c r="J1330" s="43"/>
      <c r="K1330" s="43"/>
      <c r="L1330" s="43"/>
    </row>
    <row r="1331">
      <c r="A1331" s="34"/>
      <c r="G1331" s="46"/>
      <c r="H1331" s="46"/>
      <c r="I1331" s="46"/>
      <c r="J1331" s="43"/>
      <c r="K1331" s="43"/>
      <c r="L1331" s="43"/>
    </row>
    <row r="1332">
      <c r="A1332" s="34"/>
      <c r="G1332" s="46"/>
      <c r="H1332" s="46"/>
      <c r="I1332" s="46"/>
      <c r="J1332" s="43"/>
      <c r="K1332" s="43"/>
      <c r="L1332" s="43"/>
    </row>
    <row r="1333">
      <c r="A1333" s="34"/>
      <c r="G1333" s="46"/>
      <c r="H1333" s="46"/>
      <c r="I1333" s="46"/>
      <c r="J1333" s="43"/>
      <c r="K1333" s="43"/>
      <c r="L1333" s="43"/>
    </row>
    <row r="1334">
      <c r="A1334" s="34"/>
      <c r="G1334" s="46"/>
      <c r="H1334" s="46"/>
      <c r="I1334" s="46"/>
      <c r="J1334" s="43"/>
      <c r="K1334" s="43"/>
      <c r="L1334" s="43"/>
    </row>
    <row r="1335">
      <c r="A1335" s="34"/>
      <c r="G1335" s="46"/>
      <c r="H1335" s="46"/>
      <c r="I1335" s="46"/>
      <c r="J1335" s="43"/>
      <c r="K1335" s="43"/>
      <c r="L1335" s="43"/>
    </row>
    <row r="1336">
      <c r="A1336" s="34"/>
      <c r="G1336" s="46"/>
      <c r="H1336" s="46"/>
      <c r="I1336" s="46"/>
      <c r="J1336" s="43"/>
      <c r="K1336" s="43"/>
      <c r="L1336" s="43"/>
    </row>
    <row r="1337">
      <c r="A1337" s="34"/>
      <c r="G1337" s="46"/>
      <c r="H1337" s="46"/>
      <c r="I1337" s="46"/>
      <c r="J1337" s="43"/>
      <c r="K1337" s="43"/>
      <c r="L1337" s="43"/>
    </row>
    <row r="1338">
      <c r="A1338" s="34"/>
      <c r="G1338" s="46"/>
      <c r="H1338" s="46"/>
      <c r="I1338" s="46"/>
      <c r="J1338" s="43"/>
      <c r="K1338" s="43"/>
      <c r="L1338" s="43"/>
    </row>
    <row r="1339">
      <c r="A1339" s="34"/>
      <c r="G1339" s="46"/>
      <c r="H1339" s="46"/>
      <c r="I1339" s="46"/>
      <c r="J1339" s="43"/>
      <c r="K1339" s="43"/>
      <c r="L1339" s="43"/>
    </row>
    <row r="1340">
      <c r="A1340" s="34"/>
      <c r="G1340" s="46"/>
      <c r="H1340" s="46"/>
      <c r="I1340" s="46"/>
      <c r="J1340" s="43"/>
      <c r="K1340" s="43"/>
      <c r="L1340" s="43"/>
    </row>
    <row r="1341">
      <c r="A1341" s="34"/>
      <c r="G1341" s="46"/>
      <c r="H1341" s="46"/>
      <c r="I1341" s="46"/>
      <c r="J1341" s="43"/>
      <c r="K1341" s="43"/>
      <c r="L1341" s="43"/>
    </row>
    <row r="1342">
      <c r="A1342" s="34"/>
      <c r="G1342" s="46"/>
      <c r="H1342" s="46"/>
      <c r="I1342" s="46"/>
      <c r="J1342" s="43"/>
      <c r="K1342" s="43"/>
      <c r="L1342" s="43"/>
    </row>
    <row r="1343">
      <c r="A1343" s="34"/>
      <c r="G1343" s="46"/>
      <c r="H1343" s="46"/>
      <c r="I1343" s="46"/>
      <c r="J1343" s="43"/>
      <c r="K1343" s="43"/>
      <c r="L1343" s="43"/>
    </row>
    <row r="1344">
      <c r="A1344" s="34"/>
      <c r="G1344" s="46"/>
      <c r="H1344" s="46"/>
      <c r="I1344" s="46"/>
      <c r="J1344" s="43"/>
      <c r="K1344" s="43"/>
      <c r="L1344" s="43"/>
    </row>
    <row r="1345">
      <c r="A1345" s="34"/>
      <c r="G1345" s="46"/>
      <c r="H1345" s="46"/>
      <c r="I1345" s="46"/>
      <c r="J1345" s="43"/>
      <c r="K1345" s="43"/>
      <c r="L1345" s="43"/>
    </row>
    <row r="1346">
      <c r="A1346" s="34"/>
      <c r="G1346" s="46"/>
      <c r="H1346" s="46"/>
      <c r="I1346" s="46"/>
      <c r="J1346" s="43"/>
      <c r="K1346" s="43"/>
      <c r="L1346" s="43"/>
    </row>
    <row r="1347">
      <c r="A1347" s="34"/>
      <c r="G1347" s="46"/>
      <c r="H1347" s="46"/>
      <c r="I1347" s="46"/>
      <c r="J1347" s="43"/>
      <c r="K1347" s="43"/>
      <c r="L1347" s="43"/>
    </row>
    <row r="1348">
      <c r="A1348" s="34"/>
      <c r="G1348" s="46"/>
      <c r="H1348" s="46"/>
      <c r="I1348" s="46"/>
      <c r="J1348" s="43"/>
      <c r="K1348" s="43"/>
      <c r="L1348" s="43"/>
    </row>
    <row r="1349">
      <c r="A1349" s="34"/>
      <c r="G1349" s="46"/>
      <c r="H1349" s="46"/>
      <c r="I1349" s="46"/>
      <c r="J1349" s="43"/>
      <c r="K1349" s="43"/>
      <c r="L1349" s="43"/>
    </row>
    <row r="1350">
      <c r="A1350" s="34"/>
      <c r="G1350" s="46"/>
      <c r="H1350" s="46"/>
      <c r="I1350" s="46"/>
      <c r="J1350" s="43"/>
      <c r="K1350" s="43"/>
      <c r="L1350" s="43"/>
    </row>
    <row r="1351">
      <c r="A1351" s="34"/>
      <c r="G1351" s="46"/>
      <c r="H1351" s="46"/>
      <c r="I1351" s="46"/>
      <c r="J1351" s="43"/>
      <c r="K1351" s="43"/>
      <c r="L1351" s="43"/>
    </row>
    <row r="1352">
      <c r="A1352" s="34"/>
      <c r="G1352" s="46"/>
      <c r="H1352" s="46"/>
      <c r="I1352" s="46"/>
      <c r="J1352" s="43"/>
      <c r="K1352" s="43"/>
      <c r="L1352" s="43"/>
    </row>
    <row r="1353">
      <c r="A1353" s="34"/>
      <c r="G1353" s="46"/>
      <c r="H1353" s="46"/>
      <c r="I1353" s="46"/>
      <c r="J1353" s="43"/>
      <c r="K1353" s="43"/>
      <c r="L1353" s="43"/>
    </row>
    <row r="1354">
      <c r="A1354" s="34"/>
      <c r="G1354" s="46"/>
      <c r="H1354" s="46"/>
      <c r="I1354" s="46"/>
      <c r="J1354" s="43"/>
      <c r="K1354" s="43"/>
      <c r="L1354" s="43"/>
    </row>
    <row r="1355">
      <c r="A1355" s="34"/>
      <c r="G1355" s="46"/>
      <c r="H1355" s="46"/>
      <c r="I1355" s="46"/>
      <c r="J1355" s="43"/>
      <c r="K1355" s="43"/>
      <c r="L1355" s="43"/>
    </row>
    <row r="1356">
      <c r="A1356" s="34"/>
      <c r="G1356" s="46"/>
      <c r="H1356" s="46"/>
      <c r="I1356" s="46"/>
      <c r="J1356" s="43"/>
      <c r="K1356" s="43"/>
      <c r="L1356" s="43"/>
    </row>
    <row r="1357">
      <c r="A1357" s="34"/>
      <c r="G1357" s="46"/>
      <c r="H1357" s="46"/>
      <c r="I1357" s="46"/>
      <c r="J1357" s="43"/>
      <c r="K1357" s="43"/>
      <c r="L1357" s="43"/>
    </row>
    <row r="1358">
      <c r="A1358" s="34"/>
      <c r="G1358" s="46"/>
      <c r="H1358" s="46"/>
      <c r="I1358" s="46"/>
      <c r="J1358" s="43"/>
      <c r="K1358" s="43"/>
      <c r="L1358" s="43"/>
    </row>
    <row r="1359">
      <c r="A1359" s="34"/>
      <c r="G1359" s="46"/>
      <c r="H1359" s="46"/>
      <c r="I1359" s="46"/>
      <c r="J1359" s="43"/>
      <c r="K1359" s="43"/>
      <c r="L1359" s="43"/>
    </row>
    <row r="1360">
      <c r="A1360" s="34"/>
      <c r="G1360" s="46"/>
      <c r="H1360" s="46"/>
      <c r="I1360" s="46"/>
      <c r="J1360" s="43"/>
      <c r="K1360" s="43"/>
      <c r="L1360" s="43"/>
    </row>
    <row r="1361">
      <c r="A1361" s="34"/>
      <c r="G1361" s="46"/>
      <c r="H1361" s="46"/>
      <c r="I1361" s="46"/>
      <c r="J1361" s="43"/>
      <c r="K1361" s="43"/>
      <c r="L1361" s="43"/>
    </row>
    <row r="1362">
      <c r="A1362" s="34"/>
      <c r="G1362" s="46"/>
      <c r="H1362" s="46"/>
      <c r="I1362" s="46"/>
      <c r="J1362" s="43"/>
      <c r="K1362" s="43"/>
      <c r="L1362" s="43"/>
    </row>
    <row r="1363">
      <c r="A1363" s="34"/>
      <c r="G1363" s="46"/>
      <c r="H1363" s="46"/>
      <c r="I1363" s="46"/>
      <c r="J1363" s="43"/>
      <c r="K1363" s="43"/>
      <c r="L1363" s="43"/>
    </row>
    <row r="1364">
      <c r="A1364" s="34"/>
      <c r="G1364" s="46"/>
      <c r="H1364" s="46"/>
      <c r="I1364" s="46"/>
      <c r="J1364" s="43"/>
      <c r="K1364" s="43"/>
      <c r="L1364" s="43"/>
    </row>
    <row r="1365">
      <c r="A1365" s="34"/>
      <c r="G1365" s="46"/>
      <c r="H1365" s="46"/>
      <c r="I1365" s="46"/>
      <c r="J1365" s="43"/>
      <c r="K1365" s="43"/>
      <c r="L1365" s="43"/>
    </row>
    <row r="1366">
      <c r="A1366" s="34"/>
      <c r="G1366" s="46"/>
      <c r="H1366" s="46"/>
      <c r="I1366" s="46"/>
      <c r="J1366" s="43"/>
      <c r="K1366" s="43"/>
      <c r="L1366" s="43"/>
    </row>
    <row r="1367">
      <c r="A1367" s="34"/>
      <c r="G1367" s="46"/>
      <c r="H1367" s="46"/>
      <c r="I1367" s="46"/>
      <c r="J1367" s="43"/>
      <c r="K1367" s="43"/>
      <c r="L1367" s="43"/>
    </row>
    <row r="1368">
      <c r="A1368" s="34"/>
      <c r="G1368" s="46"/>
      <c r="H1368" s="46"/>
      <c r="I1368" s="46"/>
      <c r="J1368" s="43"/>
      <c r="K1368" s="43"/>
      <c r="L1368" s="43"/>
    </row>
    <row r="1369">
      <c r="A1369" s="34"/>
      <c r="G1369" s="46"/>
      <c r="H1369" s="46"/>
      <c r="I1369" s="46"/>
      <c r="J1369" s="43"/>
      <c r="K1369" s="43"/>
      <c r="L1369" s="43"/>
    </row>
    <row r="1370">
      <c r="A1370" s="34"/>
      <c r="G1370" s="46"/>
      <c r="H1370" s="46"/>
      <c r="I1370" s="46"/>
      <c r="J1370" s="43"/>
      <c r="K1370" s="43"/>
      <c r="L1370" s="43"/>
    </row>
    <row r="1371">
      <c r="A1371" s="34"/>
      <c r="G1371" s="46"/>
      <c r="H1371" s="46"/>
      <c r="I1371" s="46"/>
      <c r="J1371" s="43"/>
      <c r="K1371" s="43"/>
      <c r="L1371" s="43"/>
    </row>
    <row r="1372">
      <c r="A1372" s="34"/>
      <c r="G1372" s="46"/>
      <c r="H1372" s="46"/>
      <c r="I1372" s="46"/>
      <c r="J1372" s="43"/>
      <c r="K1372" s="43"/>
      <c r="L1372" s="43"/>
    </row>
    <row r="1373">
      <c r="A1373" s="34"/>
      <c r="G1373" s="46"/>
      <c r="H1373" s="46"/>
      <c r="I1373" s="46"/>
      <c r="J1373" s="43"/>
      <c r="K1373" s="43"/>
      <c r="L1373" s="43"/>
    </row>
    <row r="1374">
      <c r="A1374" s="34"/>
      <c r="G1374" s="46"/>
      <c r="H1374" s="46"/>
      <c r="I1374" s="46"/>
      <c r="J1374" s="43"/>
      <c r="K1374" s="43"/>
      <c r="L1374" s="43"/>
    </row>
    <row r="1375">
      <c r="A1375" s="34"/>
      <c r="G1375" s="46"/>
      <c r="H1375" s="46"/>
      <c r="I1375" s="46"/>
      <c r="J1375" s="43"/>
      <c r="K1375" s="43"/>
      <c r="L1375" s="43"/>
    </row>
    <row r="1376">
      <c r="A1376" s="34"/>
      <c r="G1376" s="46"/>
      <c r="H1376" s="46"/>
      <c r="I1376" s="46"/>
      <c r="J1376" s="43"/>
      <c r="K1376" s="43"/>
      <c r="L1376" s="43"/>
    </row>
    <row r="1377">
      <c r="A1377" s="34"/>
      <c r="G1377" s="46"/>
      <c r="H1377" s="46"/>
      <c r="I1377" s="46"/>
      <c r="J1377" s="43"/>
      <c r="K1377" s="43"/>
      <c r="L1377" s="43"/>
    </row>
    <row r="1378">
      <c r="A1378" s="34"/>
      <c r="G1378" s="46"/>
      <c r="H1378" s="46"/>
      <c r="I1378" s="46"/>
      <c r="J1378" s="43"/>
      <c r="K1378" s="43"/>
      <c r="L1378" s="43"/>
    </row>
    <row r="1379">
      <c r="A1379" s="34"/>
      <c r="G1379" s="46"/>
      <c r="H1379" s="46"/>
      <c r="I1379" s="46"/>
      <c r="J1379" s="43"/>
      <c r="K1379" s="43"/>
      <c r="L1379" s="43"/>
    </row>
    <row r="1380">
      <c r="A1380" s="34"/>
      <c r="G1380" s="46"/>
      <c r="H1380" s="46"/>
      <c r="I1380" s="46"/>
      <c r="J1380" s="43"/>
      <c r="K1380" s="43"/>
      <c r="L1380" s="43"/>
    </row>
    <row r="1381">
      <c r="A1381" s="34"/>
      <c r="G1381" s="46"/>
      <c r="H1381" s="46"/>
      <c r="I1381" s="46"/>
      <c r="J1381" s="43"/>
      <c r="K1381" s="43"/>
      <c r="L1381" s="43"/>
    </row>
    <row r="1382">
      <c r="A1382" s="34"/>
      <c r="G1382" s="46"/>
      <c r="H1382" s="46"/>
      <c r="I1382" s="46"/>
      <c r="J1382" s="43"/>
      <c r="K1382" s="43"/>
      <c r="L1382" s="43"/>
    </row>
    <row r="1383">
      <c r="A1383" s="34"/>
      <c r="G1383" s="46"/>
      <c r="H1383" s="46"/>
      <c r="I1383" s="46"/>
      <c r="J1383" s="43"/>
      <c r="K1383" s="43"/>
      <c r="L1383" s="43"/>
    </row>
    <row r="1384">
      <c r="A1384" s="34"/>
      <c r="G1384" s="46"/>
      <c r="H1384" s="46"/>
      <c r="I1384" s="46"/>
      <c r="J1384" s="43"/>
      <c r="K1384" s="43"/>
      <c r="L1384" s="43"/>
    </row>
    <row r="1385">
      <c r="A1385" s="34"/>
      <c r="G1385" s="46"/>
      <c r="H1385" s="46"/>
      <c r="I1385" s="46"/>
      <c r="J1385" s="43"/>
      <c r="K1385" s="43"/>
      <c r="L1385" s="43"/>
    </row>
    <row r="1386">
      <c r="A1386" s="34"/>
      <c r="G1386" s="46"/>
      <c r="H1386" s="46"/>
      <c r="I1386" s="46"/>
      <c r="J1386" s="43"/>
      <c r="K1386" s="43"/>
      <c r="L1386" s="43"/>
    </row>
    <row r="1387">
      <c r="A1387" s="34"/>
      <c r="G1387" s="46"/>
      <c r="H1387" s="46"/>
      <c r="I1387" s="46"/>
      <c r="J1387" s="43"/>
      <c r="K1387" s="43"/>
      <c r="L1387" s="43"/>
    </row>
    <row r="1388">
      <c r="A1388" s="34"/>
      <c r="G1388" s="46"/>
      <c r="H1388" s="46"/>
      <c r="I1388" s="46"/>
      <c r="J1388" s="43"/>
      <c r="K1388" s="43"/>
      <c r="L1388" s="43"/>
    </row>
    <row r="1389">
      <c r="A1389" s="34"/>
      <c r="G1389" s="46"/>
      <c r="H1389" s="46"/>
      <c r="I1389" s="46"/>
      <c r="J1389" s="43"/>
      <c r="K1389" s="43"/>
      <c r="L1389" s="43"/>
    </row>
    <row r="1390">
      <c r="A1390" s="34"/>
      <c r="G1390" s="46"/>
      <c r="H1390" s="46"/>
      <c r="I1390" s="46"/>
      <c r="J1390" s="43"/>
      <c r="K1390" s="43"/>
      <c r="L1390" s="43"/>
    </row>
    <row r="1391">
      <c r="A1391" s="34"/>
      <c r="G1391" s="46"/>
      <c r="H1391" s="46"/>
      <c r="I1391" s="46"/>
      <c r="J1391" s="43"/>
      <c r="K1391" s="43"/>
      <c r="L1391" s="43"/>
    </row>
    <row r="1392">
      <c r="A1392" s="34"/>
      <c r="G1392" s="46"/>
      <c r="H1392" s="46"/>
      <c r="I1392" s="46"/>
      <c r="J1392" s="43"/>
      <c r="K1392" s="43"/>
      <c r="L1392" s="43"/>
    </row>
    <row r="1393">
      <c r="A1393" s="34"/>
      <c r="G1393" s="46"/>
      <c r="H1393" s="46"/>
      <c r="I1393" s="46"/>
      <c r="J1393" s="43"/>
      <c r="K1393" s="43"/>
      <c r="L1393" s="43"/>
    </row>
    <row r="1394">
      <c r="A1394" s="34"/>
      <c r="G1394" s="46"/>
      <c r="H1394" s="46"/>
      <c r="I1394" s="46"/>
      <c r="J1394" s="43"/>
      <c r="K1394" s="43"/>
      <c r="L1394" s="43"/>
    </row>
    <row r="1395">
      <c r="A1395" s="34"/>
      <c r="G1395" s="46"/>
      <c r="H1395" s="46"/>
      <c r="I1395" s="46"/>
      <c r="J1395" s="43"/>
      <c r="K1395" s="43"/>
      <c r="L1395" s="43"/>
    </row>
    <row r="1396">
      <c r="A1396" s="34"/>
      <c r="G1396" s="46"/>
      <c r="H1396" s="46"/>
      <c r="I1396" s="46"/>
      <c r="J1396" s="43"/>
      <c r="K1396" s="43"/>
      <c r="L1396" s="43"/>
    </row>
    <row r="1397">
      <c r="A1397" s="34"/>
      <c r="G1397" s="46"/>
      <c r="H1397" s="46"/>
      <c r="I1397" s="46"/>
      <c r="J1397" s="43"/>
      <c r="K1397" s="43"/>
      <c r="L1397" s="43"/>
    </row>
    <row r="1398">
      <c r="A1398" s="34"/>
      <c r="G1398" s="46"/>
      <c r="H1398" s="46"/>
      <c r="I1398" s="46"/>
      <c r="J1398" s="43"/>
      <c r="K1398" s="43"/>
      <c r="L1398" s="43"/>
    </row>
    <row r="1399">
      <c r="A1399" s="34"/>
      <c r="G1399" s="46"/>
      <c r="H1399" s="46"/>
      <c r="I1399" s="46"/>
      <c r="J1399" s="43"/>
      <c r="K1399" s="43"/>
      <c r="L1399" s="43"/>
    </row>
    <row r="1400">
      <c r="A1400" s="34"/>
      <c r="G1400" s="46"/>
      <c r="H1400" s="46"/>
      <c r="I1400" s="46"/>
      <c r="J1400" s="43"/>
      <c r="K1400" s="43"/>
      <c r="L1400" s="43"/>
    </row>
    <row r="1401">
      <c r="A1401" s="34"/>
      <c r="G1401" s="46"/>
      <c r="H1401" s="46"/>
      <c r="I1401" s="46"/>
      <c r="J1401" s="43"/>
      <c r="K1401" s="43"/>
      <c r="L1401" s="43"/>
    </row>
    <row r="1402">
      <c r="A1402" s="34"/>
      <c r="G1402" s="46"/>
      <c r="H1402" s="46"/>
      <c r="I1402" s="46"/>
      <c r="J1402" s="43"/>
      <c r="K1402" s="43"/>
      <c r="L1402" s="43"/>
    </row>
    <row r="1403">
      <c r="A1403" s="34"/>
      <c r="G1403" s="46"/>
      <c r="H1403" s="46"/>
      <c r="I1403" s="46"/>
      <c r="J1403" s="43"/>
      <c r="K1403" s="43"/>
      <c r="L1403" s="43"/>
    </row>
    <row r="1404">
      <c r="A1404" s="34"/>
      <c r="G1404" s="46"/>
      <c r="H1404" s="46"/>
      <c r="I1404" s="46"/>
      <c r="J1404" s="43"/>
      <c r="K1404" s="43"/>
      <c r="L1404" s="43"/>
    </row>
    <row r="1405">
      <c r="A1405" s="34"/>
      <c r="G1405" s="46"/>
      <c r="H1405" s="46"/>
      <c r="I1405" s="46"/>
      <c r="J1405" s="43"/>
      <c r="K1405" s="43"/>
      <c r="L1405" s="43"/>
    </row>
    <row r="1406">
      <c r="A1406" s="34"/>
      <c r="G1406" s="46"/>
      <c r="H1406" s="46"/>
      <c r="I1406" s="46"/>
      <c r="J1406" s="43"/>
      <c r="K1406" s="43"/>
      <c r="L1406" s="43"/>
    </row>
    <row r="1407">
      <c r="A1407" s="34"/>
      <c r="G1407" s="46"/>
      <c r="H1407" s="46"/>
      <c r="I1407" s="46"/>
      <c r="J1407" s="43"/>
      <c r="K1407" s="43"/>
      <c r="L1407" s="43"/>
    </row>
    <row r="1408">
      <c r="A1408" s="34"/>
      <c r="G1408" s="46"/>
      <c r="H1408" s="46"/>
      <c r="I1408" s="46"/>
      <c r="J1408" s="43"/>
      <c r="K1408" s="43"/>
      <c r="L1408" s="43"/>
    </row>
    <row r="1409">
      <c r="A1409" s="34"/>
      <c r="G1409" s="46"/>
      <c r="H1409" s="46"/>
      <c r="I1409" s="46"/>
      <c r="J1409" s="43"/>
      <c r="K1409" s="43"/>
      <c r="L1409" s="43"/>
    </row>
    <row r="1410">
      <c r="A1410" s="34"/>
      <c r="G1410" s="46"/>
      <c r="H1410" s="46"/>
      <c r="I1410" s="46"/>
      <c r="J1410" s="43"/>
      <c r="K1410" s="43"/>
      <c r="L1410" s="43"/>
    </row>
    <row r="1411">
      <c r="A1411" s="34"/>
      <c r="G1411" s="46"/>
      <c r="H1411" s="46"/>
      <c r="I1411" s="46"/>
      <c r="J1411" s="43"/>
      <c r="K1411" s="43"/>
      <c r="L1411" s="43"/>
    </row>
    <row r="1412">
      <c r="A1412" s="34"/>
      <c r="G1412" s="46"/>
      <c r="H1412" s="46"/>
      <c r="I1412" s="46"/>
      <c r="J1412" s="43"/>
      <c r="K1412" s="43"/>
      <c r="L1412" s="43"/>
    </row>
    <row r="1413">
      <c r="A1413" s="34"/>
      <c r="G1413" s="46"/>
      <c r="H1413" s="46"/>
      <c r="I1413" s="46"/>
      <c r="J1413" s="43"/>
      <c r="K1413" s="43"/>
      <c r="L1413" s="43"/>
    </row>
    <row r="1414">
      <c r="A1414" s="34"/>
      <c r="G1414" s="46"/>
      <c r="H1414" s="46"/>
      <c r="I1414" s="46"/>
      <c r="J1414" s="43"/>
      <c r="K1414" s="43"/>
      <c r="L1414" s="43"/>
    </row>
    <row r="1415">
      <c r="A1415" s="34"/>
      <c r="G1415" s="46"/>
      <c r="H1415" s="46"/>
      <c r="I1415" s="46"/>
      <c r="J1415" s="43"/>
      <c r="K1415" s="43"/>
      <c r="L1415" s="43"/>
    </row>
    <row r="1416">
      <c r="A1416" s="34"/>
      <c r="G1416" s="46"/>
      <c r="H1416" s="46"/>
      <c r="I1416" s="46"/>
      <c r="J1416" s="43"/>
      <c r="K1416" s="43"/>
      <c r="L1416" s="43"/>
    </row>
    <row r="1417">
      <c r="A1417" s="34"/>
      <c r="G1417" s="46"/>
      <c r="H1417" s="46"/>
      <c r="I1417" s="46"/>
      <c r="J1417" s="43"/>
      <c r="K1417" s="43"/>
      <c r="L1417" s="43"/>
    </row>
    <row r="1418">
      <c r="A1418" s="34"/>
      <c r="G1418" s="46"/>
      <c r="H1418" s="46"/>
      <c r="I1418" s="46"/>
      <c r="J1418" s="43"/>
      <c r="K1418" s="43"/>
      <c r="L1418" s="43"/>
    </row>
    <row r="1419">
      <c r="A1419" s="34"/>
      <c r="G1419" s="46"/>
      <c r="H1419" s="46"/>
      <c r="I1419" s="46"/>
      <c r="J1419" s="43"/>
      <c r="K1419" s="43"/>
      <c r="L1419" s="43"/>
    </row>
    <row r="1420">
      <c r="A1420" s="34"/>
      <c r="G1420" s="46"/>
      <c r="H1420" s="46"/>
      <c r="I1420" s="46"/>
      <c r="J1420" s="43"/>
      <c r="K1420" s="43"/>
      <c r="L1420" s="43"/>
    </row>
    <row r="1421">
      <c r="A1421" s="34"/>
      <c r="G1421" s="46"/>
      <c r="H1421" s="46"/>
      <c r="I1421" s="46"/>
      <c r="J1421" s="43"/>
      <c r="K1421" s="43"/>
      <c r="L1421" s="43"/>
    </row>
    <row r="1422">
      <c r="A1422" s="34"/>
      <c r="G1422" s="46"/>
      <c r="H1422" s="46"/>
      <c r="I1422" s="46"/>
      <c r="J1422" s="43"/>
      <c r="K1422" s="43"/>
      <c r="L1422" s="43"/>
    </row>
    <row r="1423">
      <c r="A1423" s="34"/>
      <c r="G1423" s="46"/>
      <c r="H1423" s="46"/>
      <c r="I1423" s="46"/>
      <c r="J1423" s="43"/>
      <c r="K1423" s="43"/>
      <c r="L1423" s="43"/>
    </row>
    <row r="1424">
      <c r="A1424" s="34"/>
      <c r="G1424" s="46"/>
      <c r="H1424" s="46"/>
      <c r="I1424" s="46"/>
      <c r="J1424" s="43"/>
      <c r="K1424" s="43"/>
      <c r="L1424" s="43"/>
    </row>
    <row r="1425">
      <c r="A1425" s="34"/>
      <c r="G1425" s="46"/>
      <c r="H1425" s="46"/>
      <c r="I1425" s="46"/>
      <c r="J1425" s="43"/>
      <c r="K1425" s="43"/>
      <c r="L1425" s="43"/>
    </row>
    <row r="1426">
      <c r="A1426" s="34"/>
      <c r="G1426" s="46"/>
      <c r="H1426" s="46"/>
      <c r="I1426" s="46"/>
      <c r="J1426" s="43"/>
      <c r="K1426" s="43"/>
      <c r="L1426" s="43"/>
    </row>
    <row r="1427">
      <c r="A1427" s="34"/>
      <c r="G1427" s="46"/>
      <c r="H1427" s="46"/>
      <c r="I1427" s="46"/>
      <c r="J1427" s="43"/>
      <c r="K1427" s="43"/>
      <c r="L1427" s="43"/>
    </row>
    <row r="1428">
      <c r="A1428" s="34"/>
      <c r="G1428" s="46"/>
      <c r="H1428" s="46"/>
      <c r="I1428" s="46"/>
      <c r="J1428" s="43"/>
      <c r="K1428" s="43"/>
      <c r="L1428" s="43"/>
    </row>
    <row r="1429">
      <c r="A1429" s="34"/>
      <c r="G1429" s="46"/>
      <c r="H1429" s="46"/>
      <c r="I1429" s="46"/>
      <c r="J1429" s="43"/>
      <c r="K1429" s="43"/>
      <c r="L1429" s="43"/>
    </row>
    <row r="1430">
      <c r="A1430" s="34"/>
      <c r="G1430" s="46"/>
      <c r="H1430" s="46"/>
      <c r="I1430" s="46"/>
      <c r="J1430" s="43"/>
      <c r="K1430" s="43"/>
      <c r="L1430" s="43"/>
    </row>
    <row r="1431">
      <c r="A1431" s="34"/>
      <c r="G1431" s="46"/>
      <c r="H1431" s="46"/>
      <c r="I1431" s="46"/>
      <c r="J1431" s="43"/>
      <c r="K1431" s="43"/>
      <c r="L1431" s="43"/>
    </row>
    <row r="1432">
      <c r="A1432" s="34"/>
      <c r="G1432" s="46"/>
      <c r="H1432" s="46"/>
      <c r="I1432" s="46"/>
      <c r="J1432" s="43"/>
      <c r="K1432" s="43"/>
      <c r="L1432" s="43"/>
    </row>
    <row r="1433">
      <c r="A1433" s="34"/>
      <c r="G1433" s="46"/>
      <c r="H1433" s="46"/>
      <c r="I1433" s="46"/>
      <c r="J1433" s="43"/>
      <c r="K1433" s="43"/>
      <c r="L1433" s="43"/>
    </row>
    <row r="1434">
      <c r="A1434" s="34"/>
      <c r="G1434" s="46"/>
      <c r="H1434" s="46"/>
      <c r="I1434" s="46"/>
      <c r="J1434" s="43"/>
      <c r="K1434" s="43"/>
      <c r="L1434" s="43"/>
    </row>
    <row r="1435">
      <c r="A1435" s="34"/>
      <c r="G1435" s="46"/>
      <c r="H1435" s="46"/>
      <c r="I1435" s="46"/>
      <c r="J1435" s="43"/>
      <c r="K1435" s="43"/>
      <c r="L1435" s="43"/>
    </row>
    <row r="1436">
      <c r="A1436" s="34"/>
      <c r="G1436" s="46"/>
      <c r="H1436" s="46"/>
      <c r="I1436" s="46"/>
      <c r="J1436" s="43"/>
      <c r="K1436" s="43"/>
      <c r="L1436" s="43"/>
    </row>
    <row r="1437">
      <c r="A1437" s="34"/>
      <c r="G1437" s="46"/>
      <c r="H1437" s="46"/>
      <c r="I1437" s="46"/>
      <c r="J1437" s="43"/>
      <c r="K1437" s="43"/>
      <c r="L1437" s="43"/>
    </row>
    <row r="1438">
      <c r="A1438" s="34"/>
      <c r="G1438" s="46"/>
      <c r="H1438" s="46"/>
      <c r="I1438" s="46"/>
      <c r="J1438" s="43"/>
      <c r="K1438" s="43"/>
      <c r="L1438" s="43"/>
    </row>
    <row r="1439">
      <c r="A1439" s="34"/>
      <c r="G1439" s="46"/>
      <c r="H1439" s="46"/>
      <c r="I1439" s="46"/>
      <c r="J1439" s="43"/>
      <c r="K1439" s="43"/>
      <c r="L1439" s="43"/>
    </row>
    <row r="1440">
      <c r="A1440" s="34"/>
      <c r="G1440" s="46"/>
      <c r="H1440" s="46"/>
      <c r="I1440" s="46"/>
      <c r="J1440" s="43"/>
      <c r="K1440" s="43"/>
      <c r="L1440" s="43"/>
    </row>
    <row r="1441">
      <c r="A1441" s="34"/>
      <c r="G1441" s="46"/>
      <c r="H1441" s="46"/>
      <c r="I1441" s="46"/>
      <c r="J1441" s="43"/>
      <c r="K1441" s="43"/>
      <c r="L1441" s="43"/>
    </row>
    <row r="1442">
      <c r="A1442" s="34"/>
      <c r="G1442" s="46"/>
      <c r="H1442" s="46"/>
      <c r="I1442" s="46"/>
      <c r="J1442" s="43"/>
      <c r="K1442" s="43"/>
      <c r="L1442" s="43"/>
    </row>
    <row r="1443">
      <c r="A1443" s="34"/>
      <c r="G1443" s="46"/>
      <c r="H1443" s="46"/>
      <c r="I1443" s="46"/>
      <c r="J1443" s="43"/>
      <c r="K1443" s="43"/>
      <c r="L1443" s="43"/>
    </row>
    <row r="1444">
      <c r="A1444" s="34"/>
      <c r="G1444" s="46"/>
      <c r="H1444" s="46"/>
      <c r="I1444" s="46"/>
      <c r="J1444" s="43"/>
      <c r="K1444" s="43"/>
      <c r="L1444" s="43"/>
    </row>
    <row r="1445">
      <c r="A1445" s="34"/>
      <c r="G1445" s="46"/>
      <c r="H1445" s="46"/>
      <c r="I1445" s="46"/>
      <c r="J1445" s="43"/>
      <c r="K1445" s="43"/>
      <c r="L1445" s="43"/>
    </row>
    <row r="1446">
      <c r="A1446" s="34"/>
      <c r="G1446" s="46"/>
      <c r="H1446" s="46"/>
      <c r="I1446" s="46"/>
      <c r="J1446" s="43"/>
      <c r="K1446" s="43"/>
      <c r="L1446" s="43"/>
    </row>
    <row r="1447">
      <c r="A1447" s="34"/>
      <c r="G1447" s="46"/>
      <c r="H1447" s="46"/>
      <c r="I1447" s="46"/>
      <c r="J1447" s="43"/>
      <c r="K1447" s="43"/>
      <c r="L1447" s="43"/>
    </row>
    <row r="1448">
      <c r="A1448" s="34"/>
      <c r="G1448" s="46"/>
      <c r="H1448" s="46"/>
      <c r="I1448" s="46"/>
      <c r="J1448" s="43"/>
      <c r="K1448" s="43"/>
      <c r="L1448" s="43"/>
    </row>
    <row r="1449">
      <c r="A1449" s="34"/>
      <c r="G1449" s="46"/>
      <c r="H1449" s="46"/>
      <c r="I1449" s="46"/>
      <c r="J1449" s="43"/>
      <c r="K1449" s="43"/>
      <c r="L1449" s="43"/>
    </row>
    <row r="1450">
      <c r="A1450" s="34"/>
      <c r="G1450" s="46"/>
      <c r="H1450" s="46"/>
      <c r="I1450" s="46"/>
      <c r="J1450" s="43"/>
      <c r="K1450" s="43"/>
      <c r="L1450" s="43"/>
    </row>
    <row r="1451">
      <c r="A1451" s="34"/>
      <c r="G1451" s="46"/>
      <c r="H1451" s="46"/>
      <c r="I1451" s="46"/>
      <c r="J1451" s="43"/>
      <c r="K1451" s="43"/>
      <c r="L1451" s="43"/>
    </row>
    <row r="1452">
      <c r="A1452" s="34"/>
      <c r="G1452" s="46"/>
      <c r="H1452" s="46"/>
      <c r="I1452" s="46"/>
      <c r="J1452" s="43"/>
      <c r="K1452" s="43"/>
      <c r="L1452" s="43"/>
    </row>
    <row r="1453">
      <c r="A1453" s="34"/>
      <c r="G1453" s="46"/>
      <c r="H1453" s="46"/>
      <c r="I1453" s="46"/>
      <c r="J1453" s="43"/>
      <c r="K1453" s="43"/>
      <c r="L1453" s="43"/>
    </row>
    <row r="1454">
      <c r="A1454" s="34"/>
      <c r="G1454" s="46"/>
      <c r="H1454" s="46"/>
      <c r="I1454" s="46"/>
      <c r="J1454" s="43"/>
      <c r="K1454" s="43"/>
      <c r="L1454" s="43"/>
    </row>
    <row r="1455">
      <c r="A1455" s="34"/>
      <c r="G1455" s="46"/>
      <c r="H1455" s="46"/>
      <c r="I1455" s="46"/>
      <c r="J1455" s="43"/>
      <c r="K1455" s="43"/>
      <c r="L1455" s="43"/>
    </row>
    <row r="1456">
      <c r="A1456" s="34"/>
      <c r="G1456" s="46"/>
      <c r="H1456" s="46"/>
      <c r="I1456" s="46"/>
      <c r="J1456" s="43"/>
      <c r="K1456" s="43"/>
      <c r="L1456" s="43"/>
    </row>
    <row r="1457">
      <c r="A1457" s="34"/>
      <c r="G1457" s="46"/>
      <c r="H1457" s="46"/>
      <c r="I1457" s="46"/>
      <c r="J1457" s="43"/>
      <c r="K1457" s="43"/>
      <c r="L1457" s="43"/>
    </row>
    <row r="1458">
      <c r="A1458" s="34"/>
      <c r="G1458" s="46"/>
      <c r="H1458" s="46"/>
      <c r="I1458" s="46"/>
      <c r="J1458" s="43"/>
      <c r="K1458" s="43"/>
      <c r="L1458" s="43"/>
    </row>
    <row r="1459">
      <c r="A1459" s="34"/>
      <c r="G1459" s="46"/>
      <c r="H1459" s="46"/>
      <c r="I1459" s="46"/>
      <c r="J1459" s="43"/>
      <c r="K1459" s="43"/>
      <c r="L1459" s="43"/>
    </row>
    <row r="1460">
      <c r="A1460" s="34"/>
      <c r="G1460" s="46"/>
      <c r="H1460" s="46"/>
      <c r="I1460" s="46"/>
      <c r="J1460" s="43"/>
      <c r="K1460" s="43"/>
      <c r="L1460" s="43"/>
    </row>
    <row r="1461">
      <c r="A1461" s="34"/>
      <c r="G1461" s="46"/>
      <c r="H1461" s="46"/>
      <c r="I1461" s="46"/>
      <c r="J1461" s="43"/>
      <c r="K1461" s="43"/>
      <c r="L1461" s="43"/>
    </row>
    <row r="1462">
      <c r="A1462" s="34"/>
      <c r="G1462" s="46"/>
      <c r="H1462" s="46"/>
      <c r="I1462" s="46"/>
      <c r="J1462" s="43"/>
      <c r="K1462" s="43"/>
      <c r="L1462" s="43"/>
    </row>
    <row r="1463">
      <c r="A1463" s="34"/>
      <c r="G1463" s="46"/>
      <c r="H1463" s="46"/>
      <c r="I1463" s="46"/>
      <c r="J1463" s="43"/>
      <c r="K1463" s="43"/>
      <c r="L1463" s="43"/>
    </row>
    <row r="1464">
      <c r="A1464" s="34"/>
      <c r="G1464" s="46"/>
      <c r="H1464" s="46"/>
      <c r="I1464" s="46"/>
      <c r="J1464" s="43"/>
      <c r="K1464" s="43"/>
      <c r="L1464" s="43"/>
    </row>
    <row r="1465">
      <c r="A1465" s="34"/>
      <c r="G1465" s="46"/>
      <c r="H1465" s="46"/>
      <c r="I1465" s="46"/>
      <c r="J1465" s="43"/>
      <c r="K1465" s="43"/>
      <c r="L1465" s="43"/>
    </row>
    <row r="1466">
      <c r="A1466" s="34"/>
      <c r="G1466" s="46"/>
      <c r="H1466" s="46"/>
      <c r="I1466" s="46"/>
      <c r="J1466" s="43"/>
      <c r="K1466" s="43"/>
      <c r="L1466" s="43"/>
    </row>
    <row r="1467">
      <c r="A1467" s="34"/>
      <c r="G1467" s="46"/>
      <c r="H1467" s="46"/>
      <c r="I1467" s="46"/>
      <c r="J1467" s="43"/>
      <c r="K1467" s="43"/>
      <c r="L1467" s="43"/>
    </row>
    <row r="1468">
      <c r="A1468" s="34"/>
      <c r="G1468" s="46"/>
      <c r="H1468" s="46"/>
      <c r="I1468" s="46"/>
      <c r="J1468" s="43"/>
      <c r="K1468" s="43"/>
      <c r="L1468" s="43"/>
    </row>
    <row r="1469">
      <c r="A1469" s="34"/>
      <c r="G1469" s="46"/>
      <c r="H1469" s="46"/>
      <c r="I1469" s="46"/>
      <c r="J1469" s="43"/>
      <c r="K1469" s="43"/>
      <c r="L1469" s="43"/>
    </row>
    <row r="1470">
      <c r="A1470" s="34"/>
      <c r="G1470" s="46"/>
      <c r="H1470" s="46"/>
      <c r="I1470" s="46"/>
      <c r="J1470" s="43"/>
      <c r="K1470" s="43"/>
      <c r="L1470" s="43"/>
    </row>
    <row r="1471">
      <c r="A1471" s="34"/>
      <c r="G1471" s="46"/>
      <c r="H1471" s="46"/>
      <c r="I1471" s="46"/>
      <c r="J1471" s="43"/>
      <c r="K1471" s="43"/>
      <c r="L1471" s="43"/>
    </row>
    <row r="1472">
      <c r="A1472" s="34"/>
      <c r="G1472" s="46"/>
      <c r="H1472" s="46"/>
      <c r="I1472" s="46"/>
      <c r="J1472" s="43"/>
      <c r="K1472" s="43"/>
      <c r="L1472" s="43"/>
    </row>
    <row r="1473">
      <c r="A1473" s="34"/>
      <c r="G1473" s="46"/>
      <c r="H1473" s="46"/>
      <c r="I1473" s="46"/>
      <c r="J1473" s="43"/>
      <c r="K1473" s="43"/>
      <c r="L1473" s="43"/>
    </row>
    <row r="1474">
      <c r="A1474" s="34"/>
      <c r="G1474" s="46"/>
      <c r="H1474" s="46"/>
      <c r="I1474" s="46"/>
      <c r="J1474" s="43"/>
      <c r="K1474" s="43"/>
      <c r="L1474" s="43"/>
    </row>
    <row r="1475">
      <c r="A1475" s="34"/>
      <c r="G1475" s="46"/>
      <c r="H1475" s="46"/>
      <c r="I1475" s="46"/>
      <c r="J1475" s="43"/>
      <c r="K1475" s="43"/>
      <c r="L1475" s="43"/>
    </row>
    <row r="1476">
      <c r="A1476" s="34"/>
      <c r="G1476" s="46"/>
      <c r="H1476" s="46"/>
      <c r="I1476" s="46"/>
      <c r="J1476" s="43"/>
      <c r="K1476" s="43"/>
      <c r="L1476" s="43"/>
    </row>
    <row r="1477">
      <c r="A1477" s="34"/>
      <c r="G1477" s="46"/>
      <c r="H1477" s="46"/>
      <c r="I1477" s="46"/>
      <c r="J1477" s="43"/>
      <c r="K1477" s="43"/>
      <c r="L1477" s="43"/>
    </row>
    <row r="1478">
      <c r="A1478" s="34"/>
      <c r="G1478" s="46"/>
      <c r="H1478" s="46"/>
      <c r="I1478" s="46"/>
      <c r="J1478" s="43"/>
      <c r="K1478" s="43"/>
      <c r="L1478" s="43"/>
    </row>
    <row r="1479">
      <c r="A1479" s="34"/>
      <c r="G1479" s="46"/>
      <c r="H1479" s="46"/>
      <c r="I1479" s="46"/>
      <c r="J1479" s="43"/>
      <c r="K1479" s="43"/>
      <c r="L1479" s="43"/>
    </row>
    <row r="1480">
      <c r="A1480" s="34"/>
      <c r="G1480" s="46"/>
      <c r="H1480" s="46"/>
      <c r="I1480" s="46"/>
      <c r="J1480" s="43"/>
      <c r="K1480" s="43"/>
      <c r="L1480" s="43"/>
    </row>
    <row r="1481">
      <c r="A1481" s="34"/>
      <c r="G1481" s="46"/>
      <c r="H1481" s="46"/>
      <c r="I1481" s="46"/>
      <c r="J1481" s="43"/>
      <c r="K1481" s="43"/>
      <c r="L1481" s="43"/>
    </row>
    <row r="1482">
      <c r="A1482" s="34"/>
      <c r="G1482" s="46"/>
      <c r="H1482" s="46"/>
      <c r="I1482" s="46"/>
      <c r="J1482" s="43"/>
      <c r="K1482" s="43"/>
      <c r="L1482" s="43"/>
    </row>
    <row r="1483">
      <c r="A1483" s="34"/>
      <c r="G1483" s="46"/>
      <c r="H1483" s="46"/>
      <c r="I1483" s="46"/>
      <c r="J1483" s="43"/>
      <c r="K1483" s="43"/>
      <c r="L1483" s="43"/>
    </row>
    <row r="1484">
      <c r="A1484" s="34"/>
      <c r="G1484" s="46"/>
      <c r="H1484" s="46"/>
      <c r="I1484" s="46"/>
      <c r="J1484" s="43"/>
      <c r="K1484" s="43"/>
      <c r="L1484" s="43"/>
    </row>
    <row r="1485">
      <c r="A1485" s="34"/>
      <c r="G1485" s="46"/>
      <c r="H1485" s="46"/>
      <c r="I1485" s="46"/>
      <c r="J1485" s="43"/>
      <c r="K1485" s="43"/>
      <c r="L1485" s="43"/>
    </row>
    <row r="1486">
      <c r="A1486" s="34"/>
      <c r="G1486" s="46"/>
      <c r="H1486" s="46"/>
      <c r="I1486" s="46"/>
      <c r="J1486" s="43"/>
      <c r="K1486" s="43"/>
      <c r="L1486" s="43"/>
    </row>
    <row r="1487">
      <c r="A1487" s="34"/>
      <c r="G1487" s="46"/>
      <c r="H1487" s="46"/>
      <c r="I1487" s="46"/>
      <c r="J1487" s="43"/>
      <c r="K1487" s="43"/>
      <c r="L1487" s="43"/>
    </row>
    <row r="1488">
      <c r="A1488" s="34"/>
      <c r="G1488" s="46"/>
      <c r="H1488" s="46"/>
      <c r="I1488" s="46"/>
      <c r="J1488" s="43"/>
      <c r="K1488" s="43"/>
      <c r="L1488" s="43"/>
    </row>
    <row r="1489">
      <c r="A1489" s="34"/>
      <c r="G1489" s="46"/>
      <c r="H1489" s="46"/>
      <c r="I1489" s="46"/>
      <c r="J1489" s="43"/>
      <c r="K1489" s="43"/>
      <c r="L1489" s="43"/>
    </row>
    <row r="1490">
      <c r="A1490" s="34"/>
      <c r="G1490" s="46"/>
      <c r="H1490" s="46"/>
      <c r="I1490" s="46"/>
      <c r="J1490" s="43"/>
      <c r="K1490" s="43"/>
      <c r="L1490" s="43"/>
    </row>
    <row r="1491">
      <c r="A1491" s="34"/>
      <c r="G1491" s="46"/>
      <c r="H1491" s="46"/>
      <c r="I1491" s="46"/>
      <c r="J1491" s="43"/>
      <c r="K1491" s="43"/>
      <c r="L1491" s="43"/>
    </row>
    <row r="1492">
      <c r="A1492" s="34"/>
      <c r="G1492" s="46"/>
      <c r="H1492" s="46"/>
      <c r="I1492" s="46"/>
      <c r="J1492" s="43"/>
      <c r="K1492" s="43"/>
      <c r="L1492" s="43"/>
    </row>
    <row r="1493">
      <c r="A1493" s="34"/>
      <c r="G1493" s="46"/>
      <c r="H1493" s="46"/>
      <c r="I1493" s="46"/>
      <c r="J1493" s="43"/>
      <c r="K1493" s="43"/>
      <c r="L1493" s="43"/>
    </row>
    <row r="1494">
      <c r="A1494" s="34"/>
      <c r="G1494" s="46"/>
      <c r="H1494" s="46"/>
      <c r="I1494" s="46"/>
      <c r="J1494" s="43"/>
      <c r="K1494" s="43"/>
      <c r="L1494" s="43"/>
    </row>
    <row r="1495">
      <c r="A1495" s="34"/>
      <c r="G1495" s="46"/>
      <c r="H1495" s="46"/>
      <c r="I1495" s="46"/>
      <c r="J1495" s="43"/>
      <c r="K1495" s="43"/>
      <c r="L1495" s="43"/>
    </row>
    <row r="1496">
      <c r="A1496" s="34"/>
      <c r="G1496" s="46"/>
      <c r="H1496" s="46"/>
      <c r="I1496" s="46"/>
      <c r="J1496" s="43"/>
      <c r="K1496" s="43"/>
      <c r="L1496" s="43"/>
    </row>
    <row r="1497">
      <c r="A1497" s="34"/>
      <c r="G1497" s="46"/>
      <c r="H1497" s="46"/>
      <c r="I1497" s="46"/>
      <c r="J1497" s="43"/>
      <c r="K1497" s="43"/>
      <c r="L1497" s="43"/>
    </row>
    <row r="1498">
      <c r="A1498" s="34"/>
      <c r="G1498" s="46"/>
      <c r="H1498" s="46"/>
      <c r="I1498" s="46"/>
      <c r="J1498" s="43"/>
      <c r="K1498" s="43"/>
      <c r="L1498" s="43"/>
    </row>
    <row r="1499">
      <c r="A1499" s="34"/>
      <c r="G1499" s="46"/>
      <c r="H1499" s="46"/>
      <c r="I1499" s="46"/>
      <c r="J1499" s="43"/>
      <c r="K1499" s="43"/>
      <c r="L1499" s="43"/>
    </row>
    <row r="1500">
      <c r="A1500" s="34"/>
      <c r="G1500" s="46"/>
      <c r="H1500" s="46"/>
      <c r="I1500" s="46"/>
      <c r="J1500" s="43"/>
      <c r="K1500" s="43"/>
      <c r="L1500" s="43"/>
    </row>
    <row r="1501">
      <c r="A1501" s="34"/>
      <c r="G1501" s="46"/>
      <c r="H1501" s="46"/>
      <c r="I1501" s="46"/>
      <c r="J1501" s="43"/>
      <c r="K1501" s="43"/>
      <c r="L1501" s="43"/>
    </row>
    <row r="1502">
      <c r="A1502" s="34"/>
      <c r="G1502" s="46"/>
      <c r="H1502" s="46"/>
      <c r="I1502" s="46"/>
      <c r="J1502" s="43"/>
      <c r="K1502" s="43"/>
      <c r="L1502" s="43"/>
    </row>
    <row r="1503">
      <c r="A1503" s="34"/>
      <c r="G1503" s="46"/>
      <c r="H1503" s="46"/>
      <c r="I1503" s="46"/>
      <c r="J1503" s="43"/>
      <c r="K1503" s="43"/>
      <c r="L1503" s="43"/>
    </row>
    <row r="1504">
      <c r="A1504" s="34"/>
      <c r="G1504" s="46"/>
      <c r="H1504" s="46"/>
      <c r="I1504" s="46"/>
      <c r="J1504" s="43"/>
      <c r="K1504" s="43"/>
      <c r="L1504" s="43"/>
    </row>
    <row r="1505">
      <c r="A1505" s="34"/>
      <c r="G1505" s="46"/>
      <c r="H1505" s="46"/>
      <c r="I1505" s="46"/>
      <c r="J1505" s="43"/>
      <c r="K1505" s="43"/>
      <c r="L1505" s="43"/>
    </row>
    <row r="1506">
      <c r="A1506" s="34"/>
      <c r="G1506" s="46"/>
      <c r="H1506" s="46"/>
      <c r="I1506" s="46"/>
      <c r="J1506" s="43"/>
      <c r="K1506" s="43"/>
      <c r="L1506" s="43"/>
    </row>
    <row r="1507">
      <c r="A1507" s="34"/>
      <c r="G1507" s="46"/>
      <c r="H1507" s="46"/>
      <c r="I1507" s="46"/>
      <c r="J1507" s="43"/>
      <c r="K1507" s="43"/>
      <c r="L1507" s="43"/>
    </row>
    <row r="1508">
      <c r="A1508" s="34"/>
      <c r="G1508" s="46"/>
      <c r="H1508" s="46"/>
      <c r="I1508" s="46"/>
      <c r="J1508" s="43"/>
      <c r="K1508" s="43"/>
      <c r="L1508" s="43"/>
    </row>
    <row r="1509">
      <c r="A1509" s="34"/>
      <c r="G1509" s="46"/>
      <c r="H1509" s="46"/>
      <c r="I1509" s="46"/>
      <c r="J1509" s="43"/>
      <c r="K1509" s="43"/>
      <c r="L1509" s="43"/>
    </row>
    <row r="1510">
      <c r="A1510" s="34"/>
      <c r="G1510" s="46"/>
      <c r="H1510" s="46"/>
      <c r="I1510" s="46"/>
      <c r="J1510" s="43"/>
      <c r="K1510" s="43"/>
      <c r="L1510" s="43"/>
    </row>
    <row r="1511">
      <c r="A1511" s="34"/>
      <c r="G1511" s="46"/>
      <c r="H1511" s="46"/>
      <c r="I1511" s="46"/>
      <c r="J1511" s="43"/>
      <c r="K1511" s="43"/>
      <c r="L1511" s="43"/>
    </row>
    <row r="1512">
      <c r="A1512" s="34"/>
      <c r="G1512" s="46"/>
      <c r="H1512" s="46"/>
      <c r="I1512" s="46"/>
      <c r="J1512" s="43"/>
      <c r="K1512" s="43"/>
      <c r="L1512" s="43"/>
    </row>
    <row r="1513">
      <c r="A1513" s="34"/>
      <c r="G1513" s="46"/>
      <c r="H1513" s="46"/>
      <c r="I1513" s="46"/>
      <c r="J1513" s="43"/>
      <c r="K1513" s="43"/>
      <c r="L1513" s="43"/>
    </row>
    <row r="1514">
      <c r="A1514" s="34"/>
      <c r="G1514" s="46"/>
      <c r="H1514" s="46"/>
      <c r="I1514" s="46"/>
      <c r="J1514" s="43"/>
      <c r="K1514" s="43"/>
      <c r="L1514" s="43"/>
    </row>
    <row r="1515">
      <c r="A1515" s="34"/>
      <c r="G1515" s="46"/>
      <c r="H1515" s="46"/>
      <c r="I1515" s="46"/>
      <c r="J1515" s="43"/>
      <c r="K1515" s="43"/>
      <c r="L1515" s="43"/>
    </row>
    <row r="1516">
      <c r="A1516" s="34"/>
      <c r="G1516" s="46"/>
      <c r="H1516" s="46"/>
      <c r="I1516" s="46"/>
      <c r="J1516" s="43"/>
      <c r="K1516" s="43"/>
      <c r="L1516" s="43"/>
    </row>
    <row r="1517">
      <c r="A1517" s="34"/>
      <c r="G1517" s="46"/>
      <c r="H1517" s="46"/>
      <c r="I1517" s="46"/>
      <c r="J1517" s="43"/>
      <c r="K1517" s="43"/>
      <c r="L1517" s="43"/>
    </row>
    <row r="1518">
      <c r="A1518" s="34"/>
      <c r="G1518" s="46"/>
      <c r="H1518" s="46"/>
      <c r="I1518" s="46"/>
      <c r="J1518" s="43"/>
      <c r="K1518" s="43"/>
      <c r="L1518" s="43"/>
    </row>
    <row r="1519">
      <c r="A1519" s="34"/>
      <c r="G1519" s="46"/>
      <c r="H1519" s="46"/>
      <c r="I1519" s="46"/>
      <c r="J1519" s="43"/>
      <c r="K1519" s="43"/>
      <c r="L1519" s="43"/>
    </row>
    <row r="1520">
      <c r="A1520" s="34"/>
      <c r="G1520" s="46"/>
      <c r="H1520" s="46"/>
      <c r="I1520" s="46"/>
      <c r="J1520" s="43"/>
      <c r="K1520" s="43"/>
      <c r="L1520" s="43"/>
    </row>
    <row r="1521">
      <c r="A1521" s="34"/>
      <c r="G1521" s="46"/>
      <c r="H1521" s="46"/>
      <c r="I1521" s="46"/>
      <c r="J1521" s="43"/>
      <c r="K1521" s="43"/>
      <c r="L1521" s="43"/>
    </row>
    <row r="1522">
      <c r="A1522" s="34"/>
      <c r="G1522" s="46"/>
      <c r="H1522" s="46"/>
      <c r="I1522" s="46"/>
      <c r="J1522" s="43"/>
      <c r="K1522" s="43"/>
      <c r="L1522" s="43"/>
    </row>
    <row r="1523">
      <c r="A1523" s="34"/>
      <c r="G1523" s="46"/>
      <c r="H1523" s="46"/>
      <c r="I1523" s="46"/>
      <c r="J1523" s="43"/>
      <c r="K1523" s="43"/>
      <c r="L1523" s="43"/>
    </row>
    <row r="1524">
      <c r="A1524" s="34"/>
      <c r="G1524" s="46"/>
      <c r="H1524" s="46"/>
      <c r="I1524" s="46"/>
      <c r="J1524" s="43"/>
      <c r="K1524" s="43"/>
      <c r="L1524" s="43"/>
    </row>
    <row r="1525">
      <c r="A1525" s="34"/>
      <c r="G1525" s="46"/>
      <c r="H1525" s="46"/>
      <c r="I1525" s="46"/>
      <c r="J1525" s="43"/>
      <c r="K1525" s="43"/>
      <c r="L1525" s="43"/>
    </row>
    <row r="1526">
      <c r="A1526" s="34"/>
      <c r="G1526" s="46"/>
      <c r="H1526" s="46"/>
      <c r="I1526" s="46"/>
      <c r="J1526" s="43"/>
      <c r="K1526" s="43"/>
      <c r="L1526" s="43"/>
    </row>
    <row r="1527">
      <c r="A1527" s="34"/>
      <c r="G1527" s="46"/>
      <c r="H1527" s="46"/>
      <c r="I1527" s="46"/>
      <c r="J1527" s="43"/>
      <c r="K1527" s="43"/>
      <c r="L1527" s="43"/>
    </row>
    <row r="1528">
      <c r="A1528" s="34"/>
      <c r="G1528" s="46"/>
      <c r="H1528" s="46"/>
      <c r="I1528" s="46"/>
      <c r="J1528" s="43"/>
      <c r="K1528" s="43"/>
      <c r="L1528" s="43"/>
    </row>
    <row r="1529">
      <c r="A1529" s="34"/>
      <c r="G1529" s="46"/>
      <c r="H1529" s="46"/>
      <c r="I1529" s="46"/>
      <c r="J1529" s="43"/>
      <c r="K1529" s="43"/>
      <c r="L1529" s="43"/>
    </row>
    <row r="1530">
      <c r="A1530" s="34"/>
      <c r="G1530" s="46"/>
      <c r="H1530" s="46"/>
      <c r="I1530" s="46"/>
      <c r="J1530" s="43"/>
      <c r="K1530" s="43"/>
      <c r="L1530" s="43"/>
    </row>
    <row r="1531">
      <c r="A1531" s="34"/>
      <c r="G1531" s="46"/>
      <c r="H1531" s="46"/>
      <c r="I1531" s="46"/>
      <c r="J1531" s="43"/>
      <c r="K1531" s="43"/>
      <c r="L1531" s="43"/>
    </row>
    <row r="1532">
      <c r="A1532" s="34"/>
      <c r="G1532" s="46"/>
      <c r="H1532" s="46"/>
      <c r="I1532" s="46"/>
      <c r="J1532" s="43"/>
      <c r="K1532" s="43"/>
      <c r="L1532" s="43"/>
    </row>
    <row r="1533">
      <c r="A1533" s="34"/>
      <c r="G1533" s="46"/>
      <c r="H1533" s="46"/>
      <c r="I1533" s="46"/>
      <c r="J1533" s="43"/>
      <c r="K1533" s="43"/>
      <c r="L1533" s="43"/>
    </row>
    <row r="1534">
      <c r="A1534" s="34"/>
      <c r="G1534" s="46"/>
      <c r="H1534" s="46"/>
      <c r="I1534" s="46"/>
      <c r="J1534" s="43"/>
      <c r="K1534" s="43"/>
      <c r="L1534" s="43"/>
    </row>
    <row r="1535">
      <c r="A1535" s="34"/>
      <c r="G1535" s="46"/>
      <c r="H1535" s="46"/>
      <c r="I1535" s="46"/>
      <c r="J1535" s="43"/>
      <c r="K1535" s="43"/>
      <c r="L1535" s="43"/>
    </row>
    <row r="1536">
      <c r="A1536" s="34"/>
      <c r="G1536" s="46"/>
      <c r="H1536" s="46"/>
      <c r="I1536" s="46"/>
      <c r="J1536" s="43"/>
      <c r="K1536" s="43"/>
      <c r="L1536" s="43"/>
    </row>
    <row r="1537">
      <c r="A1537" s="34"/>
      <c r="G1537" s="46"/>
      <c r="H1537" s="46"/>
      <c r="I1537" s="46"/>
      <c r="J1537" s="43"/>
      <c r="K1537" s="43"/>
      <c r="L1537" s="43"/>
    </row>
    <row r="1538">
      <c r="A1538" s="34"/>
      <c r="G1538" s="46"/>
      <c r="H1538" s="46"/>
      <c r="I1538" s="46"/>
      <c r="J1538" s="43"/>
      <c r="K1538" s="43"/>
      <c r="L1538" s="43"/>
    </row>
    <row r="1539">
      <c r="A1539" s="34"/>
      <c r="G1539" s="46"/>
      <c r="H1539" s="46"/>
      <c r="I1539" s="46"/>
      <c r="J1539" s="43"/>
      <c r="K1539" s="43"/>
      <c r="L1539" s="43"/>
    </row>
    <row r="1540">
      <c r="A1540" s="34"/>
      <c r="G1540" s="46"/>
      <c r="H1540" s="46"/>
      <c r="I1540" s="46"/>
      <c r="J1540" s="43"/>
      <c r="K1540" s="43"/>
      <c r="L1540" s="43"/>
    </row>
    <row r="1541">
      <c r="A1541" s="34"/>
      <c r="G1541" s="46"/>
      <c r="H1541" s="46"/>
      <c r="I1541" s="46"/>
      <c r="J1541" s="43"/>
      <c r="K1541" s="43"/>
      <c r="L1541" s="43"/>
    </row>
    <row r="1542">
      <c r="A1542" s="34"/>
      <c r="G1542" s="46"/>
      <c r="H1542" s="46"/>
      <c r="I1542" s="46"/>
      <c r="J1542" s="43"/>
      <c r="K1542" s="43"/>
      <c r="L1542" s="43"/>
    </row>
    <row r="1543">
      <c r="A1543" s="34"/>
      <c r="G1543" s="46"/>
      <c r="H1543" s="46"/>
      <c r="I1543" s="46"/>
      <c r="J1543" s="43"/>
      <c r="K1543" s="43"/>
      <c r="L1543" s="43"/>
    </row>
    <row r="1544">
      <c r="A1544" s="34"/>
      <c r="G1544" s="46"/>
      <c r="H1544" s="46"/>
      <c r="I1544" s="46"/>
      <c r="J1544" s="43"/>
      <c r="K1544" s="43"/>
      <c r="L1544" s="43"/>
    </row>
    <row r="1545">
      <c r="A1545" s="34"/>
      <c r="G1545" s="46"/>
      <c r="H1545" s="46"/>
      <c r="I1545" s="46"/>
      <c r="J1545" s="43"/>
      <c r="K1545" s="43"/>
      <c r="L1545" s="43"/>
    </row>
    <row r="1546">
      <c r="A1546" s="34"/>
      <c r="G1546" s="46"/>
      <c r="H1546" s="46"/>
      <c r="I1546" s="46"/>
      <c r="J1546" s="43"/>
      <c r="K1546" s="43"/>
      <c r="L1546" s="43"/>
    </row>
    <row r="1547">
      <c r="A1547" s="34"/>
      <c r="G1547" s="46"/>
      <c r="H1547" s="46"/>
      <c r="I1547" s="46"/>
      <c r="J1547" s="43"/>
      <c r="K1547" s="43"/>
      <c r="L1547" s="43"/>
    </row>
    <row r="1548">
      <c r="A1548" s="34"/>
      <c r="G1548" s="46"/>
      <c r="H1548" s="46"/>
      <c r="I1548" s="46"/>
      <c r="J1548" s="43"/>
      <c r="K1548" s="43"/>
      <c r="L1548" s="43"/>
    </row>
    <row r="1549">
      <c r="A1549" s="34"/>
      <c r="G1549" s="46"/>
      <c r="H1549" s="46"/>
      <c r="I1549" s="46"/>
      <c r="J1549" s="43"/>
      <c r="K1549" s="43"/>
      <c r="L1549" s="43"/>
    </row>
    <row r="1550">
      <c r="A1550" s="34"/>
      <c r="G1550" s="46"/>
      <c r="H1550" s="46"/>
      <c r="I1550" s="46"/>
      <c r="J1550" s="43"/>
      <c r="K1550" s="43"/>
      <c r="L1550" s="43"/>
    </row>
    <row r="1551">
      <c r="A1551" s="34"/>
      <c r="G1551" s="46"/>
      <c r="H1551" s="46"/>
      <c r="I1551" s="46"/>
      <c r="J1551" s="43"/>
      <c r="K1551" s="43"/>
      <c r="L1551" s="43"/>
    </row>
    <row r="1552">
      <c r="A1552" s="34"/>
      <c r="G1552" s="46"/>
      <c r="H1552" s="46"/>
      <c r="I1552" s="46"/>
      <c r="J1552" s="43"/>
      <c r="K1552" s="43"/>
      <c r="L1552" s="43"/>
    </row>
    <row r="1553">
      <c r="A1553" s="34"/>
      <c r="G1553" s="46"/>
      <c r="H1553" s="46"/>
      <c r="I1553" s="46"/>
      <c r="J1553" s="43"/>
      <c r="K1553" s="43"/>
      <c r="L1553" s="43"/>
    </row>
    <row r="1554">
      <c r="A1554" s="34"/>
      <c r="G1554" s="46"/>
      <c r="H1554" s="46"/>
      <c r="I1554" s="46"/>
      <c r="J1554" s="43"/>
      <c r="K1554" s="43"/>
      <c r="L1554" s="43"/>
    </row>
    <row r="1555">
      <c r="A1555" s="34"/>
      <c r="G1555" s="46"/>
      <c r="H1555" s="46"/>
      <c r="I1555" s="46"/>
      <c r="J1555" s="43"/>
      <c r="K1555" s="43"/>
      <c r="L1555" s="43"/>
    </row>
    <row r="1556">
      <c r="A1556" s="34"/>
      <c r="G1556" s="46"/>
      <c r="H1556" s="46"/>
      <c r="I1556" s="46"/>
      <c r="J1556" s="43"/>
      <c r="K1556" s="43"/>
      <c r="L1556" s="43"/>
    </row>
    <row r="1557">
      <c r="A1557" s="34"/>
      <c r="G1557" s="46"/>
      <c r="H1557" s="46"/>
      <c r="I1557" s="46"/>
      <c r="J1557" s="43"/>
      <c r="K1557" s="43"/>
      <c r="L1557" s="43"/>
    </row>
    <row r="1558">
      <c r="A1558" s="34"/>
      <c r="G1558" s="46"/>
      <c r="H1558" s="46"/>
      <c r="I1558" s="46"/>
      <c r="J1558" s="43"/>
      <c r="K1558" s="43"/>
      <c r="L1558" s="43"/>
    </row>
    <row r="1559">
      <c r="A1559" s="34"/>
      <c r="G1559" s="46"/>
      <c r="H1559" s="46"/>
      <c r="I1559" s="46"/>
      <c r="J1559" s="43"/>
      <c r="K1559" s="43"/>
      <c r="L1559" s="43"/>
    </row>
    <row r="1560">
      <c r="A1560" s="34"/>
      <c r="G1560" s="46"/>
      <c r="H1560" s="46"/>
      <c r="I1560" s="46"/>
      <c r="J1560" s="43"/>
      <c r="K1560" s="43"/>
      <c r="L1560" s="43"/>
    </row>
    <row r="1561">
      <c r="A1561" s="34"/>
      <c r="G1561" s="46"/>
      <c r="H1561" s="46"/>
      <c r="I1561" s="46"/>
      <c r="J1561" s="43"/>
      <c r="K1561" s="43"/>
      <c r="L1561" s="43"/>
    </row>
    <row r="1562">
      <c r="A1562" s="34"/>
      <c r="G1562" s="46"/>
      <c r="H1562" s="46"/>
      <c r="I1562" s="46"/>
      <c r="J1562" s="43"/>
      <c r="K1562" s="43"/>
      <c r="L1562" s="43"/>
    </row>
    <row r="1563">
      <c r="A1563" s="34"/>
      <c r="G1563" s="46"/>
      <c r="H1563" s="46"/>
      <c r="I1563" s="46"/>
      <c r="J1563" s="43"/>
      <c r="K1563" s="43"/>
      <c r="L1563" s="43"/>
    </row>
    <row r="1564">
      <c r="A1564" s="34"/>
      <c r="G1564" s="46"/>
      <c r="H1564" s="46"/>
      <c r="I1564" s="46"/>
      <c r="J1564" s="43"/>
      <c r="K1564" s="43"/>
      <c r="L1564" s="43"/>
    </row>
    <row r="1565">
      <c r="A1565" s="34"/>
      <c r="G1565" s="46"/>
      <c r="H1565" s="46"/>
      <c r="I1565" s="46"/>
      <c r="J1565" s="43"/>
      <c r="K1565" s="43"/>
      <c r="L1565" s="43"/>
    </row>
    <row r="1566">
      <c r="A1566" s="34"/>
      <c r="G1566" s="46"/>
      <c r="H1566" s="46"/>
      <c r="I1566" s="46"/>
      <c r="J1566" s="43"/>
      <c r="K1566" s="43"/>
      <c r="L1566" s="43"/>
    </row>
    <row r="1567">
      <c r="A1567" s="34"/>
      <c r="G1567" s="46"/>
      <c r="H1567" s="46"/>
      <c r="I1567" s="46"/>
      <c r="J1567" s="43"/>
      <c r="K1567" s="43"/>
      <c r="L1567" s="43"/>
    </row>
    <row r="1568">
      <c r="A1568" s="34"/>
      <c r="G1568" s="46"/>
      <c r="H1568" s="46"/>
      <c r="I1568" s="46"/>
      <c r="J1568" s="43"/>
      <c r="K1568" s="43"/>
      <c r="L1568" s="43"/>
    </row>
    <row r="1569">
      <c r="A1569" s="34"/>
      <c r="G1569" s="46"/>
      <c r="H1569" s="46"/>
      <c r="I1569" s="46"/>
      <c r="J1569" s="43"/>
      <c r="K1569" s="43"/>
      <c r="L1569" s="43"/>
    </row>
    <row r="1570">
      <c r="A1570" s="34"/>
      <c r="G1570" s="46"/>
      <c r="H1570" s="46"/>
      <c r="I1570" s="46"/>
      <c r="J1570" s="43"/>
      <c r="K1570" s="43"/>
      <c r="L1570" s="43"/>
    </row>
    <row r="1571">
      <c r="A1571" s="34"/>
      <c r="G1571" s="46"/>
      <c r="H1571" s="46"/>
      <c r="I1571" s="46"/>
      <c r="J1571" s="43"/>
      <c r="K1571" s="43"/>
      <c r="L1571" s="43"/>
    </row>
    <row r="1572">
      <c r="A1572" s="34"/>
      <c r="G1572" s="46"/>
      <c r="H1572" s="46"/>
      <c r="I1572" s="46"/>
      <c r="J1572" s="43"/>
      <c r="K1572" s="43"/>
      <c r="L1572" s="43"/>
    </row>
    <row r="1573">
      <c r="A1573" s="34"/>
      <c r="G1573" s="46"/>
      <c r="H1573" s="46"/>
      <c r="I1573" s="46"/>
      <c r="J1573" s="43"/>
      <c r="K1573" s="43"/>
      <c r="L1573" s="43"/>
    </row>
    <row r="1574">
      <c r="A1574" s="34"/>
      <c r="G1574" s="46"/>
      <c r="H1574" s="46"/>
      <c r="I1574" s="46"/>
      <c r="J1574" s="43"/>
      <c r="K1574" s="43"/>
      <c r="L1574" s="43"/>
    </row>
    <row r="1575">
      <c r="A1575" s="34"/>
      <c r="G1575" s="46"/>
      <c r="H1575" s="46"/>
      <c r="I1575" s="46"/>
      <c r="J1575" s="43"/>
      <c r="K1575" s="43"/>
      <c r="L1575" s="43"/>
    </row>
    <row r="1576">
      <c r="A1576" s="34"/>
      <c r="G1576" s="46"/>
      <c r="H1576" s="46"/>
      <c r="I1576" s="46"/>
      <c r="J1576" s="43"/>
      <c r="K1576" s="43"/>
      <c r="L1576" s="43"/>
    </row>
    <row r="1577">
      <c r="A1577" s="34"/>
      <c r="G1577" s="46"/>
      <c r="H1577" s="46"/>
      <c r="I1577" s="46"/>
      <c r="J1577" s="43"/>
      <c r="K1577" s="43"/>
      <c r="L1577" s="43"/>
    </row>
    <row r="1578">
      <c r="A1578" s="34"/>
      <c r="G1578" s="46"/>
      <c r="H1578" s="46"/>
      <c r="I1578" s="46"/>
      <c r="J1578" s="43"/>
      <c r="K1578" s="43"/>
      <c r="L1578" s="43"/>
    </row>
    <row r="1579">
      <c r="A1579" s="34"/>
      <c r="G1579" s="46"/>
      <c r="H1579" s="46"/>
      <c r="I1579" s="46"/>
      <c r="J1579" s="43"/>
      <c r="K1579" s="43"/>
      <c r="L1579" s="43"/>
    </row>
    <row r="1580">
      <c r="A1580" s="34"/>
      <c r="G1580" s="46"/>
      <c r="H1580" s="46"/>
      <c r="I1580" s="46"/>
      <c r="J1580" s="43"/>
      <c r="K1580" s="43"/>
      <c r="L1580" s="43"/>
    </row>
    <row r="1581">
      <c r="A1581" s="34"/>
      <c r="G1581" s="46"/>
      <c r="H1581" s="46"/>
      <c r="I1581" s="46"/>
      <c r="J1581" s="43"/>
      <c r="K1581" s="43"/>
      <c r="L1581" s="43"/>
    </row>
    <row r="1582">
      <c r="A1582" s="34"/>
      <c r="G1582" s="46"/>
      <c r="H1582" s="46"/>
      <c r="I1582" s="46"/>
      <c r="J1582" s="43"/>
      <c r="K1582" s="43"/>
      <c r="L1582" s="43"/>
    </row>
    <row r="1583">
      <c r="A1583" s="34"/>
      <c r="G1583" s="46"/>
      <c r="H1583" s="46"/>
      <c r="I1583" s="46"/>
      <c r="J1583" s="43"/>
      <c r="K1583" s="43"/>
      <c r="L1583" s="43"/>
    </row>
    <row r="1584">
      <c r="A1584" s="34"/>
      <c r="G1584" s="46"/>
      <c r="H1584" s="46"/>
      <c r="I1584" s="46"/>
      <c r="J1584" s="43"/>
      <c r="K1584" s="43"/>
      <c r="L1584" s="43"/>
    </row>
    <row r="1585">
      <c r="A1585" s="34"/>
      <c r="G1585" s="46"/>
      <c r="H1585" s="46"/>
      <c r="I1585" s="46"/>
      <c r="J1585" s="43"/>
      <c r="K1585" s="43"/>
      <c r="L1585" s="43"/>
    </row>
    <row r="1586">
      <c r="A1586" s="34"/>
      <c r="G1586" s="46"/>
      <c r="H1586" s="46"/>
      <c r="I1586" s="46"/>
      <c r="J1586" s="43"/>
      <c r="K1586" s="43"/>
      <c r="L1586" s="43"/>
    </row>
    <row r="1587">
      <c r="A1587" s="34"/>
      <c r="G1587" s="46"/>
      <c r="H1587" s="46"/>
      <c r="I1587" s="46"/>
      <c r="J1587" s="43"/>
      <c r="K1587" s="43"/>
      <c r="L1587" s="43"/>
    </row>
    <row r="1588">
      <c r="A1588" s="34"/>
      <c r="G1588" s="46"/>
      <c r="H1588" s="46"/>
      <c r="I1588" s="46"/>
      <c r="J1588" s="43"/>
      <c r="K1588" s="43"/>
      <c r="L1588" s="43"/>
    </row>
    <row r="1589">
      <c r="A1589" s="34"/>
      <c r="G1589" s="46"/>
      <c r="H1589" s="46"/>
      <c r="I1589" s="46"/>
      <c r="J1589" s="43"/>
      <c r="K1589" s="43"/>
      <c r="L1589" s="43"/>
    </row>
    <row r="1590">
      <c r="A1590" s="34"/>
      <c r="G1590" s="46"/>
      <c r="H1590" s="46"/>
      <c r="I1590" s="46"/>
      <c r="J1590" s="43"/>
      <c r="K1590" s="43"/>
      <c r="L1590" s="43"/>
    </row>
    <row r="1591">
      <c r="A1591" s="34"/>
      <c r="G1591" s="46"/>
      <c r="H1591" s="46"/>
      <c r="I1591" s="46"/>
      <c r="J1591" s="43"/>
      <c r="K1591" s="43"/>
      <c r="L1591" s="43"/>
    </row>
    <row r="1592">
      <c r="A1592" s="34"/>
      <c r="G1592" s="46"/>
      <c r="H1592" s="46"/>
      <c r="I1592" s="46"/>
      <c r="J1592" s="43"/>
      <c r="K1592" s="43"/>
      <c r="L1592" s="43"/>
    </row>
    <row r="1593">
      <c r="A1593" s="34"/>
      <c r="G1593" s="46"/>
      <c r="H1593" s="46"/>
      <c r="I1593" s="46"/>
      <c r="J1593" s="43"/>
      <c r="K1593" s="43"/>
      <c r="L1593" s="43"/>
    </row>
    <row r="1594">
      <c r="A1594" s="34"/>
      <c r="G1594" s="46"/>
      <c r="H1594" s="46"/>
      <c r="I1594" s="46"/>
      <c r="J1594" s="43"/>
      <c r="K1594" s="43"/>
      <c r="L1594" s="43"/>
    </row>
    <row r="1595">
      <c r="A1595" s="34"/>
      <c r="G1595" s="46"/>
      <c r="H1595" s="46"/>
      <c r="I1595" s="46"/>
      <c r="J1595" s="43"/>
      <c r="K1595" s="43"/>
      <c r="L1595" s="43"/>
    </row>
    <row r="1596">
      <c r="A1596" s="34"/>
      <c r="G1596" s="46"/>
      <c r="H1596" s="46"/>
      <c r="I1596" s="46"/>
      <c r="J1596" s="43"/>
      <c r="K1596" s="43"/>
      <c r="L1596" s="43"/>
    </row>
    <row r="1597">
      <c r="A1597" s="34"/>
      <c r="G1597" s="46"/>
      <c r="H1597" s="46"/>
      <c r="I1597" s="46"/>
      <c r="J1597" s="43"/>
      <c r="K1597" s="43"/>
      <c r="L1597" s="43"/>
    </row>
    <row r="1598">
      <c r="A1598" s="34"/>
      <c r="G1598" s="46"/>
      <c r="H1598" s="46"/>
      <c r="I1598" s="46"/>
      <c r="J1598" s="43"/>
      <c r="K1598" s="43"/>
      <c r="L1598" s="43"/>
    </row>
    <row r="1599">
      <c r="A1599" s="34"/>
      <c r="G1599" s="46"/>
      <c r="H1599" s="46"/>
      <c r="I1599" s="46"/>
      <c r="J1599" s="43"/>
      <c r="K1599" s="43"/>
      <c r="L1599" s="43"/>
    </row>
    <row r="1600">
      <c r="A1600" s="34"/>
      <c r="G1600" s="46"/>
      <c r="H1600" s="46"/>
      <c r="I1600" s="46"/>
      <c r="J1600" s="43"/>
      <c r="K1600" s="43"/>
      <c r="L1600" s="43"/>
    </row>
    <row r="1601">
      <c r="A1601" s="34"/>
      <c r="G1601" s="46"/>
      <c r="H1601" s="46"/>
      <c r="I1601" s="46"/>
      <c r="J1601" s="43"/>
      <c r="K1601" s="43"/>
      <c r="L1601" s="43"/>
    </row>
    <row r="1602">
      <c r="A1602" s="34"/>
      <c r="G1602" s="46"/>
      <c r="H1602" s="46"/>
      <c r="I1602" s="46"/>
      <c r="J1602" s="43"/>
      <c r="K1602" s="43"/>
      <c r="L1602" s="43"/>
    </row>
    <row r="1603">
      <c r="A1603" s="34"/>
      <c r="G1603" s="46"/>
      <c r="H1603" s="46"/>
      <c r="I1603" s="46"/>
      <c r="J1603" s="43"/>
      <c r="K1603" s="43"/>
      <c r="L1603" s="43"/>
    </row>
    <row r="1604">
      <c r="A1604" s="34"/>
      <c r="G1604" s="46"/>
      <c r="H1604" s="46"/>
      <c r="I1604" s="46"/>
      <c r="J1604" s="43"/>
      <c r="K1604" s="43"/>
      <c r="L1604" s="43"/>
    </row>
    <row r="1605">
      <c r="A1605" s="34"/>
      <c r="G1605" s="46"/>
      <c r="H1605" s="46"/>
      <c r="I1605" s="46"/>
      <c r="J1605" s="43"/>
      <c r="K1605" s="43"/>
      <c r="L1605" s="43"/>
    </row>
    <row r="1606">
      <c r="A1606" s="34"/>
      <c r="G1606" s="46"/>
      <c r="H1606" s="46"/>
      <c r="I1606" s="46"/>
      <c r="J1606" s="43"/>
      <c r="K1606" s="43"/>
      <c r="L1606" s="43"/>
    </row>
    <row r="1607">
      <c r="A1607" s="34"/>
      <c r="G1607" s="46"/>
      <c r="H1607" s="46"/>
      <c r="I1607" s="46"/>
      <c r="J1607" s="43"/>
      <c r="K1607" s="43"/>
      <c r="L1607" s="43"/>
    </row>
    <row r="1608">
      <c r="A1608" s="34"/>
      <c r="G1608" s="46"/>
      <c r="H1608" s="46"/>
      <c r="I1608" s="46"/>
      <c r="J1608" s="43"/>
      <c r="K1608" s="43"/>
      <c r="L1608" s="43"/>
    </row>
    <row r="1609">
      <c r="A1609" s="34"/>
      <c r="G1609" s="46"/>
      <c r="H1609" s="46"/>
      <c r="I1609" s="46"/>
      <c r="J1609" s="43"/>
      <c r="K1609" s="43"/>
      <c r="L1609" s="43"/>
    </row>
    <row r="1610">
      <c r="A1610" s="34"/>
      <c r="G1610" s="46"/>
      <c r="H1610" s="46"/>
      <c r="I1610" s="46"/>
      <c r="J1610" s="43"/>
      <c r="K1610" s="43"/>
      <c r="L1610" s="43"/>
    </row>
    <row r="1611">
      <c r="A1611" s="34"/>
      <c r="G1611" s="46"/>
      <c r="H1611" s="46"/>
      <c r="I1611" s="46"/>
      <c r="J1611" s="43"/>
      <c r="K1611" s="43"/>
      <c r="L1611" s="43"/>
    </row>
    <row r="1612">
      <c r="A1612" s="34"/>
      <c r="G1612" s="46"/>
      <c r="H1612" s="46"/>
      <c r="I1612" s="46"/>
      <c r="J1612" s="43"/>
      <c r="K1612" s="43"/>
      <c r="L1612" s="43"/>
    </row>
    <row r="1613">
      <c r="A1613" s="34"/>
      <c r="G1613" s="46"/>
      <c r="H1613" s="46"/>
      <c r="I1613" s="46"/>
      <c r="J1613" s="43"/>
      <c r="K1613" s="43"/>
      <c r="L1613" s="43"/>
    </row>
    <row r="1614">
      <c r="A1614" s="34"/>
      <c r="G1614" s="46"/>
      <c r="H1614" s="46"/>
      <c r="I1614" s="46"/>
      <c r="J1614" s="43"/>
      <c r="K1614" s="43"/>
      <c r="L1614" s="43"/>
    </row>
    <row r="1615">
      <c r="A1615" s="34"/>
      <c r="G1615" s="46"/>
      <c r="H1615" s="46"/>
      <c r="I1615" s="46"/>
      <c r="J1615" s="43"/>
      <c r="K1615" s="43"/>
      <c r="L1615" s="43"/>
    </row>
    <row r="1616">
      <c r="A1616" s="34"/>
      <c r="G1616" s="46"/>
      <c r="H1616" s="46"/>
      <c r="I1616" s="46"/>
      <c r="J1616" s="43"/>
      <c r="K1616" s="43"/>
      <c r="L1616" s="43"/>
    </row>
    <row r="1617">
      <c r="A1617" s="34"/>
      <c r="G1617" s="46"/>
      <c r="H1617" s="46"/>
      <c r="I1617" s="46"/>
      <c r="J1617" s="43"/>
      <c r="K1617" s="43"/>
      <c r="L1617" s="43"/>
    </row>
    <row r="1618">
      <c r="A1618" s="34"/>
      <c r="G1618" s="46"/>
      <c r="H1618" s="46"/>
      <c r="I1618" s="46"/>
      <c r="J1618" s="43"/>
      <c r="K1618" s="43"/>
      <c r="L1618" s="43"/>
    </row>
    <row r="1619">
      <c r="A1619" s="34"/>
      <c r="G1619" s="46"/>
      <c r="H1619" s="46"/>
      <c r="I1619" s="46"/>
      <c r="J1619" s="43"/>
      <c r="K1619" s="43"/>
      <c r="L1619" s="43"/>
    </row>
    <row r="1620">
      <c r="A1620" s="34"/>
      <c r="G1620" s="46"/>
      <c r="H1620" s="46"/>
      <c r="I1620" s="46"/>
      <c r="J1620" s="43"/>
      <c r="K1620" s="43"/>
      <c r="L1620" s="43"/>
    </row>
    <row r="1621">
      <c r="A1621" s="34"/>
      <c r="G1621" s="46"/>
      <c r="H1621" s="46"/>
      <c r="I1621" s="46"/>
      <c r="J1621" s="43"/>
      <c r="K1621" s="43"/>
      <c r="L1621" s="43"/>
    </row>
    <row r="1622">
      <c r="A1622" s="34"/>
      <c r="G1622" s="46"/>
      <c r="H1622" s="46"/>
      <c r="I1622" s="46"/>
      <c r="J1622" s="43"/>
      <c r="K1622" s="43"/>
      <c r="L1622" s="43"/>
    </row>
    <row r="1623">
      <c r="A1623" s="34"/>
      <c r="G1623" s="46"/>
      <c r="H1623" s="46"/>
      <c r="I1623" s="46"/>
      <c r="J1623" s="43"/>
      <c r="K1623" s="43"/>
      <c r="L1623" s="43"/>
    </row>
    <row r="1624">
      <c r="A1624" s="34"/>
      <c r="G1624" s="46"/>
      <c r="H1624" s="46"/>
      <c r="I1624" s="46"/>
      <c r="J1624" s="43"/>
      <c r="K1624" s="43"/>
      <c r="L1624" s="43"/>
    </row>
    <row r="1625">
      <c r="A1625" s="34"/>
      <c r="G1625" s="46"/>
      <c r="H1625" s="46"/>
      <c r="I1625" s="46"/>
      <c r="J1625" s="43"/>
      <c r="K1625" s="43"/>
      <c r="L1625" s="43"/>
    </row>
    <row r="1626">
      <c r="A1626" s="34"/>
      <c r="G1626" s="46"/>
      <c r="H1626" s="46"/>
      <c r="I1626" s="46"/>
      <c r="J1626" s="43"/>
      <c r="K1626" s="43"/>
      <c r="L1626" s="43"/>
    </row>
    <row r="1627">
      <c r="A1627" s="34"/>
      <c r="G1627" s="46"/>
      <c r="H1627" s="46"/>
      <c r="I1627" s="46"/>
      <c r="J1627" s="43"/>
      <c r="K1627" s="43"/>
      <c r="L1627" s="43"/>
    </row>
    <row r="1628">
      <c r="A1628" s="34"/>
      <c r="G1628" s="46"/>
      <c r="H1628" s="46"/>
      <c r="I1628" s="46"/>
      <c r="J1628" s="43"/>
      <c r="K1628" s="43"/>
      <c r="L1628" s="43"/>
    </row>
    <row r="1629">
      <c r="A1629" s="34"/>
      <c r="G1629" s="46"/>
      <c r="H1629" s="46"/>
      <c r="I1629" s="46"/>
      <c r="J1629" s="43"/>
      <c r="K1629" s="43"/>
      <c r="L1629" s="43"/>
    </row>
    <row r="1630">
      <c r="A1630" s="34"/>
      <c r="G1630" s="46"/>
      <c r="H1630" s="46"/>
      <c r="I1630" s="46"/>
      <c r="J1630" s="43"/>
      <c r="K1630" s="43"/>
      <c r="L1630" s="43"/>
    </row>
    <row r="1631">
      <c r="A1631" s="34"/>
      <c r="G1631" s="46"/>
      <c r="H1631" s="46"/>
      <c r="I1631" s="46"/>
      <c r="J1631" s="43"/>
      <c r="K1631" s="43"/>
      <c r="L1631" s="43"/>
    </row>
    <row r="1632">
      <c r="A1632" s="34"/>
      <c r="G1632" s="46"/>
      <c r="H1632" s="46"/>
      <c r="I1632" s="46"/>
      <c r="J1632" s="43"/>
      <c r="K1632" s="43"/>
      <c r="L1632" s="43"/>
    </row>
    <row r="1633">
      <c r="A1633" s="34"/>
      <c r="G1633" s="46"/>
      <c r="H1633" s="46"/>
      <c r="I1633" s="46"/>
      <c r="J1633" s="43"/>
      <c r="K1633" s="43"/>
      <c r="L1633" s="43"/>
    </row>
    <row r="1634">
      <c r="A1634" s="34"/>
      <c r="G1634" s="46"/>
      <c r="H1634" s="46"/>
      <c r="I1634" s="46"/>
      <c r="J1634" s="43"/>
      <c r="K1634" s="43"/>
      <c r="L1634" s="43"/>
    </row>
    <row r="1635">
      <c r="A1635" s="34"/>
      <c r="G1635" s="46"/>
      <c r="H1635" s="46"/>
      <c r="I1635" s="46"/>
      <c r="J1635" s="43"/>
      <c r="K1635" s="43"/>
      <c r="L1635" s="43"/>
    </row>
    <row r="1636">
      <c r="A1636" s="34"/>
      <c r="G1636" s="46"/>
      <c r="H1636" s="46"/>
      <c r="I1636" s="46"/>
      <c r="J1636" s="43"/>
      <c r="K1636" s="43"/>
      <c r="L1636" s="43"/>
    </row>
    <row r="1637">
      <c r="A1637" s="34"/>
      <c r="G1637" s="46"/>
      <c r="H1637" s="46"/>
      <c r="I1637" s="46"/>
      <c r="J1637" s="43"/>
      <c r="K1637" s="43"/>
      <c r="L1637" s="43"/>
    </row>
    <row r="1638">
      <c r="A1638" s="34"/>
      <c r="G1638" s="46"/>
      <c r="H1638" s="46"/>
      <c r="I1638" s="46"/>
      <c r="J1638" s="43"/>
      <c r="K1638" s="43"/>
      <c r="L1638" s="43"/>
    </row>
    <row r="1639">
      <c r="A1639" s="34"/>
      <c r="G1639" s="46"/>
      <c r="H1639" s="46"/>
      <c r="I1639" s="46"/>
      <c r="J1639" s="43"/>
      <c r="K1639" s="43"/>
      <c r="L1639" s="43"/>
    </row>
    <row r="1640">
      <c r="A1640" s="34"/>
      <c r="G1640" s="46"/>
      <c r="H1640" s="46"/>
      <c r="I1640" s="46"/>
      <c r="J1640" s="43"/>
      <c r="K1640" s="43"/>
      <c r="L1640" s="43"/>
    </row>
    <row r="1641">
      <c r="A1641" s="34"/>
      <c r="G1641" s="46"/>
      <c r="H1641" s="46"/>
      <c r="I1641" s="46"/>
      <c r="J1641" s="43"/>
      <c r="K1641" s="43"/>
      <c r="L1641" s="43"/>
    </row>
    <row r="1642">
      <c r="A1642" s="34"/>
      <c r="G1642" s="46"/>
      <c r="H1642" s="46"/>
      <c r="I1642" s="46"/>
      <c r="J1642" s="43"/>
      <c r="K1642" s="43"/>
      <c r="L1642" s="43"/>
    </row>
    <row r="1643">
      <c r="A1643" s="34"/>
      <c r="G1643" s="46"/>
      <c r="H1643" s="46"/>
      <c r="I1643" s="46"/>
      <c r="J1643" s="43"/>
      <c r="K1643" s="43"/>
      <c r="L1643" s="43"/>
    </row>
    <row r="1644">
      <c r="A1644" s="34"/>
      <c r="G1644" s="46"/>
      <c r="H1644" s="46"/>
      <c r="I1644" s="46"/>
      <c r="J1644" s="43"/>
      <c r="K1644" s="43"/>
      <c r="L1644" s="43"/>
    </row>
    <row r="1645">
      <c r="A1645" s="34"/>
      <c r="G1645" s="46"/>
      <c r="H1645" s="46"/>
      <c r="I1645" s="46"/>
      <c r="J1645" s="43"/>
      <c r="K1645" s="43"/>
      <c r="L1645" s="43"/>
    </row>
    <row r="1646">
      <c r="A1646" s="34"/>
      <c r="G1646" s="46"/>
      <c r="H1646" s="46"/>
      <c r="I1646" s="46"/>
      <c r="J1646" s="43"/>
      <c r="K1646" s="43"/>
      <c r="L1646" s="43"/>
    </row>
    <row r="1647">
      <c r="A1647" s="34"/>
      <c r="G1647" s="46"/>
      <c r="H1647" s="46"/>
      <c r="I1647" s="46"/>
      <c r="J1647" s="43"/>
      <c r="K1647" s="43"/>
      <c r="L1647" s="43"/>
    </row>
    <row r="1648">
      <c r="A1648" s="34"/>
      <c r="G1648" s="46"/>
      <c r="H1648" s="46"/>
      <c r="I1648" s="46"/>
      <c r="J1648" s="43"/>
      <c r="K1648" s="43"/>
      <c r="L1648" s="43"/>
    </row>
    <row r="1649">
      <c r="A1649" s="34"/>
      <c r="G1649" s="46"/>
      <c r="H1649" s="46"/>
      <c r="I1649" s="46"/>
      <c r="J1649" s="43"/>
      <c r="K1649" s="43"/>
      <c r="L1649" s="43"/>
    </row>
    <row r="1650">
      <c r="A1650" s="34"/>
      <c r="G1650" s="46"/>
      <c r="H1650" s="46"/>
      <c r="I1650" s="46"/>
      <c r="J1650" s="43"/>
      <c r="K1650" s="43"/>
      <c r="L1650" s="43"/>
    </row>
    <row r="1651">
      <c r="A1651" s="34"/>
      <c r="G1651" s="46"/>
      <c r="H1651" s="46"/>
      <c r="I1651" s="46"/>
      <c r="J1651" s="43"/>
      <c r="K1651" s="43"/>
      <c r="L1651" s="43"/>
    </row>
    <row r="1652">
      <c r="A1652" s="34"/>
      <c r="G1652" s="46"/>
      <c r="H1652" s="46"/>
      <c r="I1652" s="46"/>
      <c r="J1652" s="43"/>
      <c r="K1652" s="43"/>
      <c r="L1652" s="43"/>
    </row>
    <row r="1653">
      <c r="A1653" s="34"/>
      <c r="G1653" s="46"/>
      <c r="H1653" s="46"/>
      <c r="I1653" s="46"/>
      <c r="J1653" s="43"/>
      <c r="K1653" s="43"/>
      <c r="L1653" s="43"/>
    </row>
    <row r="1654">
      <c r="A1654" s="34"/>
      <c r="G1654" s="46"/>
      <c r="H1654" s="46"/>
      <c r="I1654" s="46"/>
      <c r="J1654" s="43"/>
      <c r="K1654" s="43"/>
      <c r="L1654" s="43"/>
    </row>
    <row r="1655">
      <c r="A1655" s="34"/>
      <c r="G1655" s="46"/>
      <c r="H1655" s="46"/>
      <c r="I1655" s="46"/>
      <c r="J1655" s="43"/>
      <c r="K1655" s="43"/>
      <c r="L1655" s="43"/>
    </row>
    <row r="1656">
      <c r="A1656" s="34"/>
      <c r="G1656" s="46"/>
      <c r="H1656" s="46"/>
      <c r="I1656" s="46"/>
      <c r="J1656" s="43"/>
      <c r="K1656" s="43"/>
      <c r="L1656" s="43"/>
    </row>
    <row r="1657">
      <c r="A1657" s="34"/>
      <c r="G1657" s="46"/>
      <c r="H1657" s="46"/>
      <c r="I1657" s="46"/>
      <c r="J1657" s="43"/>
      <c r="K1657" s="43"/>
      <c r="L1657" s="43"/>
    </row>
    <row r="1658">
      <c r="A1658" s="34"/>
      <c r="G1658" s="46"/>
      <c r="H1658" s="46"/>
      <c r="I1658" s="46"/>
      <c r="J1658" s="43"/>
      <c r="K1658" s="43"/>
      <c r="L1658" s="43"/>
    </row>
    <row r="1659">
      <c r="A1659" s="34"/>
      <c r="G1659" s="46"/>
      <c r="H1659" s="46"/>
      <c r="I1659" s="46"/>
      <c r="J1659" s="43"/>
      <c r="K1659" s="43"/>
      <c r="L1659" s="43"/>
    </row>
    <row r="1660">
      <c r="A1660" s="34"/>
      <c r="G1660" s="46"/>
      <c r="H1660" s="46"/>
      <c r="I1660" s="46"/>
      <c r="J1660" s="43"/>
      <c r="K1660" s="43"/>
      <c r="L1660" s="43"/>
    </row>
    <row r="1661">
      <c r="A1661" s="34"/>
      <c r="G1661" s="46"/>
      <c r="H1661" s="46"/>
      <c r="I1661" s="46"/>
      <c r="J1661" s="43"/>
      <c r="K1661" s="43"/>
      <c r="L1661" s="43"/>
    </row>
    <row r="1662">
      <c r="A1662" s="34"/>
      <c r="G1662" s="46"/>
      <c r="H1662" s="46"/>
      <c r="I1662" s="46"/>
      <c r="J1662" s="43"/>
      <c r="K1662" s="43"/>
      <c r="L1662" s="43"/>
    </row>
    <row r="1663">
      <c r="A1663" s="34"/>
      <c r="G1663" s="46"/>
      <c r="H1663" s="46"/>
      <c r="I1663" s="46"/>
      <c r="J1663" s="43"/>
      <c r="K1663" s="43"/>
      <c r="L1663" s="43"/>
    </row>
    <row r="1664">
      <c r="A1664" s="34"/>
      <c r="G1664" s="46"/>
      <c r="H1664" s="46"/>
      <c r="I1664" s="46"/>
      <c r="J1664" s="43"/>
      <c r="K1664" s="43"/>
      <c r="L1664" s="43"/>
    </row>
    <row r="1665">
      <c r="A1665" s="34"/>
      <c r="G1665" s="46"/>
      <c r="H1665" s="46"/>
      <c r="I1665" s="46"/>
      <c r="J1665" s="43"/>
      <c r="K1665" s="43"/>
      <c r="L1665" s="43"/>
    </row>
    <row r="1666">
      <c r="A1666" s="34"/>
      <c r="G1666" s="46"/>
      <c r="H1666" s="46"/>
      <c r="I1666" s="46"/>
      <c r="J1666" s="43"/>
      <c r="K1666" s="43"/>
      <c r="L1666" s="43"/>
    </row>
    <row r="1667">
      <c r="A1667" s="34"/>
      <c r="G1667" s="46"/>
      <c r="H1667" s="46"/>
      <c r="I1667" s="46"/>
      <c r="J1667" s="43"/>
      <c r="K1667" s="43"/>
      <c r="L1667" s="43"/>
    </row>
    <row r="1668">
      <c r="A1668" s="34"/>
      <c r="G1668" s="46"/>
      <c r="H1668" s="46"/>
      <c r="I1668" s="46"/>
      <c r="J1668" s="43"/>
      <c r="K1668" s="43"/>
      <c r="L1668" s="43"/>
    </row>
    <row r="1669">
      <c r="A1669" s="34"/>
      <c r="G1669" s="46"/>
      <c r="H1669" s="46"/>
      <c r="I1669" s="46"/>
      <c r="J1669" s="43"/>
      <c r="K1669" s="43"/>
      <c r="L1669" s="43"/>
    </row>
    <row r="1670">
      <c r="A1670" s="34"/>
      <c r="G1670" s="46"/>
      <c r="H1670" s="46"/>
      <c r="I1670" s="46"/>
      <c r="J1670" s="43"/>
      <c r="K1670" s="43"/>
      <c r="L1670" s="43"/>
    </row>
    <row r="1671">
      <c r="A1671" s="34"/>
      <c r="G1671" s="46"/>
      <c r="H1671" s="46"/>
      <c r="I1671" s="46"/>
      <c r="J1671" s="43"/>
      <c r="K1671" s="43"/>
      <c r="L1671" s="43"/>
    </row>
    <row r="1672">
      <c r="A1672" s="34"/>
      <c r="G1672" s="46"/>
      <c r="H1672" s="46"/>
      <c r="I1672" s="46"/>
      <c r="J1672" s="43"/>
      <c r="K1672" s="43"/>
      <c r="L1672" s="43"/>
    </row>
    <row r="1673">
      <c r="A1673" s="34"/>
      <c r="G1673" s="46"/>
      <c r="H1673" s="46"/>
      <c r="I1673" s="46"/>
      <c r="J1673" s="43"/>
      <c r="K1673" s="43"/>
      <c r="L1673" s="43"/>
    </row>
    <row r="1674">
      <c r="A1674" s="34"/>
      <c r="G1674" s="46"/>
      <c r="H1674" s="46"/>
      <c r="I1674" s="46"/>
      <c r="J1674" s="43"/>
      <c r="K1674" s="43"/>
      <c r="L1674" s="43"/>
    </row>
    <row r="1675">
      <c r="A1675" s="34"/>
      <c r="G1675" s="46"/>
      <c r="H1675" s="46"/>
      <c r="I1675" s="46"/>
      <c r="J1675" s="43"/>
      <c r="K1675" s="43"/>
      <c r="L1675" s="43"/>
    </row>
    <row r="1676">
      <c r="A1676" s="34"/>
      <c r="G1676" s="46"/>
      <c r="H1676" s="46"/>
      <c r="I1676" s="46"/>
      <c r="J1676" s="43"/>
      <c r="K1676" s="43"/>
      <c r="L1676" s="43"/>
    </row>
    <row r="1677">
      <c r="A1677" s="34"/>
      <c r="G1677" s="46"/>
      <c r="H1677" s="46"/>
      <c r="I1677" s="46"/>
      <c r="J1677" s="43"/>
      <c r="K1677" s="43"/>
      <c r="L1677" s="43"/>
    </row>
    <row r="1678">
      <c r="A1678" s="34"/>
      <c r="G1678" s="46"/>
      <c r="H1678" s="46"/>
      <c r="I1678" s="46"/>
      <c r="J1678" s="43"/>
      <c r="K1678" s="43"/>
      <c r="L1678" s="43"/>
    </row>
    <row r="1679">
      <c r="A1679" s="34"/>
      <c r="G1679" s="46"/>
      <c r="H1679" s="46"/>
      <c r="I1679" s="46"/>
      <c r="J1679" s="43"/>
      <c r="K1679" s="43"/>
      <c r="L1679" s="43"/>
    </row>
    <row r="1680">
      <c r="A1680" s="34"/>
      <c r="G1680" s="46"/>
      <c r="H1680" s="46"/>
      <c r="I1680" s="46"/>
      <c r="J1680" s="43"/>
      <c r="K1680" s="43"/>
      <c r="L1680" s="43"/>
    </row>
    <row r="1681">
      <c r="A1681" s="34"/>
      <c r="G1681" s="46"/>
      <c r="H1681" s="46"/>
      <c r="I1681" s="46"/>
      <c r="J1681" s="43"/>
      <c r="K1681" s="43"/>
      <c r="L1681" s="43"/>
    </row>
    <row r="1682">
      <c r="A1682" s="34"/>
      <c r="G1682" s="46"/>
      <c r="H1682" s="46"/>
      <c r="I1682" s="46"/>
      <c r="J1682" s="43"/>
      <c r="K1682" s="43"/>
      <c r="L1682" s="43"/>
    </row>
    <row r="1683">
      <c r="A1683" s="34"/>
      <c r="G1683" s="46"/>
      <c r="H1683" s="46"/>
      <c r="I1683" s="46"/>
      <c r="J1683" s="43"/>
      <c r="K1683" s="43"/>
      <c r="L1683" s="43"/>
    </row>
    <row r="1684">
      <c r="A1684" s="34"/>
      <c r="G1684" s="46"/>
      <c r="H1684" s="46"/>
      <c r="I1684" s="46"/>
      <c r="J1684" s="43"/>
      <c r="K1684" s="43"/>
      <c r="L1684" s="43"/>
    </row>
    <row r="1685">
      <c r="A1685" s="34"/>
      <c r="G1685" s="46"/>
      <c r="H1685" s="46"/>
      <c r="I1685" s="46"/>
      <c r="J1685" s="43"/>
      <c r="K1685" s="43"/>
      <c r="L1685" s="43"/>
    </row>
    <row r="1686">
      <c r="A1686" s="34"/>
      <c r="G1686" s="46"/>
      <c r="H1686" s="46"/>
      <c r="I1686" s="46"/>
      <c r="J1686" s="43"/>
      <c r="K1686" s="43"/>
      <c r="L1686" s="43"/>
    </row>
    <row r="1687">
      <c r="A1687" s="34"/>
      <c r="G1687" s="46"/>
      <c r="H1687" s="46"/>
      <c r="I1687" s="46"/>
      <c r="J1687" s="43"/>
      <c r="K1687" s="43"/>
      <c r="L1687" s="43"/>
    </row>
    <row r="1688">
      <c r="A1688" s="34"/>
      <c r="G1688" s="46"/>
      <c r="H1688" s="46"/>
      <c r="I1688" s="46"/>
      <c r="J1688" s="43"/>
      <c r="K1688" s="43"/>
      <c r="L1688" s="43"/>
    </row>
    <row r="1689">
      <c r="A1689" s="34"/>
      <c r="G1689" s="46"/>
      <c r="H1689" s="46"/>
      <c r="I1689" s="46"/>
      <c r="J1689" s="43"/>
      <c r="K1689" s="43"/>
      <c r="L1689" s="43"/>
    </row>
    <row r="1690">
      <c r="A1690" s="34"/>
      <c r="G1690" s="46"/>
      <c r="H1690" s="46"/>
      <c r="I1690" s="46"/>
      <c r="J1690" s="43"/>
      <c r="K1690" s="43"/>
      <c r="L1690" s="43"/>
    </row>
    <row r="1691">
      <c r="A1691" s="34"/>
      <c r="G1691" s="46"/>
      <c r="H1691" s="46"/>
      <c r="I1691" s="46"/>
      <c r="J1691" s="43"/>
      <c r="K1691" s="43"/>
      <c r="L1691" s="43"/>
    </row>
    <row r="1692">
      <c r="A1692" s="34"/>
      <c r="G1692" s="46"/>
      <c r="H1692" s="46"/>
      <c r="I1692" s="46"/>
      <c r="J1692" s="43"/>
      <c r="K1692" s="43"/>
      <c r="L1692" s="43"/>
    </row>
    <row r="1693">
      <c r="A1693" s="34"/>
      <c r="G1693" s="46"/>
      <c r="H1693" s="46"/>
      <c r="I1693" s="46"/>
      <c r="J1693" s="43"/>
      <c r="K1693" s="43"/>
      <c r="L1693" s="43"/>
    </row>
    <row r="1694">
      <c r="A1694" s="34"/>
      <c r="G1694" s="46"/>
      <c r="H1694" s="46"/>
      <c r="I1694" s="46"/>
      <c r="J1694" s="43"/>
      <c r="K1694" s="43"/>
      <c r="L1694" s="43"/>
    </row>
    <row r="1695">
      <c r="A1695" s="34"/>
      <c r="G1695" s="46"/>
      <c r="H1695" s="46"/>
      <c r="I1695" s="46"/>
      <c r="J1695" s="43"/>
      <c r="K1695" s="43"/>
      <c r="L1695" s="43"/>
    </row>
    <row r="1696">
      <c r="A1696" s="34"/>
      <c r="G1696" s="46"/>
      <c r="H1696" s="46"/>
      <c r="I1696" s="46"/>
      <c r="J1696" s="43"/>
      <c r="K1696" s="43"/>
      <c r="L1696" s="43"/>
    </row>
    <row r="1697">
      <c r="A1697" s="34"/>
      <c r="G1697" s="46"/>
      <c r="H1697" s="46"/>
      <c r="I1697" s="46"/>
      <c r="J1697" s="43"/>
      <c r="K1697" s="43"/>
      <c r="L1697" s="43"/>
    </row>
    <row r="1698">
      <c r="A1698" s="34"/>
      <c r="G1698" s="46"/>
      <c r="H1698" s="46"/>
      <c r="I1698" s="46"/>
      <c r="J1698" s="43"/>
      <c r="K1698" s="43"/>
      <c r="L1698" s="43"/>
    </row>
    <row r="1699">
      <c r="A1699" s="34"/>
      <c r="G1699" s="46"/>
      <c r="H1699" s="46"/>
      <c r="I1699" s="46"/>
      <c r="J1699" s="43"/>
      <c r="K1699" s="43"/>
      <c r="L1699" s="43"/>
    </row>
    <row r="1700">
      <c r="A1700" s="34"/>
      <c r="G1700" s="46"/>
      <c r="H1700" s="46"/>
      <c r="I1700" s="46"/>
      <c r="J1700" s="43"/>
      <c r="K1700" s="43"/>
      <c r="L1700" s="43"/>
    </row>
    <row r="1701">
      <c r="A1701" s="34"/>
      <c r="G1701" s="46"/>
      <c r="H1701" s="46"/>
      <c r="I1701" s="46"/>
      <c r="J1701" s="43"/>
      <c r="K1701" s="43"/>
      <c r="L1701" s="43"/>
    </row>
    <row r="1702">
      <c r="A1702" s="34"/>
      <c r="G1702" s="46"/>
      <c r="H1702" s="46"/>
      <c r="I1702" s="46"/>
      <c r="J1702" s="43"/>
      <c r="K1702" s="43"/>
      <c r="L1702" s="43"/>
    </row>
    <row r="1703">
      <c r="A1703" s="34"/>
      <c r="G1703" s="46"/>
      <c r="H1703" s="46"/>
      <c r="I1703" s="46"/>
      <c r="J1703" s="43"/>
      <c r="K1703" s="43"/>
      <c r="L1703" s="43"/>
    </row>
    <row r="1704">
      <c r="A1704" s="34"/>
      <c r="G1704" s="46"/>
      <c r="H1704" s="46"/>
      <c r="I1704" s="46"/>
      <c r="J1704" s="43"/>
      <c r="K1704" s="43"/>
      <c r="L1704" s="43"/>
    </row>
    <row r="1705">
      <c r="A1705" s="34"/>
      <c r="G1705" s="46"/>
      <c r="H1705" s="46"/>
      <c r="I1705" s="46"/>
      <c r="J1705" s="43"/>
      <c r="K1705" s="43"/>
      <c r="L1705" s="43"/>
    </row>
    <row r="1706">
      <c r="A1706" s="34"/>
      <c r="G1706" s="46"/>
      <c r="H1706" s="46"/>
      <c r="I1706" s="46"/>
      <c r="J1706" s="43"/>
      <c r="K1706" s="43"/>
      <c r="L1706" s="43"/>
    </row>
    <row r="1707">
      <c r="A1707" s="34"/>
      <c r="G1707" s="46"/>
      <c r="H1707" s="46"/>
      <c r="I1707" s="46"/>
      <c r="J1707" s="43"/>
      <c r="K1707" s="43"/>
      <c r="L1707" s="43"/>
    </row>
    <row r="1708">
      <c r="A1708" s="34"/>
      <c r="G1708" s="46"/>
      <c r="H1708" s="46"/>
      <c r="I1708" s="46"/>
      <c r="J1708" s="43"/>
      <c r="K1708" s="43"/>
      <c r="L1708" s="43"/>
    </row>
    <row r="1709">
      <c r="A1709" s="34"/>
      <c r="G1709" s="46"/>
      <c r="H1709" s="46"/>
      <c r="I1709" s="46"/>
      <c r="J1709" s="43"/>
      <c r="K1709" s="43"/>
      <c r="L1709" s="43"/>
    </row>
    <row r="1710">
      <c r="A1710" s="34"/>
      <c r="G1710" s="46"/>
      <c r="H1710" s="46"/>
      <c r="I1710" s="46"/>
      <c r="J1710" s="43"/>
      <c r="K1710" s="43"/>
      <c r="L1710" s="43"/>
    </row>
    <row r="1711">
      <c r="A1711" s="34"/>
      <c r="G1711" s="46"/>
      <c r="H1711" s="46"/>
      <c r="I1711" s="46"/>
      <c r="J1711" s="43"/>
      <c r="K1711" s="43"/>
      <c r="L1711" s="43"/>
    </row>
    <row r="1712">
      <c r="A1712" s="34"/>
      <c r="G1712" s="46"/>
      <c r="H1712" s="46"/>
      <c r="I1712" s="46"/>
      <c r="J1712" s="43"/>
      <c r="K1712" s="43"/>
      <c r="L1712" s="43"/>
    </row>
    <row r="1713">
      <c r="A1713" s="34"/>
      <c r="G1713" s="46"/>
      <c r="H1713" s="46"/>
      <c r="I1713" s="46"/>
      <c r="J1713" s="43"/>
      <c r="K1713" s="43"/>
      <c r="L1713" s="43"/>
    </row>
    <row r="1714">
      <c r="A1714" s="34"/>
      <c r="G1714" s="46"/>
      <c r="H1714" s="46"/>
      <c r="I1714" s="46"/>
      <c r="J1714" s="43"/>
      <c r="K1714" s="43"/>
      <c r="L1714" s="43"/>
    </row>
    <row r="1715">
      <c r="A1715" s="34"/>
      <c r="G1715" s="46"/>
      <c r="H1715" s="46"/>
      <c r="I1715" s="46"/>
      <c r="J1715" s="43"/>
      <c r="K1715" s="43"/>
      <c r="L1715" s="43"/>
    </row>
    <row r="1716">
      <c r="A1716" s="34"/>
      <c r="G1716" s="46"/>
      <c r="H1716" s="46"/>
      <c r="I1716" s="46"/>
      <c r="J1716" s="43"/>
      <c r="K1716" s="43"/>
      <c r="L1716" s="43"/>
    </row>
    <row r="1717">
      <c r="A1717" s="34"/>
      <c r="G1717" s="46"/>
      <c r="H1717" s="46"/>
      <c r="I1717" s="46"/>
      <c r="J1717" s="43"/>
      <c r="K1717" s="43"/>
      <c r="L1717" s="43"/>
    </row>
    <row r="1718">
      <c r="A1718" s="34"/>
      <c r="G1718" s="46"/>
      <c r="H1718" s="46"/>
      <c r="I1718" s="46"/>
      <c r="J1718" s="43"/>
      <c r="K1718" s="43"/>
      <c r="L1718" s="43"/>
    </row>
    <row r="1719">
      <c r="A1719" s="34"/>
      <c r="G1719" s="46"/>
      <c r="H1719" s="46"/>
      <c r="I1719" s="46"/>
      <c r="J1719" s="43"/>
      <c r="K1719" s="43"/>
      <c r="L1719" s="43"/>
    </row>
    <row r="1720">
      <c r="A1720" s="34"/>
      <c r="G1720" s="46"/>
      <c r="H1720" s="46"/>
      <c r="I1720" s="46"/>
      <c r="J1720" s="43"/>
      <c r="K1720" s="43"/>
      <c r="L1720" s="43"/>
    </row>
    <row r="1721">
      <c r="A1721" s="34"/>
      <c r="G1721" s="46"/>
      <c r="H1721" s="46"/>
      <c r="I1721" s="46"/>
      <c r="J1721" s="43"/>
      <c r="K1721" s="43"/>
      <c r="L1721" s="43"/>
    </row>
    <row r="1722">
      <c r="A1722" s="34"/>
      <c r="G1722" s="46"/>
      <c r="H1722" s="46"/>
      <c r="I1722" s="46"/>
      <c r="J1722" s="43"/>
      <c r="K1722" s="43"/>
      <c r="L1722" s="43"/>
    </row>
    <row r="1723">
      <c r="A1723" s="34"/>
      <c r="G1723" s="46"/>
      <c r="H1723" s="46"/>
      <c r="I1723" s="46"/>
      <c r="J1723" s="43"/>
      <c r="K1723" s="43"/>
      <c r="L1723" s="43"/>
    </row>
    <row r="1724">
      <c r="A1724" s="34"/>
      <c r="G1724" s="46"/>
      <c r="H1724" s="46"/>
      <c r="I1724" s="46"/>
      <c r="J1724" s="43"/>
      <c r="K1724" s="43"/>
      <c r="L1724" s="43"/>
    </row>
    <row r="1725">
      <c r="A1725" s="34"/>
      <c r="G1725" s="46"/>
      <c r="H1725" s="46"/>
      <c r="I1725" s="46"/>
      <c r="J1725" s="43"/>
      <c r="K1725" s="43"/>
      <c r="L1725" s="43"/>
    </row>
    <row r="1726">
      <c r="A1726" s="34"/>
      <c r="G1726" s="46"/>
      <c r="H1726" s="46"/>
      <c r="I1726" s="46"/>
      <c r="J1726" s="43"/>
      <c r="K1726" s="43"/>
      <c r="L1726" s="43"/>
    </row>
    <row r="1727">
      <c r="A1727" s="34"/>
      <c r="G1727" s="46"/>
      <c r="H1727" s="46"/>
      <c r="I1727" s="46"/>
      <c r="J1727" s="43"/>
      <c r="K1727" s="43"/>
      <c r="L1727" s="43"/>
    </row>
    <row r="1728">
      <c r="A1728" s="34"/>
      <c r="G1728" s="46"/>
      <c r="H1728" s="46"/>
      <c r="I1728" s="46"/>
      <c r="J1728" s="43"/>
      <c r="K1728" s="43"/>
      <c r="L1728" s="43"/>
    </row>
    <row r="1729">
      <c r="A1729" s="34"/>
      <c r="G1729" s="46"/>
      <c r="H1729" s="46"/>
      <c r="I1729" s="46"/>
      <c r="J1729" s="43"/>
      <c r="K1729" s="43"/>
      <c r="L1729" s="43"/>
    </row>
    <row r="1730">
      <c r="A1730" s="34"/>
      <c r="G1730" s="46"/>
      <c r="H1730" s="46"/>
      <c r="I1730" s="46"/>
      <c r="J1730" s="43"/>
      <c r="K1730" s="43"/>
      <c r="L1730" s="43"/>
    </row>
    <row r="1731">
      <c r="A1731" s="34"/>
      <c r="G1731" s="46"/>
      <c r="H1731" s="46"/>
      <c r="I1731" s="46"/>
      <c r="J1731" s="43"/>
      <c r="K1731" s="43"/>
      <c r="L1731" s="43"/>
    </row>
    <row r="1732">
      <c r="A1732" s="34"/>
      <c r="G1732" s="46"/>
      <c r="H1732" s="46"/>
      <c r="I1732" s="46"/>
      <c r="J1732" s="43"/>
      <c r="K1732" s="43"/>
      <c r="L1732" s="43"/>
    </row>
    <row r="1733">
      <c r="A1733" s="34"/>
      <c r="G1733" s="46"/>
      <c r="H1733" s="46"/>
      <c r="I1733" s="46"/>
      <c r="J1733" s="43"/>
      <c r="K1733" s="43"/>
      <c r="L1733" s="43"/>
    </row>
    <row r="1734">
      <c r="A1734" s="34"/>
      <c r="G1734" s="46"/>
      <c r="H1734" s="46"/>
      <c r="I1734" s="46"/>
      <c r="J1734" s="43"/>
      <c r="K1734" s="43"/>
      <c r="L1734" s="43"/>
    </row>
    <row r="1735">
      <c r="A1735" s="34"/>
      <c r="G1735" s="46"/>
      <c r="H1735" s="46"/>
      <c r="I1735" s="46"/>
      <c r="J1735" s="43"/>
      <c r="K1735" s="43"/>
      <c r="L1735" s="43"/>
    </row>
    <row r="1736">
      <c r="A1736" s="34"/>
      <c r="G1736" s="46"/>
      <c r="H1736" s="46"/>
      <c r="I1736" s="46"/>
      <c r="J1736" s="43"/>
      <c r="K1736" s="43"/>
      <c r="L1736" s="43"/>
    </row>
    <row r="1737">
      <c r="A1737" s="34"/>
      <c r="G1737" s="46"/>
      <c r="H1737" s="46"/>
      <c r="I1737" s="46"/>
      <c r="J1737" s="43"/>
      <c r="K1737" s="43"/>
      <c r="L1737" s="43"/>
    </row>
    <row r="1738">
      <c r="A1738" s="34"/>
      <c r="G1738" s="46"/>
      <c r="H1738" s="46"/>
      <c r="I1738" s="46"/>
      <c r="J1738" s="43"/>
      <c r="K1738" s="43"/>
      <c r="L1738" s="43"/>
    </row>
    <row r="1739">
      <c r="A1739" s="34"/>
      <c r="G1739" s="46"/>
      <c r="H1739" s="46"/>
      <c r="I1739" s="46"/>
      <c r="J1739" s="43"/>
      <c r="K1739" s="43"/>
      <c r="L1739" s="43"/>
    </row>
    <row r="1740">
      <c r="A1740" s="34"/>
      <c r="G1740" s="46"/>
      <c r="H1740" s="46"/>
      <c r="I1740" s="46"/>
      <c r="J1740" s="43"/>
      <c r="K1740" s="43"/>
      <c r="L1740" s="43"/>
    </row>
    <row r="1741">
      <c r="A1741" s="34"/>
      <c r="G1741" s="46"/>
      <c r="H1741" s="46"/>
      <c r="I1741" s="46"/>
      <c r="J1741" s="43"/>
      <c r="K1741" s="43"/>
      <c r="L1741" s="43"/>
    </row>
    <row r="1742">
      <c r="A1742" s="34"/>
      <c r="G1742" s="46"/>
      <c r="H1742" s="46"/>
      <c r="I1742" s="46"/>
      <c r="J1742" s="43"/>
      <c r="K1742" s="43"/>
      <c r="L1742" s="43"/>
    </row>
    <row r="1743">
      <c r="A1743" s="34"/>
      <c r="G1743" s="46"/>
      <c r="H1743" s="46"/>
      <c r="I1743" s="46"/>
      <c r="J1743" s="43"/>
      <c r="K1743" s="43"/>
      <c r="L1743" s="43"/>
    </row>
    <row r="1744">
      <c r="A1744" s="34"/>
      <c r="G1744" s="46"/>
      <c r="H1744" s="46"/>
      <c r="I1744" s="46"/>
      <c r="J1744" s="43"/>
      <c r="K1744" s="43"/>
      <c r="L1744" s="43"/>
    </row>
    <row r="1745">
      <c r="A1745" s="34"/>
      <c r="G1745" s="46"/>
      <c r="H1745" s="46"/>
      <c r="I1745" s="46"/>
      <c r="J1745" s="43"/>
      <c r="K1745" s="43"/>
      <c r="L1745" s="43"/>
    </row>
    <row r="1746">
      <c r="A1746" s="34"/>
      <c r="G1746" s="46"/>
      <c r="H1746" s="46"/>
      <c r="I1746" s="46"/>
      <c r="J1746" s="43"/>
      <c r="K1746" s="43"/>
      <c r="L1746" s="43"/>
    </row>
    <row r="1747">
      <c r="A1747" s="34"/>
      <c r="G1747" s="46"/>
      <c r="H1747" s="46"/>
      <c r="I1747" s="46"/>
      <c r="J1747" s="43"/>
      <c r="K1747" s="43"/>
      <c r="L1747" s="43"/>
    </row>
    <row r="1748">
      <c r="A1748" s="34"/>
      <c r="G1748" s="46"/>
      <c r="H1748" s="46"/>
      <c r="I1748" s="46"/>
      <c r="J1748" s="43"/>
      <c r="K1748" s="43"/>
      <c r="L1748" s="43"/>
    </row>
    <row r="1749">
      <c r="A1749" s="34"/>
      <c r="G1749" s="46"/>
      <c r="H1749" s="46"/>
      <c r="I1749" s="46"/>
      <c r="J1749" s="43"/>
      <c r="K1749" s="43"/>
      <c r="L1749" s="43"/>
    </row>
    <row r="1750">
      <c r="A1750" s="34"/>
      <c r="G1750" s="46"/>
      <c r="H1750" s="46"/>
      <c r="I1750" s="46"/>
      <c r="J1750" s="43"/>
      <c r="K1750" s="43"/>
      <c r="L1750" s="43"/>
    </row>
    <row r="1751">
      <c r="A1751" s="34"/>
      <c r="G1751" s="46"/>
      <c r="H1751" s="46"/>
      <c r="I1751" s="46"/>
      <c r="J1751" s="43"/>
      <c r="K1751" s="43"/>
      <c r="L1751" s="43"/>
    </row>
    <row r="1752">
      <c r="A1752" s="34"/>
      <c r="G1752" s="46"/>
      <c r="H1752" s="46"/>
      <c r="I1752" s="46"/>
      <c r="J1752" s="43"/>
      <c r="K1752" s="43"/>
      <c r="L1752" s="43"/>
    </row>
    <row r="1753">
      <c r="A1753" s="34"/>
      <c r="G1753" s="46"/>
      <c r="H1753" s="46"/>
      <c r="I1753" s="46"/>
      <c r="J1753" s="43"/>
      <c r="K1753" s="43"/>
      <c r="L1753" s="43"/>
    </row>
    <row r="1754">
      <c r="A1754" s="34"/>
      <c r="G1754" s="46"/>
      <c r="H1754" s="46"/>
      <c r="I1754" s="46"/>
      <c r="J1754" s="43"/>
      <c r="K1754" s="43"/>
      <c r="L1754" s="43"/>
    </row>
    <row r="1755">
      <c r="A1755" s="34"/>
      <c r="G1755" s="46"/>
      <c r="H1755" s="46"/>
      <c r="I1755" s="46"/>
      <c r="J1755" s="43"/>
      <c r="K1755" s="43"/>
      <c r="L1755" s="43"/>
    </row>
    <row r="1756">
      <c r="A1756" s="34"/>
      <c r="G1756" s="46"/>
      <c r="H1756" s="46"/>
      <c r="I1756" s="46"/>
      <c r="J1756" s="43"/>
      <c r="K1756" s="43"/>
      <c r="L1756" s="43"/>
    </row>
    <row r="1757">
      <c r="A1757" s="34"/>
      <c r="G1757" s="46"/>
      <c r="H1757" s="46"/>
      <c r="I1757" s="46"/>
      <c r="J1757" s="43"/>
      <c r="K1757" s="43"/>
      <c r="L1757" s="43"/>
    </row>
    <row r="1758">
      <c r="A1758" s="34"/>
      <c r="G1758" s="46"/>
      <c r="H1758" s="46"/>
      <c r="I1758" s="46"/>
      <c r="J1758" s="43"/>
      <c r="K1758" s="43"/>
      <c r="L1758" s="43"/>
    </row>
    <row r="1759">
      <c r="A1759" s="34"/>
      <c r="G1759" s="46"/>
      <c r="H1759" s="46"/>
      <c r="I1759" s="46"/>
      <c r="J1759" s="43"/>
      <c r="K1759" s="43"/>
      <c r="L1759" s="43"/>
    </row>
    <row r="1760">
      <c r="A1760" s="34"/>
      <c r="G1760" s="46"/>
      <c r="H1760" s="46"/>
      <c r="I1760" s="46"/>
      <c r="J1760" s="43"/>
      <c r="K1760" s="43"/>
      <c r="L1760" s="43"/>
    </row>
    <row r="1761">
      <c r="A1761" s="34"/>
      <c r="G1761" s="46"/>
      <c r="H1761" s="46"/>
      <c r="I1761" s="46"/>
      <c r="J1761" s="43"/>
      <c r="K1761" s="43"/>
      <c r="L1761" s="43"/>
    </row>
    <row r="1762">
      <c r="A1762" s="34"/>
      <c r="G1762" s="46"/>
      <c r="H1762" s="46"/>
      <c r="I1762" s="46"/>
      <c r="J1762" s="43"/>
      <c r="K1762" s="43"/>
      <c r="L1762" s="43"/>
    </row>
    <row r="1763">
      <c r="A1763" s="34"/>
      <c r="G1763" s="46"/>
      <c r="H1763" s="46"/>
      <c r="I1763" s="46"/>
      <c r="J1763" s="43"/>
      <c r="K1763" s="43"/>
      <c r="L1763" s="43"/>
    </row>
    <row r="1764">
      <c r="A1764" s="34"/>
      <c r="G1764" s="46"/>
      <c r="H1764" s="46"/>
      <c r="I1764" s="46"/>
      <c r="J1764" s="43"/>
      <c r="K1764" s="43"/>
      <c r="L1764" s="43"/>
    </row>
    <row r="1765">
      <c r="A1765" s="34"/>
      <c r="G1765" s="46"/>
      <c r="H1765" s="46"/>
      <c r="I1765" s="46"/>
      <c r="J1765" s="43"/>
      <c r="K1765" s="43"/>
      <c r="L1765" s="43"/>
    </row>
    <row r="1766">
      <c r="A1766" s="34"/>
      <c r="G1766" s="46"/>
      <c r="H1766" s="46"/>
      <c r="I1766" s="46"/>
      <c r="J1766" s="43"/>
      <c r="K1766" s="43"/>
      <c r="L1766" s="43"/>
    </row>
    <row r="1767">
      <c r="A1767" s="34"/>
      <c r="G1767" s="46"/>
      <c r="H1767" s="46"/>
      <c r="I1767" s="46"/>
      <c r="J1767" s="43"/>
      <c r="K1767" s="43"/>
      <c r="L1767" s="43"/>
    </row>
    <row r="1768">
      <c r="A1768" s="34"/>
      <c r="G1768" s="46"/>
      <c r="H1768" s="46"/>
      <c r="I1768" s="46"/>
      <c r="J1768" s="43"/>
      <c r="K1768" s="43"/>
      <c r="L1768" s="43"/>
    </row>
    <row r="1769">
      <c r="A1769" s="34"/>
      <c r="G1769" s="46"/>
      <c r="H1769" s="46"/>
      <c r="I1769" s="46"/>
      <c r="J1769" s="43"/>
      <c r="K1769" s="43"/>
      <c r="L1769" s="43"/>
    </row>
    <row r="1770">
      <c r="A1770" s="34"/>
      <c r="G1770" s="46"/>
      <c r="H1770" s="46"/>
      <c r="I1770" s="46"/>
      <c r="J1770" s="43"/>
      <c r="K1770" s="43"/>
      <c r="L1770" s="43"/>
    </row>
    <row r="1771">
      <c r="A1771" s="34"/>
      <c r="G1771" s="46"/>
      <c r="H1771" s="46"/>
      <c r="I1771" s="46"/>
      <c r="J1771" s="43"/>
      <c r="K1771" s="43"/>
      <c r="L1771" s="43"/>
    </row>
    <row r="1772">
      <c r="A1772" s="34"/>
      <c r="G1772" s="46"/>
      <c r="H1772" s="46"/>
      <c r="I1772" s="46"/>
      <c r="J1772" s="43"/>
      <c r="K1772" s="43"/>
      <c r="L1772" s="43"/>
    </row>
    <row r="1773">
      <c r="A1773" s="34"/>
      <c r="G1773" s="46"/>
      <c r="H1773" s="46"/>
      <c r="I1773" s="46"/>
      <c r="J1773" s="43"/>
      <c r="K1773" s="43"/>
      <c r="L1773" s="43"/>
    </row>
    <row r="1774">
      <c r="A1774" s="34"/>
      <c r="G1774" s="46"/>
      <c r="H1774" s="46"/>
      <c r="I1774" s="46"/>
      <c r="J1774" s="43"/>
      <c r="K1774" s="43"/>
      <c r="L1774" s="43"/>
    </row>
    <row r="1775">
      <c r="A1775" s="34"/>
      <c r="G1775" s="46"/>
      <c r="H1775" s="46"/>
      <c r="I1775" s="46"/>
      <c r="J1775" s="43"/>
      <c r="K1775" s="43"/>
      <c r="L1775" s="43"/>
    </row>
    <row r="1776">
      <c r="A1776" s="34"/>
      <c r="G1776" s="46"/>
      <c r="H1776" s="46"/>
      <c r="I1776" s="46"/>
      <c r="J1776" s="43"/>
      <c r="K1776" s="43"/>
      <c r="L1776" s="43"/>
    </row>
    <row r="1777">
      <c r="A1777" s="34"/>
      <c r="G1777" s="46"/>
      <c r="H1777" s="46"/>
      <c r="I1777" s="46"/>
      <c r="J1777" s="43"/>
      <c r="K1777" s="43"/>
      <c r="L1777" s="43"/>
    </row>
    <row r="1778">
      <c r="A1778" s="34"/>
      <c r="G1778" s="46"/>
      <c r="H1778" s="46"/>
      <c r="I1778" s="46"/>
      <c r="J1778" s="43"/>
      <c r="K1778" s="43"/>
      <c r="L1778" s="43"/>
    </row>
    <row r="1779">
      <c r="A1779" s="34"/>
      <c r="G1779" s="46"/>
      <c r="H1779" s="46"/>
      <c r="I1779" s="46"/>
      <c r="J1779" s="43"/>
      <c r="K1779" s="43"/>
      <c r="L1779" s="43"/>
    </row>
    <row r="1780">
      <c r="A1780" s="34"/>
      <c r="G1780" s="46"/>
      <c r="H1780" s="46"/>
      <c r="I1780" s="46"/>
      <c r="J1780" s="43"/>
      <c r="K1780" s="43"/>
      <c r="L1780" s="43"/>
    </row>
    <row r="1781">
      <c r="A1781" s="34"/>
      <c r="G1781" s="46"/>
      <c r="H1781" s="46"/>
      <c r="I1781" s="46"/>
      <c r="J1781" s="43"/>
      <c r="K1781" s="43"/>
      <c r="L1781" s="43"/>
    </row>
    <row r="1782">
      <c r="A1782" s="34"/>
      <c r="G1782" s="46"/>
      <c r="H1782" s="46"/>
      <c r="I1782" s="46"/>
      <c r="J1782" s="43"/>
      <c r="K1782" s="43"/>
      <c r="L1782" s="43"/>
    </row>
    <row r="1783">
      <c r="A1783" s="34"/>
      <c r="G1783" s="46"/>
      <c r="H1783" s="46"/>
      <c r="I1783" s="46"/>
      <c r="J1783" s="43"/>
      <c r="K1783" s="43"/>
      <c r="L1783" s="43"/>
    </row>
    <row r="1784">
      <c r="A1784" s="34"/>
      <c r="G1784" s="46"/>
      <c r="H1784" s="46"/>
      <c r="I1784" s="46"/>
      <c r="J1784" s="43"/>
      <c r="K1784" s="43"/>
      <c r="L1784" s="43"/>
    </row>
    <row r="1785">
      <c r="A1785" s="34"/>
      <c r="G1785" s="46"/>
      <c r="H1785" s="46"/>
      <c r="I1785" s="46"/>
      <c r="J1785" s="43"/>
      <c r="K1785" s="43"/>
      <c r="L1785" s="43"/>
    </row>
    <row r="1786">
      <c r="A1786" s="34"/>
      <c r="G1786" s="46"/>
      <c r="H1786" s="46"/>
      <c r="I1786" s="46"/>
      <c r="J1786" s="43"/>
      <c r="K1786" s="43"/>
      <c r="L1786" s="43"/>
    </row>
    <row r="1787">
      <c r="A1787" s="34"/>
      <c r="G1787" s="46"/>
      <c r="H1787" s="46"/>
      <c r="I1787" s="46"/>
      <c r="J1787" s="43"/>
      <c r="K1787" s="43"/>
      <c r="L1787" s="43"/>
    </row>
    <row r="1788">
      <c r="A1788" s="34"/>
      <c r="G1788" s="46"/>
      <c r="H1788" s="46"/>
      <c r="I1788" s="46"/>
      <c r="J1788" s="43"/>
      <c r="K1788" s="43"/>
      <c r="L1788" s="43"/>
    </row>
    <row r="1789">
      <c r="A1789" s="34"/>
      <c r="G1789" s="46"/>
      <c r="H1789" s="46"/>
      <c r="I1789" s="46"/>
      <c r="J1789" s="43"/>
      <c r="K1789" s="43"/>
      <c r="L1789" s="43"/>
    </row>
    <row r="1790">
      <c r="A1790" s="34"/>
      <c r="G1790" s="46"/>
      <c r="H1790" s="46"/>
      <c r="I1790" s="46"/>
      <c r="J1790" s="43"/>
      <c r="K1790" s="43"/>
      <c r="L1790" s="43"/>
    </row>
    <row r="1791">
      <c r="A1791" s="34"/>
      <c r="G1791" s="46"/>
      <c r="H1791" s="46"/>
      <c r="I1791" s="46"/>
      <c r="J1791" s="43"/>
      <c r="K1791" s="43"/>
      <c r="L1791" s="43"/>
    </row>
    <row r="1792">
      <c r="A1792" s="34"/>
      <c r="G1792" s="46"/>
      <c r="H1792" s="46"/>
      <c r="I1792" s="46"/>
      <c r="J1792" s="43"/>
      <c r="K1792" s="43"/>
      <c r="L1792" s="43"/>
    </row>
    <row r="1793">
      <c r="A1793" s="34"/>
      <c r="G1793" s="46"/>
      <c r="H1793" s="46"/>
      <c r="I1793" s="46"/>
      <c r="J1793" s="43"/>
      <c r="K1793" s="43"/>
      <c r="L1793" s="43"/>
    </row>
    <row r="1794">
      <c r="A1794" s="34"/>
      <c r="G1794" s="46"/>
      <c r="H1794" s="46"/>
      <c r="I1794" s="46"/>
      <c r="J1794" s="43"/>
      <c r="K1794" s="43"/>
      <c r="L1794" s="43"/>
    </row>
    <row r="1795">
      <c r="A1795" s="34"/>
      <c r="G1795" s="46"/>
      <c r="H1795" s="46"/>
      <c r="I1795" s="46"/>
      <c r="J1795" s="43"/>
      <c r="K1795" s="43"/>
      <c r="L1795" s="43"/>
    </row>
    <row r="1796">
      <c r="A1796" s="34"/>
      <c r="G1796" s="46"/>
      <c r="H1796" s="46"/>
      <c r="I1796" s="46"/>
      <c r="J1796" s="43"/>
      <c r="K1796" s="43"/>
      <c r="L1796" s="43"/>
    </row>
    <row r="1797">
      <c r="A1797" s="34"/>
      <c r="G1797" s="46"/>
      <c r="H1797" s="46"/>
      <c r="I1797" s="46"/>
      <c r="J1797" s="43"/>
      <c r="K1797" s="43"/>
      <c r="L1797" s="43"/>
    </row>
    <row r="1798">
      <c r="A1798" s="34"/>
      <c r="G1798" s="46"/>
      <c r="H1798" s="46"/>
      <c r="I1798" s="46"/>
      <c r="J1798" s="43"/>
      <c r="K1798" s="43"/>
      <c r="L1798" s="43"/>
    </row>
    <row r="1799">
      <c r="A1799" s="34"/>
      <c r="G1799" s="46"/>
      <c r="H1799" s="46"/>
      <c r="I1799" s="46"/>
      <c r="J1799" s="43"/>
      <c r="K1799" s="43"/>
      <c r="L1799" s="43"/>
    </row>
    <row r="1800">
      <c r="A1800" s="34"/>
      <c r="G1800" s="46"/>
      <c r="H1800" s="46"/>
      <c r="I1800" s="46"/>
      <c r="J1800" s="43"/>
      <c r="K1800" s="43"/>
      <c r="L1800" s="43"/>
    </row>
    <row r="1801">
      <c r="A1801" s="34"/>
      <c r="G1801" s="46"/>
      <c r="H1801" s="46"/>
      <c r="I1801" s="46"/>
      <c r="J1801" s="43"/>
      <c r="K1801" s="43"/>
      <c r="L1801" s="43"/>
    </row>
    <row r="1802">
      <c r="A1802" s="34"/>
      <c r="G1802" s="46"/>
      <c r="H1802" s="46"/>
      <c r="I1802" s="46"/>
      <c r="J1802" s="43"/>
      <c r="K1802" s="43"/>
      <c r="L1802" s="43"/>
    </row>
    <row r="1803">
      <c r="A1803" s="34"/>
      <c r="G1803" s="46"/>
      <c r="H1803" s="46"/>
      <c r="I1803" s="46"/>
      <c r="J1803" s="43"/>
      <c r="K1803" s="43"/>
      <c r="L1803" s="43"/>
    </row>
    <row r="1804">
      <c r="A1804" s="34"/>
      <c r="G1804" s="46"/>
      <c r="H1804" s="46"/>
      <c r="I1804" s="46"/>
      <c r="J1804" s="43"/>
      <c r="K1804" s="43"/>
      <c r="L1804" s="43"/>
    </row>
    <row r="1805">
      <c r="A1805" s="34"/>
      <c r="G1805" s="46"/>
      <c r="H1805" s="46"/>
      <c r="I1805" s="46"/>
      <c r="J1805" s="43"/>
      <c r="K1805" s="43"/>
      <c r="L1805" s="43"/>
    </row>
    <row r="1806">
      <c r="A1806" s="34"/>
      <c r="G1806" s="46"/>
      <c r="H1806" s="46"/>
      <c r="I1806" s="46"/>
      <c r="J1806" s="43"/>
      <c r="K1806" s="43"/>
      <c r="L1806" s="43"/>
    </row>
    <row r="1807">
      <c r="A1807" s="34"/>
      <c r="G1807" s="46"/>
      <c r="H1807" s="46"/>
      <c r="I1807" s="46"/>
      <c r="J1807" s="43"/>
      <c r="K1807" s="43"/>
      <c r="L1807" s="43"/>
    </row>
    <row r="1808">
      <c r="A1808" s="34"/>
      <c r="G1808" s="46"/>
      <c r="H1808" s="46"/>
      <c r="I1808" s="46"/>
      <c r="J1808" s="43"/>
      <c r="K1808" s="43"/>
      <c r="L1808" s="43"/>
    </row>
    <row r="1809">
      <c r="A1809" s="34"/>
      <c r="G1809" s="46"/>
      <c r="H1809" s="46"/>
      <c r="I1809" s="46"/>
      <c r="J1809" s="43"/>
      <c r="K1809" s="43"/>
      <c r="L1809" s="43"/>
    </row>
    <row r="1810">
      <c r="A1810" s="34"/>
      <c r="G1810" s="46"/>
      <c r="H1810" s="46"/>
      <c r="I1810" s="46"/>
      <c r="J1810" s="43"/>
      <c r="K1810" s="43"/>
      <c r="L1810" s="43"/>
    </row>
    <row r="1811">
      <c r="A1811" s="34"/>
      <c r="G1811" s="46"/>
      <c r="H1811" s="46"/>
      <c r="I1811" s="46"/>
      <c r="J1811" s="43"/>
      <c r="K1811" s="43"/>
      <c r="L1811" s="43"/>
    </row>
    <row r="1812">
      <c r="A1812" s="34"/>
      <c r="G1812" s="46"/>
      <c r="H1812" s="46"/>
      <c r="I1812" s="46"/>
      <c r="J1812" s="43"/>
      <c r="K1812" s="43"/>
      <c r="L1812" s="43"/>
    </row>
    <row r="1813">
      <c r="A1813" s="34"/>
      <c r="G1813" s="46"/>
      <c r="H1813" s="46"/>
      <c r="I1813" s="46"/>
      <c r="J1813" s="43"/>
      <c r="K1813" s="43"/>
      <c r="L1813" s="43"/>
    </row>
    <row r="1814">
      <c r="A1814" s="34"/>
      <c r="G1814" s="46"/>
      <c r="H1814" s="46"/>
      <c r="I1814" s="46"/>
      <c r="J1814" s="43"/>
      <c r="K1814" s="43"/>
      <c r="L1814" s="43"/>
    </row>
    <row r="1815">
      <c r="A1815" s="34"/>
      <c r="G1815" s="46"/>
      <c r="H1815" s="46"/>
      <c r="I1815" s="46"/>
      <c r="J1815" s="43"/>
      <c r="K1815" s="43"/>
      <c r="L1815" s="43"/>
    </row>
    <row r="1816">
      <c r="A1816" s="34"/>
      <c r="G1816" s="46"/>
      <c r="H1816" s="46"/>
      <c r="I1816" s="46"/>
      <c r="J1816" s="43"/>
      <c r="K1816" s="43"/>
      <c r="L1816" s="43"/>
    </row>
    <row r="1817">
      <c r="A1817" s="34"/>
      <c r="G1817" s="46"/>
      <c r="H1817" s="46"/>
      <c r="I1817" s="46"/>
      <c r="J1817" s="43"/>
      <c r="K1817" s="43"/>
      <c r="L1817" s="43"/>
    </row>
    <row r="1818">
      <c r="A1818" s="34"/>
      <c r="G1818" s="46"/>
      <c r="H1818" s="46"/>
      <c r="I1818" s="46"/>
      <c r="J1818" s="43"/>
      <c r="K1818" s="43"/>
      <c r="L1818" s="43"/>
    </row>
    <row r="1819">
      <c r="A1819" s="34"/>
      <c r="G1819" s="46"/>
      <c r="H1819" s="46"/>
      <c r="I1819" s="46"/>
      <c r="J1819" s="43"/>
      <c r="K1819" s="43"/>
      <c r="L1819" s="43"/>
    </row>
    <row r="1820">
      <c r="A1820" s="34"/>
      <c r="G1820" s="46"/>
      <c r="H1820" s="46"/>
      <c r="I1820" s="46"/>
      <c r="J1820" s="43"/>
      <c r="K1820" s="43"/>
      <c r="L1820" s="43"/>
    </row>
    <row r="1821">
      <c r="A1821" s="34"/>
      <c r="G1821" s="46"/>
      <c r="H1821" s="46"/>
      <c r="I1821" s="46"/>
      <c r="J1821" s="43"/>
      <c r="K1821" s="43"/>
      <c r="L1821" s="43"/>
    </row>
    <row r="1822">
      <c r="A1822" s="34"/>
      <c r="G1822" s="46"/>
      <c r="H1822" s="46"/>
      <c r="I1822" s="46"/>
      <c r="J1822" s="43"/>
      <c r="K1822" s="43"/>
      <c r="L1822" s="43"/>
    </row>
    <row r="1823">
      <c r="A1823" s="34"/>
      <c r="G1823" s="46"/>
      <c r="H1823" s="46"/>
      <c r="I1823" s="46"/>
      <c r="J1823" s="43"/>
      <c r="K1823" s="43"/>
      <c r="L1823" s="43"/>
    </row>
    <row r="1824">
      <c r="A1824" s="34"/>
      <c r="G1824" s="46"/>
      <c r="H1824" s="46"/>
      <c r="I1824" s="46"/>
      <c r="J1824" s="43"/>
      <c r="K1824" s="43"/>
      <c r="L1824" s="43"/>
    </row>
    <row r="1825">
      <c r="A1825" s="34"/>
      <c r="G1825" s="46"/>
      <c r="H1825" s="46"/>
      <c r="I1825" s="46"/>
      <c r="J1825" s="43"/>
      <c r="K1825" s="43"/>
      <c r="L1825" s="43"/>
    </row>
    <row r="1826">
      <c r="A1826" s="34"/>
      <c r="G1826" s="46"/>
      <c r="H1826" s="46"/>
      <c r="I1826" s="46"/>
      <c r="J1826" s="43"/>
      <c r="K1826" s="43"/>
      <c r="L1826" s="43"/>
    </row>
    <row r="1827">
      <c r="A1827" s="34"/>
      <c r="G1827" s="46"/>
      <c r="H1827" s="46"/>
      <c r="I1827" s="46"/>
      <c r="J1827" s="43"/>
      <c r="K1827" s="43"/>
      <c r="L1827" s="43"/>
    </row>
    <row r="1828">
      <c r="A1828" s="34"/>
      <c r="G1828" s="46"/>
      <c r="H1828" s="46"/>
      <c r="I1828" s="46"/>
      <c r="J1828" s="43"/>
      <c r="K1828" s="43"/>
      <c r="L1828" s="43"/>
    </row>
    <row r="1829">
      <c r="A1829" s="34"/>
      <c r="G1829" s="46"/>
      <c r="H1829" s="46"/>
      <c r="I1829" s="46"/>
      <c r="J1829" s="43"/>
      <c r="K1829" s="43"/>
      <c r="L1829" s="43"/>
    </row>
    <row r="1830">
      <c r="A1830" s="34"/>
      <c r="G1830" s="46"/>
      <c r="H1830" s="46"/>
      <c r="I1830" s="46"/>
      <c r="J1830" s="43"/>
      <c r="K1830" s="43"/>
      <c r="L1830" s="43"/>
    </row>
    <row r="1831">
      <c r="A1831" s="34"/>
      <c r="G1831" s="46"/>
      <c r="H1831" s="46"/>
      <c r="I1831" s="46"/>
      <c r="J1831" s="43"/>
      <c r="K1831" s="43"/>
      <c r="L1831" s="43"/>
    </row>
    <row r="1832">
      <c r="A1832" s="34"/>
      <c r="G1832" s="46"/>
      <c r="H1832" s="46"/>
      <c r="I1832" s="46"/>
      <c r="J1832" s="43"/>
      <c r="K1832" s="43"/>
      <c r="L1832" s="43"/>
    </row>
    <row r="1833">
      <c r="A1833" s="34"/>
      <c r="G1833" s="46"/>
      <c r="H1833" s="46"/>
      <c r="I1833" s="46"/>
      <c r="J1833" s="43"/>
      <c r="K1833" s="43"/>
      <c r="L1833" s="43"/>
    </row>
    <row r="1834">
      <c r="A1834" s="34"/>
      <c r="G1834" s="46"/>
      <c r="H1834" s="46"/>
      <c r="I1834" s="46"/>
      <c r="J1834" s="43"/>
      <c r="K1834" s="43"/>
      <c r="L1834" s="43"/>
    </row>
    <row r="1835">
      <c r="A1835" s="34"/>
      <c r="G1835" s="46"/>
      <c r="H1835" s="46"/>
      <c r="I1835" s="46"/>
      <c r="J1835" s="43"/>
      <c r="K1835" s="43"/>
      <c r="L1835" s="43"/>
    </row>
    <row r="1836">
      <c r="A1836" s="34"/>
      <c r="G1836" s="46"/>
      <c r="H1836" s="46"/>
      <c r="I1836" s="46"/>
      <c r="J1836" s="43"/>
      <c r="K1836" s="43"/>
      <c r="L1836" s="43"/>
    </row>
    <row r="1837">
      <c r="A1837" s="34"/>
      <c r="G1837" s="46"/>
      <c r="H1837" s="46"/>
      <c r="I1837" s="46"/>
      <c r="J1837" s="43"/>
      <c r="K1837" s="43"/>
      <c r="L1837" s="43"/>
    </row>
    <row r="1838">
      <c r="A1838" s="34"/>
      <c r="G1838" s="46"/>
      <c r="H1838" s="46"/>
      <c r="I1838" s="46"/>
      <c r="J1838" s="43"/>
      <c r="K1838" s="43"/>
      <c r="L1838" s="43"/>
    </row>
    <row r="1839">
      <c r="A1839" s="34"/>
      <c r="G1839" s="46"/>
      <c r="H1839" s="46"/>
      <c r="I1839" s="46"/>
      <c r="J1839" s="43"/>
      <c r="K1839" s="43"/>
      <c r="L1839" s="43"/>
    </row>
    <row r="1840">
      <c r="A1840" s="34"/>
      <c r="G1840" s="46"/>
      <c r="H1840" s="46"/>
      <c r="I1840" s="46"/>
      <c r="J1840" s="43"/>
      <c r="K1840" s="43"/>
      <c r="L1840" s="43"/>
    </row>
    <row r="1841">
      <c r="A1841" s="34"/>
      <c r="G1841" s="46"/>
      <c r="H1841" s="46"/>
      <c r="I1841" s="46"/>
      <c r="J1841" s="43"/>
      <c r="K1841" s="43"/>
      <c r="L1841" s="43"/>
    </row>
    <row r="1842">
      <c r="A1842" s="34"/>
      <c r="G1842" s="46"/>
      <c r="H1842" s="46"/>
      <c r="I1842" s="46"/>
      <c r="J1842" s="43"/>
      <c r="K1842" s="43"/>
      <c r="L1842" s="43"/>
    </row>
    <row r="1843">
      <c r="A1843" s="34"/>
      <c r="G1843" s="46"/>
      <c r="H1843" s="46"/>
      <c r="I1843" s="46"/>
      <c r="J1843" s="43"/>
      <c r="K1843" s="43"/>
      <c r="L1843" s="43"/>
    </row>
    <row r="1844">
      <c r="A1844" s="34"/>
      <c r="G1844" s="46"/>
      <c r="H1844" s="46"/>
      <c r="I1844" s="46"/>
      <c r="J1844" s="43"/>
      <c r="K1844" s="43"/>
      <c r="L1844" s="43"/>
    </row>
    <row r="1845">
      <c r="A1845" s="34"/>
      <c r="G1845" s="46"/>
      <c r="H1845" s="46"/>
      <c r="I1845" s="46"/>
      <c r="J1845" s="43"/>
      <c r="K1845" s="43"/>
      <c r="L1845" s="43"/>
    </row>
    <row r="1846">
      <c r="A1846" s="34"/>
      <c r="G1846" s="46"/>
      <c r="H1846" s="46"/>
      <c r="I1846" s="46"/>
      <c r="J1846" s="43"/>
      <c r="K1846" s="43"/>
      <c r="L1846" s="43"/>
    </row>
    <row r="1847">
      <c r="A1847" s="34"/>
      <c r="G1847" s="46"/>
      <c r="H1847" s="46"/>
      <c r="I1847" s="46"/>
      <c r="J1847" s="43"/>
      <c r="K1847" s="43"/>
      <c r="L1847" s="43"/>
    </row>
    <row r="1848">
      <c r="A1848" s="34"/>
      <c r="G1848" s="46"/>
      <c r="H1848" s="46"/>
      <c r="I1848" s="46"/>
      <c r="J1848" s="43"/>
      <c r="K1848" s="43"/>
      <c r="L1848" s="43"/>
    </row>
    <row r="1849">
      <c r="A1849" s="34"/>
      <c r="G1849" s="46"/>
      <c r="H1849" s="46"/>
      <c r="I1849" s="46"/>
      <c r="J1849" s="43"/>
      <c r="K1849" s="43"/>
      <c r="L1849" s="43"/>
    </row>
    <row r="1850">
      <c r="A1850" s="34"/>
      <c r="G1850" s="46"/>
      <c r="H1850" s="46"/>
      <c r="I1850" s="46"/>
      <c r="J1850" s="43"/>
      <c r="K1850" s="43"/>
      <c r="L1850" s="43"/>
    </row>
    <row r="1851">
      <c r="A1851" s="34"/>
      <c r="G1851" s="46"/>
      <c r="H1851" s="46"/>
      <c r="I1851" s="46"/>
      <c r="J1851" s="43"/>
      <c r="K1851" s="43"/>
      <c r="L1851" s="43"/>
    </row>
    <row r="1852">
      <c r="A1852" s="34"/>
      <c r="G1852" s="46"/>
      <c r="H1852" s="46"/>
      <c r="I1852" s="46"/>
      <c r="J1852" s="43"/>
      <c r="K1852" s="43"/>
      <c r="L1852" s="43"/>
    </row>
    <row r="1853">
      <c r="A1853" s="34"/>
      <c r="G1853" s="46"/>
      <c r="H1853" s="46"/>
      <c r="I1853" s="46"/>
      <c r="J1853" s="43"/>
      <c r="K1853" s="43"/>
      <c r="L1853" s="43"/>
    </row>
    <row r="1854">
      <c r="A1854" s="34"/>
      <c r="G1854" s="46"/>
      <c r="H1854" s="46"/>
      <c r="I1854" s="46"/>
      <c r="J1854" s="43"/>
      <c r="K1854" s="43"/>
      <c r="L1854" s="43"/>
    </row>
    <row r="1855">
      <c r="A1855" s="34"/>
      <c r="G1855" s="46"/>
      <c r="H1855" s="46"/>
      <c r="I1855" s="46"/>
      <c r="J1855" s="43"/>
      <c r="K1855" s="43"/>
      <c r="L1855" s="43"/>
    </row>
    <row r="1856">
      <c r="A1856" s="34"/>
      <c r="G1856" s="46"/>
      <c r="H1856" s="46"/>
      <c r="I1856" s="46"/>
      <c r="J1856" s="43"/>
      <c r="K1856" s="43"/>
      <c r="L1856" s="43"/>
    </row>
    <row r="1857">
      <c r="A1857" s="34"/>
      <c r="G1857" s="46"/>
      <c r="H1857" s="46"/>
      <c r="I1857" s="46"/>
      <c r="J1857" s="43"/>
      <c r="K1857" s="43"/>
      <c r="L1857" s="43"/>
    </row>
    <row r="1858">
      <c r="A1858" s="34"/>
      <c r="G1858" s="46"/>
      <c r="H1858" s="46"/>
      <c r="I1858" s="46"/>
      <c r="J1858" s="43"/>
      <c r="K1858" s="43"/>
      <c r="L1858" s="43"/>
    </row>
    <row r="1859">
      <c r="A1859" s="34"/>
      <c r="G1859" s="46"/>
      <c r="H1859" s="46"/>
      <c r="I1859" s="46"/>
      <c r="J1859" s="43"/>
      <c r="K1859" s="43"/>
      <c r="L1859" s="43"/>
    </row>
    <row r="1860">
      <c r="A1860" s="34"/>
      <c r="G1860" s="46"/>
      <c r="H1860" s="46"/>
      <c r="I1860" s="46"/>
      <c r="J1860" s="43"/>
      <c r="K1860" s="43"/>
      <c r="L1860" s="43"/>
    </row>
    <row r="1861">
      <c r="A1861" s="34"/>
      <c r="G1861" s="46"/>
      <c r="H1861" s="46"/>
      <c r="I1861" s="46"/>
      <c r="J1861" s="43"/>
      <c r="K1861" s="43"/>
      <c r="L1861" s="43"/>
    </row>
    <row r="1862">
      <c r="A1862" s="34"/>
      <c r="G1862" s="46"/>
      <c r="H1862" s="46"/>
      <c r="I1862" s="46"/>
      <c r="J1862" s="43"/>
      <c r="K1862" s="43"/>
      <c r="L1862" s="43"/>
    </row>
    <row r="1863">
      <c r="A1863" s="34"/>
      <c r="G1863" s="46"/>
      <c r="H1863" s="46"/>
      <c r="I1863" s="46"/>
      <c r="J1863" s="43"/>
      <c r="K1863" s="43"/>
      <c r="L1863" s="43"/>
    </row>
    <row r="1864">
      <c r="A1864" s="34"/>
      <c r="G1864" s="46"/>
      <c r="H1864" s="46"/>
      <c r="I1864" s="46"/>
      <c r="J1864" s="43"/>
      <c r="K1864" s="43"/>
      <c r="L1864" s="43"/>
    </row>
    <row r="1865">
      <c r="A1865" s="34"/>
      <c r="G1865" s="46"/>
      <c r="H1865" s="46"/>
      <c r="I1865" s="46"/>
      <c r="J1865" s="43"/>
      <c r="K1865" s="43"/>
      <c r="L1865" s="43"/>
    </row>
    <row r="1866">
      <c r="A1866" s="34"/>
      <c r="G1866" s="46"/>
      <c r="H1866" s="46"/>
      <c r="I1866" s="46"/>
      <c r="J1866" s="43"/>
      <c r="K1866" s="43"/>
      <c r="L1866" s="43"/>
    </row>
    <row r="1867">
      <c r="A1867" s="34"/>
      <c r="G1867" s="46"/>
      <c r="H1867" s="46"/>
      <c r="I1867" s="46"/>
      <c r="J1867" s="43"/>
      <c r="K1867" s="43"/>
      <c r="L1867" s="43"/>
    </row>
    <row r="1868">
      <c r="A1868" s="34"/>
      <c r="G1868" s="46"/>
      <c r="H1868" s="46"/>
      <c r="I1868" s="46"/>
      <c r="J1868" s="43"/>
      <c r="K1868" s="43"/>
      <c r="L1868" s="43"/>
    </row>
    <row r="1869">
      <c r="A1869" s="34"/>
      <c r="G1869" s="46"/>
      <c r="H1869" s="46"/>
      <c r="I1869" s="46"/>
      <c r="J1869" s="43"/>
      <c r="K1869" s="43"/>
      <c r="L1869" s="43"/>
    </row>
    <row r="1870">
      <c r="A1870" s="34"/>
      <c r="G1870" s="46"/>
      <c r="H1870" s="46"/>
      <c r="I1870" s="46"/>
      <c r="J1870" s="43"/>
      <c r="K1870" s="43"/>
      <c r="L1870" s="43"/>
    </row>
    <row r="1871">
      <c r="A1871" s="34"/>
      <c r="G1871" s="46"/>
      <c r="H1871" s="46"/>
      <c r="I1871" s="46"/>
      <c r="J1871" s="43"/>
      <c r="K1871" s="43"/>
      <c r="L1871" s="43"/>
    </row>
    <row r="1872">
      <c r="A1872" s="34"/>
      <c r="G1872" s="46"/>
      <c r="H1872" s="46"/>
      <c r="I1872" s="46"/>
      <c r="J1872" s="43"/>
      <c r="K1872" s="43"/>
      <c r="L1872" s="43"/>
    </row>
    <row r="1873">
      <c r="A1873" s="34"/>
      <c r="G1873" s="46"/>
      <c r="H1873" s="46"/>
      <c r="I1873" s="46"/>
      <c r="J1873" s="43"/>
      <c r="K1873" s="43"/>
      <c r="L1873" s="43"/>
    </row>
    <row r="1874">
      <c r="A1874" s="34"/>
      <c r="G1874" s="46"/>
      <c r="H1874" s="46"/>
      <c r="I1874" s="46"/>
      <c r="J1874" s="43"/>
      <c r="K1874" s="43"/>
      <c r="L1874" s="43"/>
    </row>
    <row r="1875">
      <c r="A1875" s="34"/>
      <c r="G1875" s="46"/>
      <c r="H1875" s="46"/>
      <c r="I1875" s="46"/>
      <c r="J1875" s="43"/>
      <c r="K1875" s="43"/>
      <c r="L1875" s="43"/>
    </row>
    <row r="1876">
      <c r="A1876" s="34"/>
      <c r="G1876" s="46"/>
      <c r="H1876" s="46"/>
      <c r="I1876" s="46"/>
      <c r="J1876" s="43"/>
      <c r="K1876" s="43"/>
      <c r="L1876" s="43"/>
    </row>
    <row r="1877">
      <c r="A1877" s="34"/>
      <c r="G1877" s="46"/>
      <c r="H1877" s="46"/>
      <c r="I1877" s="46"/>
      <c r="J1877" s="43"/>
      <c r="K1877" s="43"/>
      <c r="L1877" s="43"/>
    </row>
    <row r="1878">
      <c r="A1878" s="34"/>
      <c r="G1878" s="46"/>
      <c r="H1878" s="46"/>
      <c r="I1878" s="46"/>
      <c r="J1878" s="43"/>
      <c r="K1878" s="43"/>
      <c r="L1878" s="43"/>
    </row>
    <row r="1879">
      <c r="A1879" s="34"/>
      <c r="G1879" s="46"/>
      <c r="H1879" s="46"/>
      <c r="I1879" s="46"/>
      <c r="J1879" s="43"/>
      <c r="K1879" s="43"/>
      <c r="L1879" s="43"/>
    </row>
    <row r="1880">
      <c r="A1880" s="34"/>
      <c r="G1880" s="46"/>
      <c r="H1880" s="46"/>
      <c r="I1880" s="46"/>
      <c r="J1880" s="43"/>
      <c r="K1880" s="43"/>
      <c r="L1880" s="43"/>
    </row>
    <row r="1881">
      <c r="A1881" s="34"/>
      <c r="G1881" s="46"/>
      <c r="H1881" s="46"/>
      <c r="I1881" s="46"/>
      <c r="J1881" s="43"/>
      <c r="K1881" s="43"/>
      <c r="L1881" s="43"/>
    </row>
    <row r="1882">
      <c r="A1882" s="34"/>
      <c r="G1882" s="46"/>
      <c r="H1882" s="46"/>
      <c r="I1882" s="46"/>
      <c r="J1882" s="43"/>
      <c r="K1882" s="43"/>
      <c r="L1882" s="43"/>
    </row>
    <row r="1883">
      <c r="A1883" s="34"/>
      <c r="G1883" s="46"/>
      <c r="H1883" s="46"/>
      <c r="I1883" s="46"/>
      <c r="J1883" s="43"/>
      <c r="K1883" s="43"/>
      <c r="L1883" s="43"/>
    </row>
    <row r="1884">
      <c r="A1884" s="34"/>
      <c r="G1884" s="46"/>
      <c r="H1884" s="46"/>
      <c r="I1884" s="46"/>
      <c r="J1884" s="43"/>
      <c r="K1884" s="43"/>
      <c r="L1884" s="43"/>
    </row>
    <row r="1885">
      <c r="A1885" s="34"/>
      <c r="G1885" s="46"/>
      <c r="H1885" s="46"/>
      <c r="I1885" s="46"/>
      <c r="J1885" s="43"/>
      <c r="K1885" s="43"/>
      <c r="L1885" s="43"/>
    </row>
    <row r="1886">
      <c r="A1886" s="34"/>
      <c r="G1886" s="46"/>
      <c r="H1886" s="46"/>
      <c r="I1886" s="46"/>
      <c r="J1886" s="43"/>
      <c r="K1886" s="43"/>
      <c r="L1886" s="43"/>
    </row>
    <row r="1887">
      <c r="A1887" s="34"/>
      <c r="G1887" s="46"/>
      <c r="H1887" s="46"/>
      <c r="I1887" s="46"/>
      <c r="J1887" s="43"/>
      <c r="K1887" s="43"/>
      <c r="L1887" s="43"/>
    </row>
    <row r="1888">
      <c r="A1888" s="34"/>
      <c r="G1888" s="46"/>
      <c r="H1888" s="46"/>
      <c r="I1888" s="46"/>
      <c r="J1888" s="43"/>
      <c r="K1888" s="43"/>
      <c r="L1888" s="43"/>
    </row>
    <row r="1889">
      <c r="A1889" s="34"/>
      <c r="G1889" s="46"/>
      <c r="H1889" s="46"/>
      <c r="I1889" s="46"/>
      <c r="J1889" s="43"/>
      <c r="K1889" s="43"/>
      <c r="L1889" s="43"/>
    </row>
    <row r="1890">
      <c r="A1890" s="34"/>
      <c r="G1890" s="46"/>
      <c r="H1890" s="46"/>
      <c r="I1890" s="46"/>
      <c r="J1890" s="43"/>
      <c r="K1890" s="43"/>
      <c r="L1890" s="43"/>
    </row>
    <row r="1891">
      <c r="A1891" s="34"/>
      <c r="G1891" s="46"/>
      <c r="H1891" s="46"/>
      <c r="I1891" s="46"/>
      <c r="J1891" s="43"/>
      <c r="K1891" s="43"/>
      <c r="L1891" s="43"/>
    </row>
    <row r="1892">
      <c r="A1892" s="34"/>
      <c r="G1892" s="46"/>
      <c r="H1892" s="46"/>
      <c r="I1892" s="46"/>
      <c r="J1892" s="43"/>
      <c r="K1892" s="43"/>
      <c r="L1892" s="43"/>
    </row>
    <row r="1893">
      <c r="A1893" s="34"/>
      <c r="G1893" s="46"/>
      <c r="H1893" s="46"/>
      <c r="I1893" s="46"/>
      <c r="J1893" s="43"/>
      <c r="K1893" s="43"/>
      <c r="L1893" s="43"/>
    </row>
    <row r="1894">
      <c r="A1894" s="34"/>
      <c r="G1894" s="46"/>
      <c r="H1894" s="46"/>
      <c r="I1894" s="46"/>
      <c r="J1894" s="43"/>
      <c r="K1894" s="43"/>
      <c r="L1894" s="43"/>
    </row>
    <row r="1895">
      <c r="A1895" s="34"/>
      <c r="G1895" s="46"/>
      <c r="H1895" s="46"/>
      <c r="I1895" s="46"/>
      <c r="J1895" s="43"/>
      <c r="K1895" s="43"/>
      <c r="L1895" s="43"/>
    </row>
    <row r="1896">
      <c r="A1896" s="34"/>
      <c r="G1896" s="46"/>
      <c r="H1896" s="46"/>
      <c r="I1896" s="46"/>
      <c r="J1896" s="43"/>
      <c r="K1896" s="43"/>
      <c r="L1896" s="43"/>
    </row>
    <row r="1897">
      <c r="A1897" s="34"/>
      <c r="G1897" s="46"/>
      <c r="H1897" s="46"/>
      <c r="I1897" s="46"/>
      <c r="J1897" s="43"/>
      <c r="K1897" s="43"/>
      <c r="L1897" s="43"/>
    </row>
    <row r="1898">
      <c r="A1898" s="34"/>
      <c r="G1898" s="46"/>
      <c r="H1898" s="46"/>
      <c r="I1898" s="46"/>
      <c r="J1898" s="43"/>
      <c r="K1898" s="43"/>
      <c r="L1898" s="43"/>
    </row>
    <row r="1899">
      <c r="A1899" s="34"/>
      <c r="G1899" s="46"/>
      <c r="H1899" s="46"/>
      <c r="I1899" s="46"/>
      <c r="J1899" s="43"/>
      <c r="K1899" s="43"/>
      <c r="L1899" s="43"/>
    </row>
    <row r="1900">
      <c r="A1900" s="34"/>
      <c r="G1900" s="46"/>
      <c r="H1900" s="46"/>
      <c r="I1900" s="46"/>
      <c r="J1900" s="43"/>
      <c r="K1900" s="43"/>
      <c r="L1900" s="43"/>
    </row>
    <row r="1901">
      <c r="A1901" s="34"/>
      <c r="G1901" s="46"/>
      <c r="H1901" s="46"/>
      <c r="I1901" s="46"/>
      <c r="J1901" s="43"/>
      <c r="K1901" s="43"/>
      <c r="L1901" s="43"/>
    </row>
    <row r="1902">
      <c r="A1902" s="34"/>
      <c r="G1902" s="46"/>
      <c r="H1902" s="46"/>
      <c r="I1902" s="46"/>
      <c r="J1902" s="43"/>
      <c r="K1902" s="43"/>
      <c r="L1902" s="43"/>
    </row>
    <row r="1903">
      <c r="A1903" s="34"/>
      <c r="G1903" s="46"/>
      <c r="H1903" s="46"/>
      <c r="I1903" s="46"/>
      <c r="J1903" s="43"/>
      <c r="K1903" s="43"/>
      <c r="L1903" s="43"/>
    </row>
    <row r="1904">
      <c r="A1904" s="34"/>
      <c r="G1904" s="46"/>
      <c r="H1904" s="46"/>
      <c r="I1904" s="46"/>
      <c r="J1904" s="43"/>
      <c r="K1904" s="43"/>
      <c r="L1904" s="43"/>
    </row>
    <row r="1905">
      <c r="A1905" s="34"/>
      <c r="G1905" s="46"/>
      <c r="H1905" s="46"/>
      <c r="I1905" s="46"/>
      <c r="J1905" s="43"/>
      <c r="K1905" s="43"/>
      <c r="L1905" s="43"/>
    </row>
    <row r="1906">
      <c r="A1906" s="34"/>
      <c r="G1906" s="46"/>
      <c r="H1906" s="46"/>
      <c r="I1906" s="46"/>
      <c r="J1906" s="43"/>
      <c r="K1906" s="43"/>
      <c r="L1906" s="43"/>
    </row>
    <row r="1907">
      <c r="A1907" s="34"/>
      <c r="G1907" s="46"/>
      <c r="H1907" s="46"/>
      <c r="I1907" s="46"/>
      <c r="J1907" s="43"/>
      <c r="K1907" s="43"/>
      <c r="L1907" s="43"/>
    </row>
    <row r="1908">
      <c r="A1908" s="34"/>
      <c r="G1908" s="46"/>
      <c r="H1908" s="46"/>
      <c r="I1908" s="46"/>
      <c r="J1908" s="43"/>
      <c r="K1908" s="43"/>
      <c r="L1908" s="43"/>
    </row>
    <row r="1909">
      <c r="A1909" s="34"/>
      <c r="G1909" s="46"/>
      <c r="H1909" s="46"/>
      <c r="I1909" s="46"/>
      <c r="J1909" s="43"/>
      <c r="K1909" s="43"/>
      <c r="L1909" s="43"/>
    </row>
    <row r="1910">
      <c r="A1910" s="34"/>
      <c r="G1910" s="46"/>
      <c r="H1910" s="46"/>
      <c r="I1910" s="46"/>
      <c r="J1910" s="43"/>
      <c r="K1910" s="43"/>
      <c r="L1910" s="43"/>
    </row>
    <row r="1911">
      <c r="A1911" s="34"/>
      <c r="G1911" s="46"/>
      <c r="H1911" s="46"/>
      <c r="I1911" s="46"/>
      <c r="J1911" s="43"/>
      <c r="K1911" s="43"/>
      <c r="L1911" s="43"/>
    </row>
    <row r="1912">
      <c r="A1912" s="34"/>
      <c r="G1912" s="46"/>
      <c r="H1912" s="46"/>
      <c r="I1912" s="46"/>
      <c r="J1912" s="43"/>
      <c r="K1912" s="43"/>
      <c r="L1912" s="43"/>
    </row>
    <row r="1913">
      <c r="A1913" s="34"/>
      <c r="G1913" s="46"/>
      <c r="H1913" s="46"/>
      <c r="I1913" s="46"/>
      <c r="J1913" s="43"/>
      <c r="K1913" s="43"/>
      <c r="L1913" s="43"/>
    </row>
    <row r="1914">
      <c r="A1914" s="34"/>
      <c r="G1914" s="46"/>
      <c r="H1914" s="46"/>
      <c r="I1914" s="46"/>
      <c r="J1914" s="43"/>
      <c r="K1914" s="43"/>
      <c r="L1914" s="43"/>
    </row>
    <row r="1915">
      <c r="A1915" s="34"/>
      <c r="G1915" s="46"/>
      <c r="H1915" s="46"/>
      <c r="I1915" s="46"/>
      <c r="J1915" s="43"/>
      <c r="K1915" s="43"/>
      <c r="L1915" s="43"/>
    </row>
    <row r="1916">
      <c r="A1916" s="34"/>
      <c r="G1916" s="46"/>
      <c r="H1916" s="46"/>
      <c r="I1916" s="46"/>
      <c r="J1916" s="43"/>
      <c r="K1916" s="43"/>
      <c r="L1916" s="43"/>
    </row>
    <row r="1917">
      <c r="A1917" s="34"/>
      <c r="G1917" s="46"/>
      <c r="H1917" s="46"/>
      <c r="I1917" s="46"/>
      <c r="J1917" s="43"/>
      <c r="K1917" s="43"/>
      <c r="L1917" s="43"/>
    </row>
    <row r="1918">
      <c r="A1918" s="34"/>
      <c r="G1918" s="46"/>
      <c r="H1918" s="46"/>
      <c r="I1918" s="46"/>
      <c r="J1918" s="43"/>
      <c r="K1918" s="43"/>
      <c r="L1918" s="43"/>
    </row>
    <row r="1919">
      <c r="A1919" s="34"/>
      <c r="G1919" s="46"/>
      <c r="H1919" s="46"/>
      <c r="I1919" s="46"/>
      <c r="J1919" s="43"/>
      <c r="K1919" s="43"/>
      <c r="L1919" s="43"/>
    </row>
    <row r="1920">
      <c r="A1920" s="34"/>
      <c r="G1920" s="46"/>
      <c r="H1920" s="46"/>
      <c r="I1920" s="46"/>
      <c r="J1920" s="43"/>
      <c r="K1920" s="43"/>
      <c r="L1920" s="43"/>
    </row>
    <row r="1921">
      <c r="A1921" s="34"/>
      <c r="G1921" s="46"/>
      <c r="H1921" s="46"/>
      <c r="I1921" s="46"/>
      <c r="J1921" s="43"/>
      <c r="K1921" s="43"/>
      <c r="L1921" s="43"/>
    </row>
    <row r="1922">
      <c r="A1922" s="34"/>
      <c r="G1922" s="46"/>
      <c r="H1922" s="46"/>
      <c r="I1922" s="46"/>
      <c r="J1922" s="43"/>
      <c r="K1922" s="43"/>
      <c r="L1922" s="43"/>
    </row>
    <row r="1923">
      <c r="A1923" s="34"/>
      <c r="G1923" s="46"/>
      <c r="H1923" s="46"/>
      <c r="I1923" s="46"/>
      <c r="J1923" s="43"/>
      <c r="K1923" s="43"/>
      <c r="L1923" s="43"/>
    </row>
    <row r="1924">
      <c r="A1924" s="34"/>
      <c r="G1924" s="46"/>
      <c r="H1924" s="46"/>
      <c r="I1924" s="46"/>
      <c r="J1924" s="43"/>
      <c r="K1924" s="43"/>
      <c r="L1924" s="43"/>
    </row>
    <row r="1925">
      <c r="A1925" s="34"/>
      <c r="G1925" s="46"/>
      <c r="H1925" s="46"/>
      <c r="I1925" s="46"/>
      <c r="J1925" s="43"/>
      <c r="K1925" s="43"/>
      <c r="L1925" s="43"/>
    </row>
    <row r="1926">
      <c r="A1926" s="34"/>
      <c r="G1926" s="46"/>
      <c r="H1926" s="46"/>
      <c r="I1926" s="46"/>
      <c r="J1926" s="43"/>
      <c r="K1926" s="43"/>
      <c r="L1926" s="43"/>
    </row>
    <row r="1927">
      <c r="A1927" s="34"/>
      <c r="G1927" s="46"/>
      <c r="H1927" s="46"/>
      <c r="I1927" s="46"/>
      <c r="J1927" s="43"/>
      <c r="K1927" s="43"/>
      <c r="L1927" s="43"/>
    </row>
    <row r="1928">
      <c r="A1928" s="34"/>
      <c r="G1928" s="46"/>
      <c r="H1928" s="46"/>
      <c r="I1928" s="46"/>
      <c r="J1928" s="43"/>
      <c r="K1928" s="43"/>
      <c r="L1928" s="43"/>
    </row>
    <row r="1929">
      <c r="A1929" s="34"/>
      <c r="G1929" s="46"/>
      <c r="H1929" s="46"/>
      <c r="I1929" s="46"/>
      <c r="J1929" s="43"/>
      <c r="K1929" s="43"/>
      <c r="L1929" s="43"/>
    </row>
    <row r="1930">
      <c r="G1930" s="46"/>
      <c r="H1930" s="46"/>
      <c r="I1930" s="46"/>
      <c r="J1930" s="43"/>
      <c r="K1930" s="43"/>
      <c r="L1930" s="43"/>
    </row>
    <row r="1931">
      <c r="G1931" s="46"/>
      <c r="H1931" s="46"/>
      <c r="I1931" s="46"/>
      <c r="J1931" s="43"/>
      <c r="K1931" s="43"/>
      <c r="L1931" s="43"/>
    </row>
    <row r="1932">
      <c r="G1932" s="46"/>
      <c r="H1932" s="46"/>
      <c r="I1932" s="46"/>
      <c r="J1932" s="43"/>
      <c r="K1932" s="43"/>
      <c r="L1932" s="43"/>
    </row>
    <row r="1933">
      <c r="G1933" s="46"/>
      <c r="H1933" s="46"/>
      <c r="I1933" s="46"/>
      <c r="J1933" s="43"/>
      <c r="K1933" s="43"/>
      <c r="L1933" s="43"/>
    </row>
    <row r="1934">
      <c r="G1934" s="46"/>
      <c r="H1934" s="46"/>
      <c r="I1934" s="46"/>
      <c r="J1934" s="43"/>
      <c r="K1934" s="43"/>
      <c r="L1934" s="43"/>
    </row>
    <row r="1935">
      <c r="G1935" s="46"/>
      <c r="H1935" s="46"/>
      <c r="I1935" s="46"/>
      <c r="J1935" s="43"/>
      <c r="K1935" s="43"/>
      <c r="L1935" s="43"/>
    </row>
    <row r="1936">
      <c r="G1936" s="46"/>
      <c r="H1936" s="46"/>
      <c r="I1936" s="46"/>
      <c r="J1936" s="43"/>
      <c r="K1936" s="43"/>
      <c r="L1936" s="43"/>
    </row>
    <row r="1937">
      <c r="G1937" s="46"/>
      <c r="H1937" s="46"/>
      <c r="I1937" s="46"/>
      <c r="J1937" s="43"/>
      <c r="K1937" s="43"/>
      <c r="L1937" s="43"/>
    </row>
    <row r="1938">
      <c r="G1938" s="46"/>
      <c r="H1938" s="46"/>
      <c r="I1938" s="46"/>
      <c r="J1938" s="43"/>
      <c r="K1938" s="43"/>
      <c r="L1938" s="43"/>
    </row>
    <row r="1939">
      <c r="G1939" s="46"/>
      <c r="H1939" s="46"/>
      <c r="I1939" s="46"/>
      <c r="J1939" s="43"/>
      <c r="K1939" s="43"/>
      <c r="L1939" s="43"/>
    </row>
    <row r="1940">
      <c r="G1940" s="46"/>
      <c r="H1940" s="46"/>
      <c r="I1940" s="46"/>
      <c r="J1940" s="43"/>
      <c r="K1940" s="43"/>
      <c r="L1940" s="43"/>
    </row>
    <row r="1941">
      <c r="G1941" s="46"/>
      <c r="H1941" s="46"/>
      <c r="I1941" s="46"/>
      <c r="J1941" s="43"/>
      <c r="K1941" s="43"/>
      <c r="L1941" s="43"/>
    </row>
    <row r="1942">
      <c r="G1942" s="46"/>
      <c r="H1942" s="46"/>
      <c r="I1942" s="46"/>
      <c r="J1942" s="43"/>
      <c r="K1942" s="43"/>
      <c r="L1942" s="43"/>
    </row>
    <row r="1943">
      <c r="G1943" s="46"/>
      <c r="H1943" s="46"/>
      <c r="I1943" s="46"/>
      <c r="J1943" s="43"/>
      <c r="K1943" s="43"/>
      <c r="L1943" s="43"/>
    </row>
    <row r="1944">
      <c r="G1944" s="46"/>
      <c r="H1944" s="46"/>
      <c r="I1944" s="46"/>
      <c r="J1944" s="43"/>
      <c r="K1944" s="43"/>
      <c r="L1944" s="43"/>
    </row>
    <row r="1945">
      <c r="G1945" s="46"/>
      <c r="H1945" s="46"/>
      <c r="I1945" s="46"/>
      <c r="J1945" s="43"/>
      <c r="K1945" s="43"/>
      <c r="L1945" s="43"/>
    </row>
    <row r="1946">
      <c r="G1946" s="46"/>
      <c r="H1946" s="46"/>
      <c r="I1946" s="46"/>
      <c r="J1946" s="43"/>
      <c r="K1946" s="43"/>
      <c r="L1946" s="43"/>
    </row>
    <row r="1947">
      <c r="G1947" s="46"/>
      <c r="H1947" s="46"/>
      <c r="I1947" s="46"/>
      <c r="J1947" s="43"/>
      <c r="K1947" s="43"/>
      <c r="L1947" s="43"/>
    </row>
    <row r="1948">
      <c r="G1948" s="46"/>
      <c r="H1948" s="46"/>
      <c r="I1948" s="46"/>
      <c r="J1948" s="43"/>
      <c r="K1948" s="43"/>
      <c r="L1948" s="43"/>
    </row>
    <row r="1949">
      <c r="G1949" s="46"/>
      <c r="H1949" s="46"/>
      <c r="I1949" s="46"/>
      <c r="J1949" s="43"/>
      <c r="K1949" s="43"/>
      <c r="L1949" s="43"/>
    </row>
    <row r="1950">
      <c r="G1950" s="46"/>
      <c r="H1950" s="46"/>
      <c r="I1950" s="46"/>
      <c r="J1950" s="43"/>
      <c r="K1950" s="43"/>
      <c r="L1950" s="43"/>
    </row>
    <row r="1951">
      <c r="G1951" s="46"/>
      <c r="H1951" s="46"/>
      <c r="I1951" s="46"/>
      <c r="J1951" s="43"/>
      <c r="K1951" s="43"/>
      <c r="L1951" s="43"/>
    </row>
    <row r="1952">
      <c r="G1952" s="46"/>
      <c r="H1952" s="46"/>
      <c r="I1952" s="46"/>
      <c r="J1952" s="43"/>
      <c r="K1952" s="43"/>
      <c r="L1952" s="43"/>
    </row>
    <row r="1953">
      <c r="G1953" s="46"/>
      <c r="H1953" s="46"/>
      <c r="I1953" s="46"/>
      <c r="J1953" s="43"/>
      <c r="K1953" s="43"/>
      <c r="L1953" s="43"/>
    </row>
    <row r="1954">
      <c r="G1954" s="46"/>
      <c r="H1954" s="46"/>
      <c r="I1954" s="46"/>
      <c r="J1954" s="43"/>
      <c r="K1954" s="43"/>
      <c r="L1954" s="43"/>
    </row>
    <row r="1955">
      <c r="G1955" s="46"/>
      <c r="H1955" s="46"/>
      <c r="I1955" s="46"/>
      <c r="J1955" s="43"/>
      <c r="K1955" s="43"/>
      <c r="L1955" s="43"/>
    </row>
    <row r="1956">
      <c r="G1956" s="46"/>
      <c r="H1956" s="46"/>
      <c r="I1956" s="46"/>
      <c r="J1956" s="43"/>
      <c r="K1956" s="43"/>
      <c r="L1956" s="43"/>
    </row>
    <row r="1957">
      <c r="G1957" s="46"/>
      <c r="H1957" s="46"/>
      <c r="I1957" s="46"/>
      <c r="J1957" s="43"/>
      <c r="K1957" s="43"/>
      <c r="L1957" s="43"/>
    </row>
    <row r="1958">
      <c r="G1958" s="46"/>
      <c r="H1958" s="46"/>
      <c r="I1958" s="46"/>
      <c r="J1958" s="43"/>
      <c r="K1958" s="43"/>
      <c r="L1958" s="43"/>
    </row>
    <row r="1959">
      <c r="G1959" s="46"/>
      <c r="H1959" s="46"/>
      <c r="I1959" s="46"/>
      <c r="J1959" s="43"/>
      <c r="K1959" s="43"/>
      <c r="L1959" s="43"/>
    </row>
    <row r="1960">
      <c r="G1960" s="46"/>
      <c r="H1960" s="46"/>
      <c r="I1960" s="46"/>
      <c r="J1960" s="43"/>
      <c r="K1960" s="43"/>
      <c r="L1960" s="43"/>
    </row>
    <row r="1961">
      <c r="G1961" s="46"/>
      <c r="H1961" s="46"/>
      <c r="I1961" s="46"/>
      <c r="J1961" s="43"/>
      <c r="K1961" s="43"/>
      <c r="L1961" s="43"/>
    </row>
    <row r="1962">
      <c r="G1962" s="46"/>
      <c r="H1962" s="46"/>
      <c r="I1962" s="46"/>
      <c r="J1962" s="43"/>
      <c r="K1962" s="43"/>
      <c r="L1962" s="43"/>
    </row>
    <row r="1963">
      <c r="G1963" s="46"/>
      <c r="H1963" s="46"/>
      <c r="I1963" s="46"/>
      <c r="J1963" s="43"/>
      <c r="K1963" s="43"/>
      <c r="L1963" s="43"/>
    </row>
    <row r="1964">
      <c r="G1964" s="46"/>
      <c r="H1964" s="46"/>
      <c r="I1964" s="46"/>
      <c r="J1964" s="43"/>
      <c r="K1964" s="43"/>
      <c r="L1964" s="43"/>
    </row>
    <row r="1965">
      <c r="G1965" s="46"/>
      <c r="H1965" s="46"/>
      <c r="I1965" s="46"/>
      <c r="J1965" s="43"/>
      <c r="K1965" s="43"/>
      <c r="L1965" s="43"/>
    </row>
    <row r="1966">
      <c r="G1966" s="46"/>
      <c r="H1966" s="46"/>
      <c r="I1966" s="46"/>
      <c r="J1966" s="43"/>
      <c r="K1966" s="43"/>
      <c r="L1966" s="43"/>
    </row>
    <row r="1967">
      <c r="G1967" s="46"/>
      <c r="H1967" s="46"/>
      <c r="I1967" s="46"/>
      <c r="J1967" s="43"/>
      <c r="K1967" s="43"/>
      <c r="L1967" s="43"/>
    </row>
    <row r="1968">
      <c r="G1968" s="46"/>
      <c r="H1968" s="46"/>
      <c r="I1968" s="46"/>
      <c r="J1968" s="43"/>
      <c r="K1968" s="43"/>
      <c r="L1968" s="43"/>
    </row>
    <row r="1969">
      <c r="G1969" s="46"/>
      <c r="H1969" s="46"/>
      <c r="I1969" s="46"/>
      <c r="J1969" s="43"/>
      <c r="K1969" s="43"/>
      <c r="L1969" s="43"/>
    </row>
    <row r="1970">
      <c r="G1970" s="46"/>
      <c r="H1970" s="46"/>
      <c r="I1970" s="46"/>
      <c r="J1970" s="43"/>
      <c r="K1970" s="43"/>
      <c r="L1970" s="43"/>
    </row>
    <row r="1971">
      <c r="G1971" s="46"/>
      <c r="H1971" s="46"/>
      <c r="I1971" s="46"/>
      <c r="J1971" s="43"/>
      <c r="K1971" s="43"/>
      <c r="L1971" s="43"/>
    </row>
    <row r="1972">
      <c r="G1972" s="46"/>
      <c r="H1972" s="46"/>
      <c r="I1972" s="46"/>
      <c r="J1972" s="43"/>
      <c r="K1972" s="43"/>
      <c r="L1972" s="43"/>
    </row>
    <row r="1973">
      <c r="G1973" s="46"/>
      <c r="H1973" s="46"/>
      <c r="I1973" s="46"/>
      <c r="J1973" s="43"/>
      <c r="K1973" s="43"/>
      <c r="L1973" s="43"/>
    </row>
    <row r="1974">
      <c r="G1974" s="46"/>
      <c r="H1974" s="46"/>
      <c r="I1974" s="46"/>
      <c r="J1974" s="43"/>
      <c r="K1974" s="43"/>
      <c r="L1974" s="43"/>
    </row>
    <row r="1975">
      <c r="G1975" s="46"/>
      <c r="H1975" s="46"/>
      <c r="I1975" s="46"/>
      <c r="J1975" s="43"/>
      <c r="K1975" s="43"/>
      <c r="L1975" s="43"/>
    </row>
    <row r="1976">
      <c r="G1976" s="46"/>
      <c r="H1976" s="46"/>
      <c r="I1976" s="46"/>
      <c r="J1976" s="43"/>
      <c r="K1976" s="43"/>
      <c r="L1976" s="43"/>
    </row>
    <row r="1977">
      <c r="G1977" s="46"/>
      <c r="H1977" s="46"/>
      <c r="I1977" s="46"/>
      <c r="J1977" s="43"/>
      <c r="K1977" s="43"/>
      <c r="L1977" s="43"/>
    </row>
    <row r="1978">
      <c r="G1978" s="46"/>
      <c r="H1978" s="46"/>
      <c r="I1978" s="46"/>
      <c r="J1978" s="43"/>
      <c r="K1978" s="43"/>
      <c r="L1978" s="43"/>
    </row>
    <row r="1979">
      <c r="G1979" s="46"/>
      <c r="H1979" s="46"/>
      <c r="I1979" s="46"/>
      <c r="J1979" s="43"/>
      <c r="K1979" s="43"/>
      <c r="L1979" s="43"/>
    </row>
    <row r="1980">
      <c r="G1980" s="46"/>
      <c r="H1980" s="46"/>
      <c r="I1980" s="46"/>
      <c r="J1980" s="43"/>
      <c r="K1980" s="43"/>
      <c r="L1980" s="43"/>
    </row>
    <row r="1981">
      <c r="G1981" s="46"/>
      <c r="H1981" s="46"/>
      <c r="I1981" s="46"/>
      <c r="J1981" s="43"/>
      <c r="K1981" s="43"/>
      <c r="L1981" s="43"/>
    </row>
    <row r="1982">
      <c r="G1982" s="46"/>
      <c r="H1982" s="46"/>
      <c r="I1982" s="46"/>
      <c r="J1982" s="43"/>
      <c r="K1982" s="43"/>
      <c r="L1982" s="43"/>
    </row>
    <row r="1983">
      <c r="G1983" s="46"/>
      <c r="H1983" s="46"/>
      <c r="I1983" s="46"/>
      <c r="J1983" s="43"/>
      <c r="K1983" s="43"/>
      <c r="L1983" s="43"/>
    </row>
    <row r="1984">
      <c r="G1984" s="46"/>
      <c r="H1984" s="46"/>
      <c r="I1984" s="46"/>
      <c r="J1984" s="43"/>
      <c r="K1984" s="43"/>
      <c r="L1984" s="43"/>
    </row>
    <row r="1985">
      <c r="G1985" s="46"/>
      <c r="H1985" s="46"/>
      <c r="I1985" s="46"/>
      <c r="J1985" s="43"/>
      <c r="K1985" s="43"/>
      <c r="L1985" s="43"/>
    </row>
    <row r="1986">
      <c r="G1986" s="46"/>
      <c r="H1986" s="46"/>
      <c r="I1986" s="46"/>
      <c r="J1986" s="43"/>
      <c r="K1986" s="43"/>
      <c r="L1986" s="43"/>
    </row>
    <row r="1987">
      <c r="G1987" s="46"/>
      <c r="H1987" s="46"/>
      <c r="I1987" s="46"/>
      <c r="J1987" s="43"/>
      <c r="K1987" s="43"/>
      <c r="L1987" s="43"/>
    </row>
    <row r="1988">
      <c r="G1988" s="46"/>
      <c r="H1988" s="46"/>
      <c r="I1988" s="46"/>
      <c r="J1988" s="43"/>
      <c r="K1988" s="43"/>
      <c r="L1988" s="43"/>
    </row>
    <row r="1989">
      <c r="G1989" s="46"/>
      <c r="H1989" s="46"/>
      <c r="I1989" s="46"/>
      <c r="J1989" s="43"/>
      <c r="K1989" s="43"/>
      <c r="L1989" s="43"/>
    </row>
    <row r="1990">
      <c r="G1990" s="46"/>
      <c r="H1990" s="46"/>
      <c r="I1990" s="46"/>
      <c r="J1990" s="43"/>
      <c r="K1990" s="43"/>
      <c r="L1990" s="43"/>
    </row>
    <row r="1991">
      <c r="G1991" s="46"/>
      <c r="H1991" s="46"/>
      <c r="I1991" s="46"/>
      <c r="J1991" s="43"/>
      <c r="K1991" s="43"/>
      <c r="L1991" s="43"/>
    </row>
    <row r="1992">
      <c r="G1992" s="46"/>
      <c r="H1992" s="46"/>
      <c r="I1992" s="46"/>
      <c r="J1992" s="43"/>
      <c r="K1992" s="43"/>
      <c r="L1992" s="43"/>
    </row>
    <row r="1993">
      <c r="G1993" s="46"/>
      <c r="H1993" s="46"/>
      <c r="I1993" s="46"/>
      <c r="J1993" s="43"/>
      <c r="K1993" s="43"/>
      <c r="L1993" s="43"/>
    </row>
    <row r="1994">
      <c r="G1994" s="46"/>
      <c r="H1994" s="46"/>
      <c r="I1994" s="46"/>
      <c r="J1994" s="43"/>
      <c r="K1994" s="43"/>
      <c r="L1994" s="43"/>
    </row>
    <row r="1995">
      <c r="G1995" s="46"/>
      <c r="H1995" s="46"/>
      <c r="I1995" s="46"/>
      <c r="J1995" s="43"/>
      <c r="K1995" s="43"/>
      <c r="L1995" s="43"/>
    </row>
    <row r="1996">
      <c r="G1996" s="46"/>
      <c r="H1996" s="46"/>
      <c r="I1996" s="46"/>
      <c r="J1996" s="43"/>
      <c r="K1996" s="43"/>
      <c r="L1996" s="43"/>
    </row>
    <row r="1997">
      <c r="G1997" s="46"/>
      <c r="H1997" s="46"/>
      <c r="I1997" s="46"/>
      <c r="J1997" s="43"/>
      <c r="K1997" s="43"/>
      <c r="L1997" s="43"/>
    </row>
    <row r="1998">
      <c r="G1998" s="46"/>
      <c r="H1998" s="46"/>
      <c r="I1998" s="46"/>
      <c r="J1998" s="43"/>
      <c r="K1998" s="43"/>
      <c r="L1998" s="43"/>
    </row>
    <row r="1999">
      <c r="G1999" s="46"/>
      <c r="H1999" s="46"/>
      <c r="I1999" s="46"/>
      <c r="J1999" s="43"/>
      <c r="K1999" s="43"/>
      <c r="L1999" s="43"/>
    </row>
    <row r="2000">
      <c r="G2000" s="46"/>
      <c r="H2000" s="46"/>
      <c r="I2000" s="46"/>
      <c r="J2000" s="43"/>
      <c r="K2000" s="43"/>
      <c r="L2000" s="43"/>
    </row>
    <row r="2001">
      <c r="G2001" s="46"/>
      <c r="H2001" s="46"/>
      <c r="I2001" s="46"/>
      <c r="J2001" s="43"/>
      <c r="K2001" s="43"/>
      <c r="L2001" s="43"/>
    </row>
    <row r="2002">
      <c r="G2002" s="46"/>
      <c r="H2002" s="46"/>
      <c r="I2002" s="46"/>
      <c r="J2002" s="43"/>
      <c r="K2002" s="43"/>
      <c r="L2002" s="43"/>
    </row>
    <row r="2003">
      <c r="G2003" s="46"/>
      <c r="H2003" s="46"/>
      <c r="I2003" s="46"/>
      <c r="J2003" s="43"/>
      <c r="K2003" s="43"/>
      <c r="L2003" s="43"/>
    </row>
    <row r="2004">
      <c r="G2004" s="46"/>
      <c r="H2004" s="46"/>
      <c r="I2004" s="46"/>
      <c r="J2004" s="43"/>
      <c r="K2004" s="43"/>
      <c r="L2004" s="43"/>
    </row>
    <row r="2005">
      <c r="G2005" s="46"/>
      <c r="H2005" s="46"/>
      <c r="I2005" s="46"/>
      <c r="J2005" s="43"/>
      <c r="K2005" s="43"/>
      <c r="L2005" s="43"/>
    </row>
    <row r="2006">
      <c r="G2006" s="46"/>
      <c r="H2006" s="46"/>
      <c r="I2006" s="46"/>
      <c r="J2006" s="43"/>
      <c r="K2006" s="43"/>
      <c r="L2006" s="43"/>
    </row>
    <row r="2007">
      <c r="G2007" s="46"/>
      <c r="H2007" s="46"/>
      <c r="I2007" s="46"/>
      <c r="J2007" s="43"/>
      <c r="K2007" s="43"/>
      <c r="L2007" s="43"/>
    </row>
    <row r="2008">
      <c r="G2008" s="46"/>
      <c r="H2008" s="46"/>
      <c r="I2008" s="46"/>
      <c r="J2008" s="43"/>
      <c r="K2008" s="43"/>
      <c r="L2008" s="43"/>
    </row>
    <row r="2009">
      <c r="G2009" s="46"/>
      <c r="H2009" s="46"/>
      <c r="I2009" s="46"/>
      <c r="J2009" s="43"/>
      <c r="K2009" s="43"/>
      <c r="L2009" s="43"/>
    </row>
    <row r="2010">
      <c r="G2010" s="46"/>
      <c r="H2010" s="46"/>
      <c r="I2010" s="46"/>
      <c r="J2010" s="43"/>
      <c r="K2010" s="43"/>
      <c r="L2010" s="43"/>
    </row>
    <row r="2011">
      <c r="G2011" s="46"/>
      <c r="H2011" s="46"/>
      <c r="I2011" s="46"/>
      <c r="J2011" s="43"/>
      <c r="K2011" s="43"/>
      <c r="L2011" s="43"/>
    </row>
    <row r="2012">
      <c r="G2012" s="46"/>
      <c r="H2012" s="46"/>
      <c r="I2012" s="46"/>
      <c r="J2012" s="43"/>
      <c r="K2012" s="43"/>
      <c r="L2012" s="43"/>
    </row>
    <row r="2013">
      <c r="G2013" s="46"/>
      <c r="H2013" s="46"/>
      <c r="I2013" s="46"/>
      <c r="J2013" s="43"/>
      <c r="K2013" s="43"/>
      <c r="L2013" s="43"/>
    </row>
    <row r="2014">
      <c r="G2014" s="46"/>
      <c r="H2014" s="46"/>
      <c r="I2014" s="46"/>
      <c r="J2014" s="43"/>
      <c r="K2014" s="43"/>
      <c r="L2014" s="43"/>
    </row>
    <row r="2015">
      <c r="G2015" s="46"/>
      <c r="H2015" s="46"/>
      <c r="I2015" s="46"/>
      <c r="J2015" s="43"/>
      <c r="K2015" s="43"/>
      <c r="L2015" s="43"/>
    </row>
    <row r="2016">
      <c r="G2016" s="46"/>
      <c r="H2016" s="46"/>
      <c r="I2016" s="46"/>
      <c r="J2016" s="43"/>
      <c r="K2016" s="43"/>
      <c r="L2016" s="43"/>
    </row>
    <row r="2017">
      <c r="G2017" s="46"/>
      <c r="H2017" s="46"/>
      <c r="I2017" s="46"/>
      <c r="J2017" s="43"/>
      <c r="K2017" s="43"/>
      <c r="L2017" s="43"/>
    </row>
    <row r="2018">
      <c r="G2018" s="46"/>
      <c r="H2018" s="46"/>
      <c r="I2018" s="46"/>
      <c r="J2018" s="43"/>
      <c r="K2018" s="43"/>
      <c r="L2018" s="43"/>
    </row>
    <row r="2019">
      <c r="G2019" s="46"/>
      <c r="H2019" s="46"/>
      <c r="I2019" s="46"/>
      <c r="J2019" s="43"/>
      <c r="K2019" s="43"/>
      <c r="L2019" s="43"/>
    </row>
    <row r="2020">
      <c r="G2020" s="46"/>
      <c r="H2020" s="46"/>
      <c r="I2020" s="46"/>
      <c r="J2020" s="43"/>
      <c r="K2020" s="43"/>
      <c r="L2020" s="43"/>
    </row>
    <row r="2021">
      <c r="G2021" s="46"/>
      <c r="H2021" s="46"/>
      <c r="I2021" s="46"/>
      <c r="J2021" s="43"/>
      <c r="K2021" s="43"/>
      <c r="L2021" s="43"/>
    </row>
    <row r="2022">
      <c r="G2022" s="46"/>
      <c r="H2022" s="46"/>
      <c r="I2022" s="46"/>
      <c r="J2022" s="43"/>
      <c r="K2022" s="43"/>
      <c r="L2022" s="43"/>
    </row>
    <row r="2023">
      <c r="G2023" s="46"/>
      <c r="H2023" s="46"/>
      <c r="I2023" s="46"/>
      <c r="J2023" s="43"/>
      <c r="K2023" s="43"/>
      <c r="L2023" s="43"/>
    </row>
    <row r="2024">
      <c r="G2024" s="46"/>
      <c r="H2024" s="46"/>
      <c r="I2024" s="46"/>
      <c r="J2024" s="43"/>
      <c r="K2024" s="43"/>
      <c r="L2024" s="43"/>
    </row>
    <row r="2025">
      <c r="G2025" s="46"/>
      <c r="H2025" s="46"/>
      <c r="I2025" s="46"/>
      <c r="J2025" s="43"/>
      <c r="K2025" s="43"/>
      <c r="L2025" s="43"/>
    </row>
    <row r="2026">
      <c r="G2026" s="46"/>
      <c r="H2026" s="46"/>
      <c r="I2026" s="46"/>
      <c r="J2026" s="43"/>
      <c r="K2026" s="43"/>
      <c r="L2026" s="43"/>
    </row>
    <row r="2027">
      <c r="G2027" s="46"/>
      <c r="H2027" s="46"/>
      <c r="I2027" s="46"/>
      <c r="J2027" s="43"/>
      <c r="K2027" s="43"/>
      <c r="L2027" s="43"/>
    </row>
    <row r="2028">
      <c r="G2028" s="46"/>
      <c r="H2028" s="46"/>
      <c r="I2028" s="46"/>
      <c r="J2028" s="43"/>
      <c r="K2028" s="43"/>
      <c r="L2028" s="43"/>
    </row>
    <row r="2029">
      <c r="G2029" s="46"/>
      <c r="H2029" s="46"/>
      <c r="I2029" s="46"/>
      <c r="J2029" s="43"/>
      <c r="K2029" s="43"/>
      <c r="L2029" s="43"/>
    </row>
    <row r="2030">
      <c r="G2030" s="46"/>
      <c r="H2030" s="46"/>
      <c r="I2030" s="46"/>
      <c r="J2030" s="43"/>
      <c r="K2030" s="43"/>
      <c r="L2030" s="43"/>
    </row>
    <row r="2031">
      <c r="G2031" s="46"/>
      <c r="H2031" s="46"/>
      <c r="I2031" s="46"/>
      <c r="J2031" s="43"/>
      <c r="K2031" s="43"/>
      <c r="L2031" s="43"/>
    </row>
    <row r="2032">
      <c r="G2032" s="46"/>
      <c r="H2032" s="46"/>
      <c r="I2032" s="46"/>
      <c r="J2032" s="43"/>
      <c r="K2032" s="43"/>
      <c r="L2032" s="43"/>
    </row>
    <row r="2033">
      <c r="G2033" s="46"/>
      <c r="H2033" s="46"/>
      <c r="I2033" s="46"/>
      <c r="J2033" s="43"/>
      <c r="K2033" s="43"/>
      <c r="L2033" s="43"/>
    </row>
    <row r="2034">
      <c r="G2034" s="46"/>
      <c r="H2034" s="46"/>
      <c r="I2034" s="46"/>
      <c r="J2034" s="43"/>
      <c r="K2034" s="43"/>
      <c r="L2034" s="43"/>
    </row>
    <row r="2035">
      <c r="G2035" s="46"/>
      <c r="H2035" s="46"/>
      <c r="I2035" s="46"/>
      <c r="J2035" s="43"/>
      <c r="K2035" s="43"/>
      <c r="L2035" s="43"/>
    </row>
    <row r="2036">
      <c r="G2036" s="46"/>
      <c r="H2036" s="46"/>
      <c r="I2036" s="46"/>
      <c r="J2036" s="43"/>
      <c r="K2036" s="43"/>
      <c r="L2036" s="43"/>
    </row>
    <row r="2037">
      <c r="G2037" s="46"/>
      <c r="H2037" s="46"/>
      <c r="I2037" s="46"/>
      <c r="J2037" s="43"/>
      <c r="K2037" s="43"/>
      <c r="L2037" s="43"/>
    </row>
    <row r="2038">
      <c r="G2038" s="46"/>
      <c r="H2038" s="46"/>
      <c r="I2038" s="46"/>
      <c r="J2038" s="43"/>
      <c r="K2038" s="43"/>
      <c r="L2038" s="43"/>
    </row>
    <row r="2039">
      <c r="G2039" s="46"/>
      <c r="H2039" s="46"/>
      <c r="I2039" s="46"/>
      <c r="J2039" s="43"/>
      <c r="K2039" s="43"/>
      <c r="L2039" s="43"/>
    </row>
    <row r="2040">
      <c r="G2040" s="46"/>
      <c r="H2040" s="46"/>
      <c r="I2040" s="46"/>
      <c r="J2040" s="43"/>
      <c r="K2040" s="43"/>
      <c r="L2040" s="43"/>
    </row>
    <row r="2041">
      <c r="G2041" s="46"/>
      <c r="H2041" s="46"/>
      <c r="I2041" s="46"/>
      <c r="J2041" s="43"/>
      <c r="K2041" s="43"/>
      <c r="L2041" s="43"/>
    </row>
    <row r="2042">
      <c r="G2042" s="46"/>
      <c r="H2042" s="46"/>
      <c r="I2042" s="46"/>
      <c r="J2042" s="43"/>
      <c r="K2042" s="43"/>
      <c r="L2042" s="43"/>
    </row>
    <row r="2043">
      <c r="G2043" s="46"/>
      <c r="H2043" s="46"/>
      <c r="I2043" s="46"/>
      <c r="J2043" s="43"/>
      <c r="K2043" s="43"/>
      <c r="L2043" s="43"/>
    </row>
    <row r="2044">
      <c r="G2044" s="46"/>
      <c r="H2044" s="46"/>
      <c r="I2044" s="46"/>
      <c r="J2044" s="43"/>
      <c r="K2044" s="43"/>
      <c r="L2044" s="43"/>
    </row>
    <row r="2045">
      <c r="G2045" s="46"/>
      <c r="H2045" s="46"/>
      <c r="I2045" s="46"/>
      <c r="J2045" s="43"/>
      <c r="K2045" s="43"/>
      <c r="L2045" s="43"/>
    </row>
    <row r="2046">
      <c r="G2046" s="46"/>
      <c r="H2046" s="46"/>
      <c r="I2046" s="46"/>
      <c r="J2046" s="43"/>
      <c r="K2046" s="43"/>
      <c r="L2046" s="43"/>
    </row>
    <row r="2047">
      <c r="G2047" s="46"/>
      <c r="H2047" s="46"/>
      <c r="I2047" s="46"/>
      <c r="J2047" s="43"/>
      <c r="K2047" s="43"/>
      <c r="L2047" s="43"/>
    </row>
    <row r="2048">
      <c r="G2048" s="46"/>
      <c r="H2048" s="46"/>
      <c r="I2048" s="46"/>
      <c r="J2048" s="43"/>
      <c r="K2048" s="43"/>
      <c r="L2048" s="43"/>
    </row>
    <row r="2049">
      <c r="G2049" s="46"/>
      <c r="H2049" s="46"/>
      <c r="I2049" s="46"/>
      <c r="J2049" s="43"/>
      <c r="K2049" s="43"/>
      <c r="L2049" s="43"/>
    </row>
    <row r="2050">
      <c r="G2050" s="46"/>
      <c r="H2050" s="46"/>
      <c r="I2050" s="46"/>
      <c r="J2050" s="43"/>
      <c r="K2050" s="43"/>
      <c r="L2050" s="43"/>
    </row>
    <row r="2051">
      <c r="G2051" s="46"/>
      <c r="H2051" s="46"/>
      <c r="I2051" s="46"/>
      <c r="J2051" s="43"/>
      <c r="K2051" s="43"/>
      <c r="L2051" s="43"/>
    </row>
    <row r="2052">
      <c r="G2052" s="46"/>
      <c r="H2052" s="46"/>
      <c r="I2052" s="46"/>
      <c r="J2052" s="43"/>
      <c r="K2052" s="43"/>
      <c r="L2052" s="43"/>
    </row>
    <row r="2053">
      <c r="G2053" s="46"/>
      <c r="H2053" s="46"/>
      <c r="I2053" s="46"/>
      <c r="J2053" s="43"/>
      <c r="K2053" s="43"/>
      <c r="L2053" s="43"/>
    </row>
    <row r="2054">
      <c r="G2054" s="46"/>
      <c r="H2054" s="46"/>
      <c r="I2054" s="46"/>
      <c r="J2054" s="43"/>
      <c r="K2054" s="43"/>
      <c r="L2054" s="43"/>
    </row>
    <row r="2055">
      <c r="G2055" s="46"/>
      <c r="H2055" s="46"/>
      <c r="I2055" s="46"/>
      <c r="J2055" s="43"/>
      <c r="K2055" s="43"/>
      <c r="L2055" s="43"/>
    </row>
    <row r="2056">
      <c r="G2056" s="46"/>
      <c r="H2056" s="46"/>
      <c r="I2056" s="46"/>
      <c r="J2056" s="43"/>
      <c r="K2056" s="43"/>
      <c r="L2056" s="43"/>
    </row>
    <row r="2057">
      <c r="G2057" s="46"/>
      <c r="H2057" s="46"/>
      <c r="I2057" s="46"/>
      <c r="J2057" s="43"/>
      <c r="K2057" s="43"/>
      <c r="L2057" s="43"/>
    </row>
    <row r="2058">
      <c r="G2058" s="46"/>
      <c r="H2058" s="46"/>
      <c r="I2058" s="46"/>
      <c r="J2058" s="43"/>
      <c r="K2058" s="43"/>
      <c r="L2058" s="43"/>
    </row>
    <row r="2059">
      <c r="G2059" s="46"/>
      <c r="H2059" s="46"/>
      <c r="I2059" s="46"/>
      <c r="J2059" s="43"/>
      <c r="K2059" s="43"/>
      <c r="L2059" s="43"/>
    </row>
    <row r="2060">
      <c r="G2060" s="46"/>
      <c r="H2060" s="46"/>
      <c r="I2060" s="46"/>
      <c r="J2060" s="43"/>
      <c r="K2060" s="43"/>
      <c r="L2060" s="43"/>
    </row>
    <row r="2061">
      <c r="G2061" s="46"/>
      <c r="H2061" s="46"/>
      <c r="I2061" s="46"/>
      <c r="J2061" s="43"/>
      <c r="K2061" s="43"/>
      <c r="L2061" s="43"/>
    </row>
    <row r="2062">
      <c r="G2062" s="46"/>
      <c r="H2062" s="46"/>
      <c r="I2062" s="46"/>
      <c r="J2062" s="43"/>
      <c r="K2062" s="43"/>
      <c r="L2062" s="43"/>
    </row>
    <row r="2063">
      <c r="G2063" s="46"/>
      <c r="H2063" s="46"/>
      <c r="I2063" s="46"/>
      <c r="J2063" s="43"/>
      <c r="K2063" s="43"/>
      <c r="L2063" s="43"/>
    </row>
    <row r="2064">
      <c r="G2064" s="46"/>
      <c r="H2064" s="46"/>
      <c r="I2064" s="46"/>
      <c r="J2064" s="43"/>
      <c r="K2064" s="43"/>
      <c r="L2064" s="43"/>
    </row>
    <row r="2065">
      <c r="G2065" s="46"/>
      <c r="H2065" s="46"/>
      <c r="I2065" s="46"/>
      <c r="J2065" s="43"/>
      <c r="K2065" s="43"/>
      <c r="L2065" s="43"/>
    </row>
    <row r="2066">
      <c r="G2066" s="46"/>
      <c r="H2066" s="46"/>
      <c r="I2066" s="46"/>
      <c r="J2066" s="43"/>
      <c r="K2066" s="43"/>
      <c r="L2066" s="43"/>
    </row>
    <row r="2067">
      <c r="G2067" s="46"/>
      <c r="H2067" s="46"/>
      <c r="I2067" s="46"/>
      <c r="J2067" s="43"/>
      <c r="K2067" s="43"/>
      <c r="L2067" s="43"/>
    </row>
    <row r="2068">
      <c r="G2068" s="46"/>
      <c r="H2068" s="46"/>
      <c r="I2068" s="46"/>
      <c r="J2068" s="43"/>
      <c r="K2068" s="43"/>
      <c r="L2068" s="43"/>
    </row>
    <row r="2069">
      <c r="G2069" s="46"/>
      <c r="H2069" s="46"/>
      <c r="I2069" s="46"/>
      <c r="J2069" s="43"/>
      <c r="K2069" s="43"/>
      <c r="L2069" s="43"/>
    </row>
    <row r="2070">
      <c r="G2070" s="46"/>
      <c r="H2070" s="46"/>
      <c r="I2070" s="46"/>
      <c r="J2070" s="43"/>
      <c r="K2070" s="43"/>
      <c r="L2070" s="43"/>
    </row>
    <row r="2071">
      <c r="G2071" s="46"/>
      <c r="H2071" s="46"/>
      <c r="I2071" s="46"/>
      <c r="J2071" s="43"/>
      <c r="K2071" s="43"/>
      <c r="L2071" s="43"/>
    </row>
    <row r="2072">
      <c r="G2072" s="46"/>
      <c r="H2072" s="46"/>
      <c r="I2072" s="46"/>
      <c r="J2072" s="43"/>
      <c r="K2072" s="43"/>
      <c r="L2072" s="43"/>
    </row>
    <row r="2073">
      <c r="G2073" s="46"/>
      <c r="H2073" s="46"/>
      <c r="I2073" s="46"/>
      <c r="J2073" s="43"/>
      <c r="K2073" s="43"/>
      <c r="L2073" s="43"/>
    </row>
    <row r="2074">
      <c r="G2074" s="46"/>
      <c r="H2074" s="46"/>
      <c r="I2074" s="46"/>
      <c r="J2074" s="43"/>
      <c r="K2074" s="43"/>
      <c r="L2074" s="43"/>
    </row>
    <row r="2075">
      <c r="G2075" s="46"/>
      <c r="H2075" s="46"/>
      <c r="I2075" s="46"/>
      <c r="J2075" s="43"/>
      <c r="K2075" s="43"/>
      <c r="L2075" s="43"/>
    </row>
    <row r="2076">
      <c r="G2076" s="46"/>
      <c r="H2076" s="46"/>
      <c r="I2076" s="46"/>
      <c r="J2076" s="43"/>
      <c r="K2076" s="43"/>
      <c r="L2076" s="43"/>
    </row>
    <row r="2077">
      <c r="G2077" s="46"/>
      <c r="H2077" s="46"/>
      <c r="I2077" s="46"/>
      <c r="J2077" s="43"/>
      <c r="K2077" s="43"/>
      <c r="L2077" s="43"/>
    </row>
    <row r="2078">
      <c r="G2078" s="46"/>
      <c r="H2078" s="46"/>
      <c r="I2078" s="46"/>
      <c r="J2078" s="43"/>
      <c r="K2078" s="43"/>
      <c r="L2078" s="43"/>
    </row>
    <row r="2079">
      <c r="G2079" s="46"/>
      <c r="H2079" s="46"/>
      <c r="I2079" s="46"/>
      <c r="J2079" s="43"/>
      <c r="K2079" s="43"/>
      <c r="L2079" s="43"/>
    </row>
    <row r="2080">
      <c r="G2080" s="46"/>
      <c r="H2080" s="46"/>
      <c r="I2080" s="46"/>
      <c r="J2080" s="43"/>
      <c r="K2080" s="43"/>
      <c r="L2080" s="43"/>
    </row>
    <row r="2081">
      <c r="G2081" s="46"/>
      <c r="H2081" s="46"/>
      <c r="I2081" s="46"/>
      <c r="J2081" s="43"/>
      <c r="K2081" s="43"/>
      <c r="L2081" s="43"/>
    </row>
    <row r="2082">
      <c r="G2082" s="46"/>
      <c r="H2082" s="46"/>
      <c r="I2082" s="46"/>
      <c r="J2082" s="43"/>
      <c r="K2082" s="43"/>
      <c r="L2082" s="43"/>
    </row>
    <row r="2083">
      <c r="G2083" s="46"/>
      <c r="H2083" s="46"/>
      <c r="I2083" s="46"/>
      <c r="J2083" s="43"/>
      <c r="K2083" s="43"/>
      <c r="L2083" s="43"/>
    </row>
    <row r="2084">
      <c r="G2084" s="46"/>
      <c r="H2084" s="46"/>
      <c r="I2084" s="46"/>
      <c r="J2084" s="43"/>
      <c r="K2084" s="43"/>
      <c r="L2084" s="43"/>
    </row>
    <row r="2085">
      <c r="G2085" s="46"/>
      <c r="H2085" s="46"/>
      <c r="I2085" s="46"/>
      <c r="J2085" s="43"/>
      <c r="K2085" s="43"/>
      <c r="L2085" s="43"/>
    </row>
    <row r="2086">
      <c r="G2086" s="46"/>
      <c r="H2086" s="46"/>
      <c r="I2086" s="46"/>
      <c r="J2086" s="43"/>
      <c r="K2086" s="43"/>
      <c r="L2086" s="43"/>
    </row>
    <row r="2087">
      <c r="G2087" s="46"/>
      <c r="H2087" s="46"/>
      <c r="I2087" s="46"/>
      <c r="J2087" s="43"/>
      <c r="K2087" s="43"/>
      <c r="L2087" s="43"/>
    </row>
    <row r="2088">
      <c r="G2088" s="46"/>
      <c r="H2088" s="46"/>
      <c r="I2088" s="46"/>
      <c r="J2088" s="43"/>
      <c r="K2088" s="43"/>
      <c r="L2088" s="43"/>
    </row>
    <row r="2089">
      <c r="G2089" s="46"/>
      <c r="H2089" s="46"/>
      <c r="I2089" s="46"/>
      <c r="J2089" s="43"/>
      <c r="K2089" s="43"/>
      <c r="L2089" s="43"/>
    </row>
    <row r="2090">
      <c r="G2090" s="46"/>
      <c r="H2090" s="46"/>
      <c r="I2090" s="46"/>
      <c r="J2090" s="43"/>
      <c r="K2090" s="43"/>
      <c r="L2090" s="43"/>
    </row>
    <row r="2091">
      <c r="G2091" s="46"/>
      <c r="H2091" s="46"/>
      <c r="I2091" s="46"/>
      <c r="J2091" s="43"/>
      <c r="K2091" s="43"/>
      <c r="L2091" s="43"/>
    </row>
    <row r="2092">
      <c r="G2092" s="46"/>
      <c r="H2092" s="46"/>
      <c r="I2092" s="46"/>
      <c r="J2092" s="43"/>
      <c r="K2092" s="43"/>
      <c r="L2092" s="43"/>
    </row>
    <row r="2093">
      <c r="G2093" s="46"/>
      <c r="H2093" s="46"/>
      <c r="I2093" s="46"/>
      <c r="J2093" s="43"/>
      <c r="K2093" s="43"/>
      <c r="L2093" s="43"/>
    </row>
    <row r="2094">
      <c r="G2094" s="46"/>
      <c r="H2094" s="46"/>
      <c r="I2094" s="46"/>
      <c r="J2094" s="43"/>
      <c r="K2094" s="43"/>
      <c r="L2094" s="43"/>
    </row>
    <row r="2095">
      <c r="G2095" s="46"/>
      <c r="H2095" s="46"/>
      <c r="I2095" s="46"/>
      <c r="J2095" s="43"/>
      <c r="K2095" s="43"/>
      <c r="L2095" s="43"/>
    </row>
    <row r="2096">
      <c r="G2096" s="46"/>
      <c r="H2096" s="46"/>
      <c r="I2096" s="46"/>
      <c r="J2096" s="43"/>
      <c r="K2096" s="43"/>
      <c r="L2096" s="43"/>
    </row>
    <row r="2097">
      <c r="G2097" s="46"/>
      <c r="H2097" s="46"/>
      <c r="I2097" s="46"/>
      <c r="J2097" s="43"/>
      <c r="K2097" s="43"/>
      <c r="L2097" s="43"/>
    </row>
    <row r="2098">
      <c r="G2098" s="46"/>
      <c r="H2098" s="46"/>
      <c r="I2098" s="46"/>
      <c r="J2098" s="43"/>
      <c r="K2098" s="43"/>
      <c r="L2098" s="43"/>
    </row>
    <row r="2099">
      <c r="G2099" s="46"/>
      <c r="H2099" s="46"/>
      <c r="I2099" s="46"/>
      <c r="J2099" s="43"/>
      <c r="K2099" s="43"/>
      <c r="L2099" s="43"/>
    </row>
    <row r="2100">
      <c r="G2100" s="46"/>
      <c r="H2100" s="46"/>
      <c r="I2100" s="46"/>
      <c r="J2100" s="43"/>
      <c r="K2100" s="43"/>
      <c r="L2100" s="43"/>
    </row>
    <row r="2101">
      <c r="G2101" s="46"/>
      <c r="H2101" s="46"/>
      <c r="I2101" s="46"/>
      <c r="J2101" s="43"/>
      <c r="K2101" s="43"/>
      <c r="L2101" s="43"/>
    </row>
    <row r="2102">
      <c r="G2102" s="46"/>
      <c r="H2102" s="46"/>
      <c r="I2102" s="46"/>
      <c r="J2102" s="43"/>
      <c r="K2102" s="43"/>
      <c r="L2102" s="43"/>
    </row>
    <row r="2103">
      <c r="G2103" s="46"/>
      <c r="H2103" s="46"/>
      <c r="I2103" s="46"/>
      <c r="J2103" s="43"/>
      <c r="K2103" s="43"/>
      <c r="L2103" s="43"/>
    </row>
    <row r="2104">
      <c r="G2104" s="46"/>
      <c r="H2104" s="46"/>
      <c r="I2104" s="46"/>
      <c r="J2104" s="43"/>
      <c r="K2104" s="43"/>
      <c r="L2104" s="43"/>
    </row>
    <row r="2105">
      <c r="G2105" s="46"/>
      <c r="H2105" s="46"/>
      <c r="I2105" s="46"/>
      <c r="J2105" s="43"/>
      <c r="K2105" s="43"/>
      <c r="L2105" s="43"/>
    </row>
    <row r="2106">
      <c r="G2106" s="46"/>
      <c r="H2106" s="46"/>
      <c r="I2106" s="46"/>
      <c r="J2106" s="43"/>
      <c r="K2106" s="43"/>
      <c r="L2106" s="43"/>
    </row>
    <row r="2107">
      <c r="G2107" s="46"/>
      <c r="H2107" s="46"/>
      <c r="I2107" s="46"/>
      <c r="J2107" s="43"/>
      <c r="K2107" s="43"/>
      <c r="L2107" s="43"/>
    </row>
    <row r="2108">
      <c r="G2108" s="46"/>
      <c r="H2108" s="46"/>
      <c r="I2108" s="46"/>
      <c r="J2108" s="43"/>
      <c r="K2108" s="43"/>
      <c r="L2108" s="43"/>
    </row>
    <row r="2109">
      <c r="G2109" s="46"/>
      <c r="H2109" s="46"/>
      <c r="I2109" s="46"/>
      <c r="J2109" s="43"/>
      <c r="K2109" s="43"/>
      <c r="L2109" s="43"/>
    </row>
    <row r="2110">
      <c r="G2110" s="46"/>
      <c r="H2110" s="46"/>
      <c r="I2110" s="46"/>
      <c r="J2110" s="43"/>
      <c r="K2110" s="43"/>
      <c r="L2110" s="43"/>
    </row>
    <row r="2111">
      <c r="G2111" s="46"/>
      <c r="H2111" s="46"/>
      <c r="I2111" s="46"/>
      <c r="J2111" s="43"/>
      <c r="K2111" s="43"/>
      <c r="L2111" s="43"/>
    </row>
    <row r="2112">
      <c r="G2112" s="46"/>
      <c r="H2112" s="46"/>
      <c r="I2112" s="46"/>
      <c r="J2112" s="43"/>
      <c r="K2112" s="43"/>
      <c r="L2112" s="43"/>
    </row>
    <row r="2113">
      <c r="G2113" s="46"/>
      <c r="H2113" s="46"/>
      <c r="I2113" s="46"/>
      <c r="J2113" s="43"/>
      <c r="K2113" s="43"/>
      <c r="L2113" s="43"/>
    </row>
    <row r="2114">
      <c r="G2114" s="46"/>
      <c r="H2114" s="46"/>
      <c r="I2114" s="46"/>
      <c r="J2114" s="43"/>
      <c r="K2114" s="43"/>
      <c r="L2114" s="43"/>
    </row>
    <row r="2115">
      <c r="G2115" s="46"/>
      <c r="H2115" s="46"/>
      <c r="I2115" s="46"/>
      <c r="J2115" s="43"/>
      <c r="K2115" s="43"/>
      <c r="L2115" s="43"/>
    </row>
    <row r="2116">
      <c r="G2116" s="46"/>
      <c r="H2116" s="46"/>
      <c r="I2116" s="46"/>
      <c r="J2116" s="43"/>
      <c r="K2116" s="43"/>
      <c r="L2116" s="43"/>
    </row>
    <row r="2117">
      <c r="G2117" s="46"/>
      <c r="H2117" s="46"/>
      <c r="I2117" s="46"/>
      <c r="J2117" s="43"/>
      <c r="K2117" s="43"/>
      <c r="L2117" s="43"/>
    </row>
    <row r="2118">
      <c r="G2118" s="46"/>
      <c r="H2118" s="46"/>
      <c r="I2118" s="46"/>
      <c r="J2118" s="43"/>
      <c r="K2118" s="43"/>
      <c r="L2118" s="43"/>
    </row>
    <row r="2119">
      <c r="G2119" s="46"/>
      <c r="H2119" s="46"/>
      <c r="I2119" s="46"/>
      <c r="J2119" s="43"/>
      <c r="K2119" s="43"/>
      <c r="L2119" s="43"/>
    </row>
    <row r="2120">
      <c r="G2120" s="46"/>
      <c r="H2120" s="46"/>
      <c r="I2120" s="46"/>
      <c r="J2120" s="43"/>
      <c r="K2120" s="43"/>
      <c r="L2120" s="43"/>
    </row>
    <row r="2121">
      <c r="G2121" s="46"/>
      <c r="H2121" s="46"/>
      <c r="I2121" s="46"/>
      <c r="J2121" s="43"/>
      <c r="K2121" s="43"/>
      <c r="L2121" s="43"/>
    </row>
    <row r="2122">
      <c r="G2122" s="46"/>
      <c r="H2122" s="46"/>
      <c r="I2122" s="46"/>
      <c r="J2122" s="43"/>
      <c r="K2122" s="43"/>
      <c r="L2122" s="43"/>
    </row>
    <row r="2123">
      <c r="G2123" s="46"/>
      <c r="H2123" s="46"/>
      <c r="I2123" s="46"/>
      <c r="J2123" s="43"/>
      <c r="K2123" s="43"/>
      <c r="L2123" s="43"/>
    </row>
    <row r="2124">
      <c r="G2124" s="46"/>
      <c r="H2124" s="46"/>
      <c r="I2124" s="46"/>
      <c r="J2124" s="43"/>
      <c r="K2124" s="43"/>
      <c r="L2124" s="43"/>
    </row>
    <row r="2125">
      <c r="G2125" s="46"/>
      <c r="H2125" s="46"/>
      <c r="I2125" s="46"/>
      <c r="J2125" s="43"/>
      <c r="K2125" s="43"/>
      <c r="L2125" s="43"/>
    </row>
    <row r="2126">
      <c r="G2126" s="46"/>
      <c r="H2126" s="46"/>
      <c r="I2126" s="46"/>
      <c r="J2126" s="43"/>
      <c r="K2126" s="43"/>
      <c r="L2126" s="43"/>
    </row>
    <row r="2127">
      <c r="G2127" s="46"/>
      <c r="H2127" s="46"/>
      <c r="I2127" s="46"/>
      <c r="J2127" s="43"/>
      <c r="K2127" s="43"/>
      <c r="L2127" s="43"/>
    </row>
    <row r="2128">
      <c r="G2128" s="46"/>
      <c r="H2128" s="46"/>
      <c r="I2128" s="46"/>
      <c r="J2128" s="43"/>
      <c r="K2128" s="43"/>
      <c r="L2128" s="43"/>
    </row>
    <row r="2129">
      <c r="G2129" s="46"/>
      <c r="H2129" s="46"/>
      <c r="I2129" s="46"/>
      <c r="J2129" s="43"/>
      <c r="K2129" s="43"/>
      <c r="L2129" s="43"/>
    </row>
    <row r="2130">
      <c r="G2130" s="46"/>
      <c r="H2130" s="46"/>
      <c r="I2130" s="46"/>
      <c r="J2130" s="43"/>
      <c r="K2130" s="43"/>
      <c r="L2130" s="43"/>
    </row>
    <row r="2131">
      <c r="G2131" s="46"/>
      <c r="H2131" s="46"/>
      <c r="I2131" s="46"/>
      <c r="J2131" s="43"/>
      <c r="K2131" s="43"/>
      <c r="L2131" s="43"/>
    </row>
    <row r="2132">
      <c r="G2132" s="46"/>
      <c r="H2132" s="46"/>
      <c r="I2132" s="46"/>
      <c r="J2132" s="43"/>
      <c r="K2132" s="43"/>
      <c r="L2132" s="43"/>
    </row>
    <row r="2133">
      <c r="G2133" s="46"/>
      <c r="H2133" s="46"/>
      <c r="I2133" s="46"/>
      <c r="J2133" s="43"/>
      <c r="K2133" s="43"/>
      <c r="L2133" s="43"/>
    </row>
    <row r="2134">
      <c r="G2134" s="46"/>
      <c r="H2134" s="46"/>
      <c r="I2134" s="46"/>
      <c r="J2134" s="43"/>
      <c r="K2134" s="43"/>
      <c r="L2134" s="43"/>
    </row>
    <row r="2135">
      <c r="G2135" s="46"/>
      <c r="H2135" s="46"/>
      <c r="I2135" s="46"/>
      <c r="J2135" s="43"/>
      <c r="K2135" s="43"/>
      <c r="L2135" s="43"/>
    </row>
    <row r="2136">
      <c r="G2136" s="46"/>
      <c r="H2136" s="46"/>
      <c r="I2136" s="46"/>
      <c r="J2136" s="43"/>
      <c r="K2136" s="43"/>
      <c r="L2136" s="43"/>
    </row>
    <row r="2137">
      <c r="G2137" s="46"/>
      <c r="H2137" s="46"/>
      <c r="I2137" s="46"/>
      <c r="J2137" s="43"/>
      <c r="K2137" s="43"/>
      <c r="L2137" s="43"/>
    </row>
    <row r="2138">
      <c r="G2138" s="46"/>
      <c r="H2138" s="46"/>
      <c r="I2138" s="46"/>
      <c r="J2138" s="43"/>
      <c r="K2138" s="43"/>
      <c r="L2138" s="43"/>
    </row>
    <row r="2139">
      <c r="G2139" s="46"/>
      <c r="H2139" s="46"/>
      <c r="I2139" s="46"/>
      <c r="J2139" s="43"/>
      <c r="K2139" s="43"/>
      <c r="L2139" s="43"/>
    </row>
    <row r="2140">
      <c r="G2140" s="46"/>
      <c r="H2140" s="46"/>
      <c r="I2140" s="46"/>
      <c r="J2140" s="43"/>
      <c r="K2140" s="43"/>
      <c r="L2140" s="43"/>
    </row>
    <row r="2141">
      <c r="G2141" s="46"/>
      <c r="H2141" s="46"/>
      <c r="I2141" s="46"/>
      <c r="J2141" s="43"/>
      <c r="K2141" s="43"/>
      <c r="L2141" s="43"/>
    </row>
    <row r="2142">
      <c r="G2142" s="46"/>
      <c r="H2142" s="46"/>
      <c r="I2142" s="46"/>
      <c r="J2142" s="43"/>
      <c r="K2142" s="43"/>
      <c r="L2142" s="43"/>
    </row>
    <row r="2143">
      <c r="G2143" s="46"/>
      <c r="H2143" s="46"/>
      <c r="I2143" s="46"/>
      <c r="J2143" s="43"/>
      <c r="K2143" s="43"/>
      <c r="L2143" s="43"/>
    </row>
    <row r="2144">
      <c r="G2144" s="46"/>
      <c r="H2144" s="46"/>
      <c r="I2144" s="46"/>
      <c r="J2144" s="43"/>
      <c r="K2144" s="43"/>
      <c r="L2144" s="43"/>
    </row>
    <row r="2145">
      <c r="G2145" s="46"/>
      <c r="H2145" s="46"/>
      <c r="I2145" s="46"/>
      <c r="J2145" s="43"/>
      <c r="K2145" s="43"/>
      <c r="L2145" s="43"/>
    </row>
    <row r="2146">
      <c r="G2146" s="46"/>
      <c r="H2146" s="46"/>
      <c r="I2146" s="46"/>
      <c r="J2146" s="43"/>
      <c r="K2146" s="43"/>
      <c r="L2146" s="43"/>
    </row>
    <row r="2147">
      <c r="G2147" s="46"/>
      <c r="H2147" s="46"/>
      <c r="I2147" s="46"/>
      <c r="J2147" s="43"/>
      <c r="K2147" s="43"/>
      <c r="L2147" s="43"/>
    </row>
    <row r="2148">
      <c r="G2148" s="46"/>
      <c r="H2148" s="46"/>
      <c r="I2148" s="46"/>
      <c r="J2148" s="43"/>
      <c r="K2148" s="43"/>
      <c r="L2148" s="43"/>
    </row>
    <row r="2149">
      <c r="G2149" s="46"/>
      <c r="H2149" s="46"/>
      <c r="I2149" s="46"/>
      <c r="J2149" s="43"/>
      <c r="K2149" s="43"/>
      <c r="L2149" s="43"/>
    </row>
    <row r="2150">
      <c r="G2150" s="46"/>
      <c r="H2150" s="46"/>
      <c r="I2150" s="46"/>
      <c r="J2150" s="43"/>
      <c r="K2150" s="43"/>
      <c r="L2150" s="43"/>
    </row>
    <row r="2151">
      <c r="G2151" s="46"/>
      <c r="H2151" s="46"/>
      <c r="I2151" s="46"/>
      <c r="J2151" s="43"/>
      <c r="K2151" s="43"/>
      <c r="L2151" s="43"/>
    </row>
    <row r="2152">
      <c r="G2152" s="46"/>
      <c r="H2152" s="46"/>
      <c r="I2152" s="46"/>
      <c r="J2152" s="43"/>
      <c r="K2152" s="43"/>
      <c r="L2152" s="43"/>
    </row>
    <row r="2153">
      <c r="G2153" s="46"/>
      <c r="H2153" s="46"/>
      <c r="I2153" s="46"/>
      <c r="J2153" s="43"/>
      <c r="K2153" s="43"/>
      <c r="L2153" s="43"/>
    </row>
    <row r="2154">
      <c r="G2154" s="46"/>
      <c r="H2154" s="46"/>
      <c r="I2154" s="46"/>
      <c r="J2154" s="43"/>
      <c r="K2154" s="43"/>
      <c r="L2154" s="43"/>
    </row>
    <row r="2155">
      <c r="G2155" s="46"/>
      <c r="H2155" s="46"/>
      <c r="I2155" s="46"/>
      <c r="J2155" s="43"/>
      <c r="K2155" s="43"/>
      <c r="L2155" s="43"/>
    </row>
    <row r="2156">
      <c r="G2156" s="46"/>
      <c r="H2156" s="46"/>
      <c r="I2156" s="46"/>
      <c r="J2156" s="43"/>
      <c r="K2156" s="43"/>
      <c r="L2156" s="43"/>
    </row>
    <row r="2157">
      <c r="G2157" s="46"/>
      <c r="H2157" s="46"/>
      <c r="I2157" s="46"/>
      <c r="J2157" s="43"/>
      <c r="K2157" s="43"/>
      <c r="L2157" s="43"/>
    </row>
    <row r="2158">
      <c r="G2158" s="46"/>
      <c r="H2158" s="46"/>
      <c r="I2158" s="46"/>
      <c r="J2158" s="43"/>
      <c r="K2158" s="43"/>
      <c r="L2158" s="43"/>
    </row>
    <row r="2159">
      <c r="G2159" s="46"/>
      <c r="H2159" s="46"/>
      <c r="I2159" s="46"/>
      <c r="J2159" s="43"/>
      <c r="K2159" s="43"/>
      <c r="L2159" s="43"/>
    </row>
    <row r="2160">
      <c r="G2160" s="46"/>
      <c r="H2160" s="46"/>
      <c r="I2160" s="46"/>
      <c r="J2160" s="43"/>
      <c r="K2160" s="43"/>
      <c r="L2160" s="43"/>
    </row>
    <row r="2161">
      <c r="G2161" s="46"/>
      <c r="H2161" s="46"/>
      <c r="I2161" s="46"/>
      <c r="J2161" s="43"/>
      <c r="K2161" s="43"/>
      <c r="L2161" s="43"/>
    </row>
    <row r="2162">
      <c r="G2162" s="46"/>
      <c r="H2162" s="46"/>
      <c r="I2162" s="46"/>
      <c r="J2162" s="43"/>
      <c r="K2162" s="43"/>
      <c r="L2162" s="43"/>
    </row>
    <row r="2163">
      <c r="G2163" s="46"/>
      <c r="H2163" s="46"/>
      <c r="I2163" s="46"/>
      <c r="J2163" s="43"/>
      <c r="K2163" s="43"/>
      <c r="L2163" s="43"/>
    </row>
    <row r="2164">
      <c r="G2164" s="46"/>
      <c r="H2164" s="46"/>
      <c r="I2164" s="46"/>
      <c r="J2164" s="43"/>
      <c r="K2164" s="43"/>
      <c r="L2164" s="43"/>
    </row>
    <row r="2165">
      <c r="G2165" s="46"/>
      <c r="H2165" s="46"/>
      <c r="I2165" s="46"/>
      <c r="J2165" s="43"/>
      <c r="K2165" s="43"/>
      <c r="L2165" s="43"/>
    </row>
    <row r="2166">
      <c r="G2166" s="46"/>
      <c r="H2166" s="46"/>
      <c r="I2166" s="46"/>
      <c r="J2166" s="43"/>
      <c r="K2166" s="43"/>
      <c r="L2166" s="43"/>
    </row>
    <row r="2167">
      <c r="G2167" s="46"/>
      <c r="H2167" s="46"/>
      <c r="I2167" s="46"/>
      <c r="J2167" s="43"/>
      <c r="K2167" s="43"/>
      <c r="L2167" s="43"/>
    </row>
    <row r="2168">
      <c r="G2168" s="46"/>
      <c r="H2168" s="46"/>
      <c r="I2168" s="46"/>
      <c r="J2168" s="43"/>
      <c r="K2168" s="43"/>
      <c r="L2168" s="43"/>
    </row>
    <row r="2169">
      <c r="G2169" s="46"/>
      <c r="H2169" s="46"/>
      <c r="I2169" s="46"/>
      <c r="J2169" s="43"/>
      <c r="K2169" s="43"/>
      <c r="L2169" s="43"/>
    </row>
    <row r="2170">
      <c r="G2170" s="46"/>
      <c r="H2170" s="46"/>
      <c r="I2170" s="46"/>
      <c r="J2170" s="43"/>
      <c r="K2170" s="43"/>
      <c r="L2170" s="43"/>
    </row>
    <row r="2171">
      <c r="G2171" s="46"/>
      <c r="H2171" s="46"/>
      <c r="I2171" s="46"/>
      <c r="J2171" s="43"/>
      <c r="K2171" s="43"/>
      <c r="L2171" s="43"/>
    </row>
    <row r="2172">
      <c r="G2172" s="46"/>
      <c r="H2172" s="46"/>
      <c r="I2172" s="46"/>
      <c r="J2172" s="43"/>
      <c r="K2172" s="43"/>
      <c r="L2172" s="43"/>
    </row>
    <row r="2173">
      <c r="G2173" s="46"/>
      <c r="H2173" s="46"/>
      <c r="I2173" s="46"/>
      <c r="J2173" s="43"/>
      <c r="K2173" s="43"/>
      <c r="L2173" s="43"/>
    </row>
    <row r="2174">
      <c r="G2174" s="46"/>
      <c r="H2174" s="46"/>
      <c r="I2174" s="46"/>
      <c r="J2174" s="43"/>
      <c r="K2174" s="43"/>
      <c r="L2174" s="43"/>
    </row>
    <row r="2175">
      <c r="G2175" s="46"/>
      <c r="H2175" s="46"/>
      <c r="I2175" s="46"/>
      <c r="J2175" s="43"/>
      <c r="K2175" s="43"/>
      <c r="L2175" s="43"/>
    </row>
    <row r="2176">
      <c r="G2176" s="46"/>
      <c r="H2176" s="46"/>
      <c r="I2176" s="46"/>
      <c r="J2176" s="43"/>
      <c r="K2176" s="43"/>
      <c r="L2176" s="43"/>
    </row>
    <row r="2177">
      <c r="G2177" s="46"/>
      <c r="H2177" s="46"/>
      <c r="I2177" s="46"/>
      <c r="J2177" s="43"/>
      <c r="K2177" s="43"/>
      <c r="L2177" s="43"/>
    </row>
    <row r="2178">
      <c r="G2178" s="46"/>
      <c r="H2178" s="46"/>
      <c r="I2178" s="46"/>
      <c r="J2178" s="43"/>
      <c r="K2178" s="43"/>
      <c r="L2178" s="43"/>
    </row>
    <row r="2179">
      <c r="G2179" s="46"/>
      <c r="H2179" s="46"/>
      <c r="I2179" s="46"/>
      <c r="J2179" s="43"/>
      <c r="K2179" s="43"/>
      <c r="L2179" s="43"/>
    </row>
    <row r="2180">
      <c r="G2180" s="46"/>
      <c r="H2180" s="46"/>
      <c r="I2180" s="46"/>
      <c r="J2180" s="43"/>
      <c r="K2180" s="43"/>
      <c r="L2180" s="43"/>
    </row>
    <row r="2181">
      <c r="G2181" s="46"/>
      <c r="H2181" s="46"/>
      <c r="I2181" s="46"/>
      <c r="J2181" s="43"/>
      <c r="K2181" s="43"/>
      <c r="L2181" s="43"/>
    </row>
    <row r="2182">
      <c r="G2182" s="46"/>
      <c r="H2182" s="46"/>
      <c r="I2182" s="46"/>
      <c r="J2182" s="43"/>
      <c r="K2182" s="43"/>
      <c r="L2182" s="43"/>
    </row>
    <row r="2183">
      <c r="G2183" s="46"/>
      <c r="H2183" s="46"/>
      <c r="I2183" s="46"/>
      <c r="J2183" s="43"/>
      <c r="K2183" s="43"/>
      <c r="L2183" s="43"/>
    </row>
    <row r="2184">
      <c r="G2184" s="46"/>
      <c r="H2184" s="46"/>
      <c r="I2184" s="46"/>
      <c r="J2184" s="43"/>
      <c r="K2184" s="43"/>
      <c r="L2184" s="43"/>
    </row>
    <row r="2185">
      <c r="G2185" s="46"/>
      <c r="H2185" s="46"/>
      <c r="I2185" s="46"/>
      <c r="J2185" s="43"/>
      <c r="K2185" s="43"/>
      <c r="L2185" s="43"/>
    </row>
    <row r="2186">
      <c r="G2186" s="46"/>
      <c r="H2186" s="46"/>
      <c r="I2186" s="46"/>
      <c r="J2186" s="43"/>
      <c r="K2186" s="43"/>
      <c r="L2186" s="43"/>
    </row>
    <row r="2187">
      <c r="G2187" s="46"/>
      <c r="H2187" s="46"/>
      <c r="I2187" s="46"/>
      <c r="J2187" s="43"/>
      <c r="K2187" s="43"/>
      <c r="L2187" s="43"/>
    </row>
    <row r="2188">
      <c r="G2188" s="46"/>
      <c r="H2188" s="46"/>
      <c r="I2188" s="46"/>
      <c r="J2188" s="43"/>
      <c r="K2188" s="43"/>
      <c r="L2188" s="43"/>
    </row>
    <row r="2189">
      <c r="G2189" s="46"/>
      <c r="H2189" s="46"/>
      <c r="I2189" s="46"/>
      <c r="J2189" s="43"/>
      <c r="K2189" s="43"/>
      <c r="L2189" s="43"/>
    </row>
    <row r="2190">
      <c r="G2190" s="46"/>
      <c r="H2190" s="46"/>
      <c r="I2190" s="46"/>
      <c r="J2190" s="43"/>
      <c r="K2190" s="43"/>
      <c r="L2190" s="43"/>
    </row>
    <row r="2191">
      <c r="G2191" s="46"/>
      <c r="H2191" s="46"/>
      <c r="I2191" s="46"/>
      <c r="J2191" s="43"/>
      <c r="K2191" s="43"/>
      <c r="L2191" s="43"/>
    </row>
    <row r="2192">
      <c r="G2192" s="46"/>
      <c r="H2192" s="46"/>
      <c r="I2192" s="46"/>
      <c r="J2192" s="43"/>
      <c r="K2192" s="43"/>
      <c r="L2192" s="43"/>
    </row>
    <row r="2193">
      <c r="G2193" s="46"/>
      <c r="H2193" s="46"/>
      <c r="I2193" s="46"/>
      <c r="J2193" s="43"/>
      <c r="K2193" s="43"/>
      <c r="L2193" s="43"/>
    </row>
    <row r="2194">
      <c r="G2194" s="46"/>
      <c r="H2194" s="46"/>
      <c r="I2194" s="46"/>
      <c r="J2194" s="43"/>
      <c r="K2194" s="43"/>
      <c r="L2194" s="43"/>
    </row>
    <row r="2195">
      <c r="G2195" s="46"/>
      <c r="H2195" s="46"/>
      <c r="I2195" s="46"/>
      <c r="J2195" s="43"/>
      <c r="K2195" s="43"/>
      <c r="L2195" s="43"/>
    </row>
    <row r="2196">
      <c r="G2196" s="46"/>
      <c r="H2196" s="46"/>
      <c r="I2196" s="46"/>
      <c r="J2196" s="43"/>
      <c r="K2196" s="43"/>
      <c r="L2196" s="43"/>
    </row>
    <row r="2197">
      <c r="G2197" s="46"/>
      <c r="H2197" s="46"/>
      <c r="I2197" s="46"/>
      <c r="J2197" s="43"/>
      <c r="K2197" s="43"/>
      <c r="L2197" s="43"/>
    </row>
    <row r="2198">
      <c r="G2198" s="46"/>
      <c r="H2198" s="46"/>
      <c r="I2198" s="46"/>
      <c r="J2198" s="43"/>
      <c r="K2198" s="43"/>
      <c r="L2198" s="43"/>
    </row>
    <row r="2199">
      <c r="G2199" s="46"/>
      <c r="H2199" s="46"/>
      <c r="I2199" s="46"/>
      <c r="J2199" s="43"/>
      <c r="K2199" s="43"/>
      <c r="L2199" s="43"/>
    </row>
    <row r="2200">
      <c r="G2200" s="46"/>
      <c r="H2200" s="46"/>
      <c r="I2200" s="46"/>
      <c r="J2200" s="43"/>
      <c r="K2200" s="43"/>
      <c r="L2200" s="43"/>
    </row>
    <row r="2201">
      <c r="G2201" s="46"/>
      <c r="H2201" s="46"/>
      <c r="I2201" s="46"/>
      <c r="J2201" s="43"/>
      <c r="K2201" s="43"/>
      <c r="L2201" s="43"/>
    </row>
    <row r="2202">
      <c r="G2202" s="46"/>
      <c r="H2202" s="46"/>
      <c r="I2202" s="46"/>
      <c r="J2202" s="43"/>
      <c r="K2202" s="43"/>
      <c r="L2202" s="43"/>
    </row>
    <row r="2203">
      <c r="G2203" s="46"/>
      <c r="H2203" s="46"/>
      <c r="I2203" s="46"/>
      <c r="J2203" s="43"/>
      <c r="K2203" s="43"/>
      <c r="L2203" s="43"/>
    </row>
    <row r="2204">
      <c r="G2204" s="46"/>
      <c r="H2204" s="46"/>
      <c r="I2204" s="46"/>
      <c r="J2204" s="43"/>
      <c r="K2204" s="43"/>
      <c r="L2204" s="43"/>
    </row>
    <row r="2205">
      <c r="G2205" s="46"/>
      <c r="H2205" s="46"/>
      <c r="I2205" s="46"/>
      <c r="J2205" s="43"/>
      <c r="K2205" s="43"/>
      <c r="L2205" s="43"/>
    </row>
    <row r="2206">
      <c r="G2206" s="46"/>
      <c r="H2206" s="46"/>
      <c r="I2206" s="46"/>
      <c r="J2206" s="43"/>
      <c r="K2206" s="43"/>
      <c r="L2206" s="43"/>
    </row>
    <row r="2207">
      <c r="G2207" s="46"/>
      <c r="H2207" s="46"/>
      <c r="I2207" s="46"/>
      <c r="J2207" s="43"/>
      <c r="K2207" s="43"/>
      <c r="L2207" s="43"/>
    </row>
    <row r="2208">
      <c r="G2208" s="46"/>
      <c r="H2208" s="46"/>
      <c r="I2208" s="46"/>
      <c r="J2208" s="43"/>
      <c r="K2208" s="43"/>
      <c r="L2208" s="43"/>
    </row>
    <row r="2209">
      <c r="G2209" s="46"/>
      <c r="H2209" s="46"/>
      <c r="I2209" s="46"/>
      <c r="J2209" s="43"/>
      <c r="K2209" s="43"/>
      <c r="L2209" s="43"/>
    </row>
    <row r="2210">
      <c r="G2210" s="46"/>
      <c r="H2210" s="46"/>
      <c r="I2210" s="46"/>
      <c r="J2210" s="43"/>
      <c r="K2210" s="43"/>
      <c r="L2210" s="43"/>
    </row>
    <row r="2211">
      <c r="G2211" s="46"/>
      <c r="H2211" s="46"/>
      <c r="I2211" s="46"/>
      <c r="J2211" s="43"/>
      <c r="K2211" s="43"/>
      <c r="L2211" s="43"/>
    </row>
    <row r="2212">
      <c r="G2212" s="46"/>
      <c r="H2212" s="46"/>
      <c r="I2212" s="46"/>
      <c r="J2212" s="43"/>
      <c r="K2212" s="43"/>
      <c r="L2212" s="43"/>
    </row>
    <row r="2213">
      <c r="G2213" s="46"/>
      <c r="H2213" s="46"/>
      <c r="I2213" s="46"/>
      <c r="J2213" s="43"/>
      <c r="K2213" s="43"/>
      <c r="L2213" s="43"/>
    </row>
    <row r="2214">
      <c r="G2214" s="46"/>
      <c r="H2214" s="46"/>
      <c r="I2214" s="46"/>
      <c r="J2214" s="43"/>
      <c r="K2214" s="43"/>
      <c r="L2214" s="43"/>
    </row>
    <row r="2215">
      <c r="G2215" s="46"/>
      <c r="H2215" s="46"/>
      <c r="I2215" s="46"/>
      <c r="J2215" s="43"/>
      <c r="K2215" s="43"/>
      <c r="L2215" s="43"/>
    </row>
    <row r="2216">
      <c r="G2216" s="46"/>
      <c r="H2216" s="46"/>
      <c r="I2216" s="46"/>
      <c r="J2216" s="43"/>
      <c r="K2216" s="43"/>
      <c r="L2216" s="43"/>
    </row>
    <row r="2217">
      <c r="G2217" s="46"/>
      <c r="H2217" s="46"/>
      <c r="I2217" s="46"/>
      <c r="J2217" s="43"/>
      <c r="K2217" s="43"/>
      <c r="L2217" s="43"/>
    </row>
    <row r="2218">
      <c r="G2218" s="46"/>
      <c r="H2218" s="46"/>
      <c r="I2218" s="46"/>
      <c r="J2218" s="43"/>
      <c r="K2218" s="43"/>
      <c r="L2218" s="43"/>
    </row>
    <row r="2219">
      <c r="G2219" s="46"/>
      <c r="H2219" s="46"/>
      <c r="I2219" s="46"/>
      <c r="J2219" s="43"/>
      <c r="K2219" s="43"/>
      <c r="L2219" s="43"/>
    </row>
    <row r="2220">
      <c r="G2220" s="46"/>
      <c r="H2220" s="46"/>
      <c r="I2220" s="46"/>
      <c r="J2220" s="43"/>
      <c r="K2220" s="43"/>
      <c r="L2220" s="43"/>
    </row>
    <row r="2221">
      <c r="G2221" s="46"/>
      <c r="H2221" s="46"/>
      <c r="I2221" s="46"/>
      <c r="J2221" s="43"/>
      <c r="K2221" s="43"/>
      <c r="L2221" s="43"/>
    </row>
    <row r="2222">
      <c r="G2222" s="46"/>
      <c r="H2222" s="46"/>
      <c r="I2222" s="46"/>
      <c r="J2222" s="43"/>
      <c r="K2222" s="43"/>
      <c r="L2222" s="43"/>
    </row>
    <row r="2223">
      <c r="G2223" s="46"/>
      <c r="H2223" s="46"/>
      <c r="I2223" s="46"/>
      <c r="J2223" s="43"/>
      <c r="K2223" s="43"/>
      <c r="L2223" s="43"/>
    </row>
    <row r="2224">
      <c r="G2224" s="46"/>
      <c r="H2224" s="46"/>
      <c r="I2224" s="46"/>
      <c r="J2224" s="43"/>
      <c r="K2224" s="43"/>
      <c r="L2224" s="43"/>
    </row>
    <row r="2225">
      <c r="G2225" s="46"/>
      <c r="H2225" s="46"/>
      <c r="I2225" s="46"/>
      <c r="J2225" s="43"/>
      <c r="K2225" s="43"/>
      <c r="L2225" s="43"/>
    </row>
    <row r="2226">
      <c r="G2226" s="46"/>
      <c r="H2226" s="46"/>
      <c r="I2226" s="46"/>
      <c r="J2226" s="43"/>
      <c r="K2226" s="43"/>
      <c r="L2226" s="43"/>
    </row>
    <row r="2227">
      <c r="G2227" s="46"/>
      <c r="H2227" s="46"/>
      <c r="I2227" s="46"/>
      <c r="J2227" s="43"/>
      <c r="K2227" s="43"/>
      <c r="L2227" s="43"/>
    </row>
    <row r="2228">
      <c r="G2228" s="46"/>
      <c r="H2228" s="46"/>
      <c r="I2228" s="46"/>
      <c r="J2228" s="43"/>
      <c r="K2228" s="43"/>
      <c r="L2228" s="43"/>
    </row>
    <row r="2229">
      <c r="G2229" s="46"/>
      <c r="H2229" s="46"/>
      <c r="I2229" s="46"/>
      <c r="J2229" s="43"/>
      <c r="K2229" s="43"/>
      <c r="L2229" s="43"/>
    </row>
    <row r="2230">
      <c r="G2230" s="46"/>
      <c r="H2230" s="46"/>
      <c r="I2230" s="46"/>
      <c r="J2230" s="43"/>
      <c r="K2230" s="43"/>
      <c r="L2230" s="43"/>
    </row>
    <row r="2231">
      <c r="G2231" s="46"/>
      <c r="H2231" s="46"/>
      <c r="I2231" s="46"/>
      <c r="J2231" s="43"/>
      <c r="K2231" s="43"/>
      <c r="L2231" s="43"/>
    </row>
    <row r="2232">
      <c r="G2232" s="46"/>
      <c r="H2232" s="46"/>
      <c r="I2232" s="46"/>
      <c r="J2232" s="43"/>
      <c r="K2232" s="43"/>
      <c r="L2232" s="43"/>
    </row>
    <row r="2233">
      <c r="G2233" s="46"/>
      <c r="H2233" s="46"/>
      <c r="I2233" s="46"/>
      <c r="J2233" s="43"/>
      <c r="K2233" s="43"/>
      <c r="L2233" s="43"/>
    </row>
    <row r="2234">
      <c r="G2234" s="46"/>
      <c r="H2234" s="46"/>
      <c r="I2234" s="46"/>
      <c r="J2234" s="43"/>
      <c r="K2234" s="43"/>
      <c r="L2234" s="43"/>
    </row>
    <row r="2235">
      <c r="G2235" s="46"/>
      <c r="H2235" s="46"/>
      <c r="I2235" s="46"/>
      <c r="J2235" s="43"/>
      <c r="K2235" s="43"/>
      <c r="L2235" s="43"/>
    </row>
    <row r="2236">
      <c r="G2236" s="46"/>
      <c r="H2236" s="46"/>
      <c r="I2236" s="46"/>
      <c r="J2236" s="43"/>
      <c r="K2236" s="43"/>
      <c r="L2236" s="43"/>
    </row>
    <row r="2237">
      <c r="G2237" s="46"/>
      <c r="H2237" s="46"/>
      <c r="I2237" s="46"/>
      <c r="J2237" s="43"/>
      <c r="K2237" s="43"/>
      <c r="L2237" s="43"/>
    </row>
    <row r="2238">
      <c r="G2238" s="46"/>
      <c r="H2238" s="46"/>
      <c r="I2238" s="46"/>
      <c r="J2238" s="43"/>
      <c r="K2238" s="43"/>
      <c r="L2238" s="43"/>
    </row>
    <row r="2239">
      <c r="G2239" s="46"/>
      <c r="H2239" s="46"/>
      <c r="I2239" s="46"/>
      <c r="J2239" s="43"/>
      <c r="K2239" s="43"/>
      <c r="L2239" s="43"/>
    </row>
    <row r="2240">
      <c r="G2240" s="46"/>
      <c r="H2240" s="46"/>
      <c r="I2240" s="46"/>
      <c r="J2240" s="43"/>
      <c r="K2240" s="43"/>
      <c r="L2240" s="43"/>
    </row>
    <row r="2241">
      <c r="G2241" s="46"/>
      <c r="H2241" s="46"/>
      <c r="I2241" s="46"/>
      <c r="J2241" s="43"/>
      <c r="K2241" s="43"/>
      <c r="L2241" s="43"/>
    </row>
    <row r="2242">
      <c r="G2242" s="46"/>
      <c r="H2242" s="46"/>
      <c r="I2242" s="46"/>
      <c r="J2242" s="43"/>
      <c r="K2242" s="43"/>
      <c r="L2242" s="43"/>
    </row>
    <row r="2243">
      <c r="G2243" s="46"/>
      <c r="H2243" s="46"/>
      <c r="I2243" s="46"/>
      <c r="J2243" s="43"/>
      <c r="K2243" s="43"/>
      <c r="L2243" s="43"/>
    </row>
    <row r="2244">
      <c r="G2244" s="46"/>
      <c r="H2244" s="46"/>
      <c r="I2244" s="46"/>
      <c r="J2244" s="43"/>
      <c r="K2244" s="43"/>
      <c r="L2244" s="43"/>
    </row>
    <row r="2245">
      <c r="G2245" s="46"/>
      <c r="H2245" s="46"/>
      <c r="I2245" s="46"/>
      <c r="J2245" s="43"/>
      <c r="K2245" s="43"/>
      <c r="L2245" s="43"/>
    </row>
    <row r="2246">
      <c r="G2246" s="46"/>
      <c r="H2246" s="46"/>
      <c r="I2246" s="46"/>
      <c r="J2246" s="43"/>
      <c r="K2246" s="43"/>
      <c r="L2246" s="43"/>
    </row>
    <row r="2247">
      <c r="G2247" s="46"/>
      <c r="H2247" s="46"/>
      <c r="I2247" s="46"/>
      <c r="J2247" s="43"/>
      <c r="K2247" s="43"/>
      <c r="L2247" s="43"/>
    </row>
    <row r="2248">
      <c r="G2248" s="46"/>
      <c r="H2248" s="46"/>
      <c r="I2248" s="46"/>
      <c r="J2248" s="43"/>
      <c r="K2248" s="43"/>
      <c r="L2248" s="43"/>
    </row>
    <row r="2249">
      <c r="G2249" s="46"/>
      <c r="H2249" s="46"/>
      <c r="I2249" s="46"/>
      <c r="J2249" s="43"/>
      <c r="K2249" s="43"/>
      <c r="L2249" s="43"/>
    </row>
    <row r="2250">
      <c r="G2250" s="46"/>
      <c r="H2250" s="46"/>
      <c r="I2250" s="46"/>
      <c r="J2250" s="43"/>
      <c r="K2250" s="43"/>
      <c r="L2250" s="43"/>
    </row>
    <row r="2251">
      <c r="G2251" s="46"/>
      <c r="H2251" s="46"/>
      <c r="I2251" s="46"/>
      <c r="J2251" s="43"/>
      <c r="K2251" s="43"/>
      <c r="L2251" s="43"/>
    </row>
    <row r="2252">
      <c r="G2252" s="46"/>
      <c r="H2252" s="46"/>
      <c r="I2252" s="46"/>
      <c r="J2252" s="43"/>
      <c r="K2252" s="43"/>
      <c r="L2252" s="43"/>
    </row>
    <row r="2253">
      <c r="G2253" s="46"/>
      <c r="H2253" s="46"/>
      <c r="I2253" s="46"/>
      <c r="J2253" s="43"/>
      <c r="K2253" s="43"/>
      <c r="L2253" s="43"/>
    </row>
    <row r="2254">
      <c r="G2254" s="46"/>
      <c r="H2254" s="46"/>
      <c r="I2254" s="46"/>
      <c r="J2254" s="43"/>
      <c r="K2254" s="43"/>
      <c r="L2254" s="43"/>
    </row>
    <row r="2255">
      <c r="G2255" s="46"/>
      <c r="H2255" s="46"/>
      <c r="I2255" s="46"/>
      <c r="J2255" s="43"/>
      <c r="K2255" s="43"/>
      <c r="L2255" s="43"/>
    </row>
    <row r="2256">
      <c r="G2256" s="46"/>
      <c r="H2256" s="46"/>
      <c r="I2256" s="46"/>
      <c r="J2256" s="43"/>
      <c r="K2256" s="43"/>
      <c r="L2256" s="43"/>
    </row>
    <row r="2257">
      <c r="G2257" s="46"/>
      <c r="H2257" s="46"/>
      <c r="I2257" s="46"/>
      <c r="J2257" s="43"/>
      <c r="K2257" s="43"/>
      <c r="L2257" s="43"/>
    </row>
    <row r="2258">
      <c r="G2258" s="46"/>
      <c r="H2258" s="46"/>
      <c r="I2258" s="46"/>
      <c r="J2258" s="43"/>
      <c r="K2258" s="43"/>
      <c r="L2258" s="43"/>
    </row>
    <row r="2259">
      <c r="G2259" s="46"/>
      <c r="H2259" s="46"/>
      <c r="I2259" s="46"/>
      <c r="J2259" s="43"/>
      <c r="K2259" s="43"/>
      <c r="L2259" s="43"/>
    </row>
    <row r="2260">
      <c r="G2260" s="46"/>
      <c r="H2260" s="46"/>
      <c r="I2260" s="46"/>
      <c r="J2260" s="43"/>
      <c r="K2260" s="43"/>
      <c r="L2260" s="43"/>
    </row>
    <row r="2261">
      <c r="G2261" s="46"/>
      <c r="H2261" s="46"/>
      <c r="I2261" s="46"/>
      <c r="J2261" s="43"/>
      <c r="K2261" s="43"/>
      <c r="L2261" s="43"/>
    </row>
    <row r="2262">
      <c r="G2262" s="46"/>
      <c r="H2262" s="46"/>
      <c r="I2262" s="46"/>
      <c r="J2262" s="43"/>
      <c r="K2262" s="43"/>
      <c r="L2262" s="43"/>
    </row>
    <row r="2263">
      <c r="G2263" s="46"/>
      <c r="H2263" s="46"/>
      <c r="I2263" s="46"/>
      <c r="J2263" s="43"/>
      <c r="K2263" s="43"/>
      <c r="L2263" s="43"/>
    </row>
    <row r="2264">
      <c r="G2264" s="46"/>
      <c r="H2264" s="46"/>
      <c r="I2264" s="46"/>
      <c r="J2264" s="43"/>
      <c r="K2264" s="43"/>
      <c r="L2264" s="43"/>
    </row>
    <row r="2265">
      <c r="G2265" s="46"/>
      <c r="H2265" s="46"/>
      <c r="I2265" s="46"/>
      <c r="J2265" s="43"/>
      <c r="K2265" s="43"/>
      <c r="L2265" s="43"/>
    </row>
    <row r="2266">
      <c r="G2266" s="46"/>
      <c r="H2266" s="46"/>
      <c r="I2266" s="46"/>
      <c r="J2266" s="43"/>
      <c r="K2266" s="43"/>
      <c r="L2266" s="43"/>
    </row>
    <row r="2267">
      <c r="G2267" s="46"/>
      <c r="H2267" s="46"/>
      <c r="I2267" s="46"/>
      <c r="J2267" s="43"/>
      <c r="K2267" s="43"/>
      <c r="L2267" s="43"/>
    </row>
    <row r="2268">
      <c r="G2268" s="46"/>
      <c r="H2268" s="46"/>
      <c r="I2268" s="46"/>
      <c r="J2268" s="43"/>
      <c r="K2268" s="43"/>
      <c r="L2268" s="43"/>
    </row>
    <row r="2269">
      <c r="G2269" s="46"/>
      <c r="H2269" s="46"/>
      <c r="I2269" s="46"/>
      <c r="J2269" s="43"/>
      <c r="K2269" s="43"/>
      <c r="L2269" s="43"/>
    </row>
    <row r="2270">
      <c r="G2270" s="46"/>
      <c r="H2270" s="46"/>
      <c r="I2270" s="46"/>
      <c r="J2270" s="43"/>
      <c r="K2270" s="43"/>
      <c r="L2270" s="43"/>
    </row>
    <row r="2271">
      <c r="G2271" s="46"/>
      <c r="H2271" s="46"/>
      <c r="I2271" s="46"/>
      <c r="J2271" s="43"/>
      <c r="K2271" s="43"/>
      <c r="L2271" s="43"/>
    </row>
    <row r="2272">
      <c r="G2272" s="46"/>
      <c r="H2272" s="46"/>
      <c r="I2272" s="46"/>
      <c r="J2272" s="43"/>
      <c r="K2272" s="43"/>
      <c r="L2272" s="43"/>
    </row>
    <row r="2273">
      <c r="G2273" s="46"/>
      <c r="H2273" s="46"/>
      <c r="I2273" s="46"/>
      <c r="J2273" s="43"/>
      <c r="K2273" s="43"/>
      <c r="L2273" s="43"/>
    </row>
    <row r="2274">
      <c r="G2274" s="46"/>
      <c r="H2274" s="46"/>
      <c r="I2274" s="46"/>
      <c r="J2274" s="43"/>
      <c r="K2274" s="43"/>
      <c r="L2274" s="43"/>
    </row>
    <row r="2275">
      <c r="G2275" s="46"/>
      <c r="H2275" s="46"/>
      <c r="I2275" s="46"/>
      <c r="J2275" s="43"/>
      <c r="K2275" s="43"/>
      <c r="L2275" s="43"/>
    </row>
    <row r="2276">
      <c r="G2276" s="46"/>
      <c r="H2276" s="46"/>
      <c r="I2276" s="46"/>
      <c r="J2276" s="43"/>
      <c r="K2276" s="43"/>
      <c r="L2276" s="43"/>
    </row>
    <row r="2277">
      <c r="G2277" s="46"/>
      <c r="H2277" s="46"/>
      <c r="I2277" s="46"/>
      <c r="J2277" s="43"/>
      <c r="K2277" s="43"/>
      <c r="L2277" s="43"/>
    </row>
    <row r="2278">
      <c r="G2278" s="46"/>
      <c r="H2278" s="46"/>
      <c r="I2278" s="46"/>
      <c r="J2278" s="43"/>
      <c r="K2278" s="43"/>
      <c r="L2278" s="43"/>
    </row>
    <row r="2279">
      <c r="G2279" s="46"/>
      <c r="H2279" s="46"/>
      <c r="I2279" s="46"/>
      <c r="J2279" s="43"/>
      <c r="K2279" s="43"/>
      <c r="L2279" s="43"/>
    </row>
    <row r="2280">
      <c r="G2280" s="46"/>
      <c r="H2280" s="46"/>
      <c r="I2280" s="46"/>
      <c r="J2280" s="43"/>
      <c r="K2280" s="43"/>
      <c r="L2280" s="43"/>
    </row>
    <row r="2281">
      <c r="G2281" s="46"/>
      <c r="H2281" s="46"/>
      <c r="I2281" s="46"/>
      <c r="J2281" s="43"/>
      <c r="K2281" s="43"/>
      <c r="L2281" s="43"/>
    </row>
    <row r="2282">
      <c r="G2282" s="46"/>
      <c r="H2282" s="46"/>
      <c r="I2282" s="46"/>
      <c r="J2282" s="43"/>
      <c r="K2282" s="43"/>
      <c r="L2282" s="43"/>
    </row>
    <row r="2283">
      <c r="G2283" s="46"/>
      <c r="H2283" s="46"/>
      <c r="I2283" s="46"/>
      <c r="J2283" s="43"/>
      <c r="K2283" s="43"/>
      <c r="L2283" s="43"/>
    </row>
    <row r="2284">
      <c r="G2284" s="46"/>
      <c r="H2284" s="46"/>
      <c r="I2284" s="46"/>
      <c r="J2284" s="43"/>
      <c r="K2284" s="43"/>
      <c r="L2284" s="43"/>
    </row>
    <row r="2285">
      <c r="G2285" s="46"/>
      <c r="H2285" s="46"/>
      <c r="I2285" s="46"/>
      <c r="J2285" s="43"/>
      <c r="K2285" s="43"/>
      <c r="L2285" s="43"/>
    </row>
    <row r="2286">
      <c r="G2286" s="46"/>
      <c r="H2286" s="46"/>
      <c r="I2286" s="46"/>
      <c r="J2286" s="43"/>
      <c r="K2286" s="43"/>
      <c r="L2286" s="43"/>
    </row>
    <row r="2287">
      <c r="G2287" s="46"/>
      <c r="H2287" s="46"/>
      <c r="I2287" s="46"/>
      <c r="J2287" s="43"/>
      <c r="K2287" s="43"/>
      <c r="L2287" s="43"/>
    </row>
    <row r="2288">
      <c r="G2288" s="46"/>
      <c r="H2288" s="46"/>
      <c r="I2288" s="46"/>
      <c r="J2288" s="43"/>
      <c r="K2288" s="43"/>
      <c r="L2288" s="43"/>
    </row>
    <row r="2289">
      <c r="G2289" s="46"/>
      <c r="H2289" s="46"/>
      <c r="I2289" s="46"/>
      <c r="J2289" s="43"/>
      <c r="K2289" s="43"/>
      <c r="L2289" s="43"/>
    </row>
    <row r="2290">
      <c r="G2290" s="46"/>
      <c r="H2290" s="46"/>
      <c r="I2290" s="46"/>
      <c r="J2290" s="43"/>
      <c r="K2290" s="43"/>
      <c r="L2290" s="43"/>
    </row>
    <row r="2291">
      <c r="G2291" s="46"/>
      <c r="H2291" s="46"/>
      <c r="I2291" s="46"/>
      <c r="J2291" s="43"/>
      <c r="K2291" s="43"/>
      <c r="L2291" s="43"/>
    </row>
    <row r="2292">
      <c r="G2292" s="46"/>
      <c r="H2292" s="46"/>
      <c r="I2292" s="46"/>
      <c r="J2292" s="43"/>
      <c r="K2292" s="43"/>
      <c r="L2292" s="43"/>
    </row>
    <row r="2293">
      <c r="G2293" s="46"/>
      <c r="H2293" s="46"/>
      <c r="I2293" s="46"/>
      <c r="J2293" s="43"/>
      <c r="K2293" s="43"/>
      <c r="L2293" s="43"/>
    </row>
    <row r="2294">
      <c r="G2294" s="46"/>
      <c r="H2294" s="46"/>
      <c r="I2294" s="46"/>
      <c r="J2294" s="43"/>
      <c r="K2294" s="43"/>
      <c r="L2294" s="43"/>
    </row>
    <row r="2295">
      <c r="G2295" s="46"/>
      <c r="H2295" s="46"/>
      <c r="I2295" s="46"/>
      <c r="J2295" s="43"/>
      <c r="K2295" s="43"/>
      <c r="L2295" s="43"/>
    </row>
    <row r="2296">
      <c r="G2296" s="46"/>
      <c r="H2296" s="46"/>
      <c r="I2296" s="46"/>
      <c r="J2296" s="43"/>
      <c r="K2296" s="43"/>
      <c r="L2296" s="43"/>
    </row>
    <row r="2297">
      <c r="G2297" s="46"/>
      <c r="H2297" s="46"/>
      <c r="I2297" s="46"/>
      <c r="J2297" s="43"/>
      <c r="K2297" s="43"/>
      <c r="L2297" s="43"/>
    </row>
    <row r="2298">
      <c r="G2298" s="46"/>
      <c r="H2298" s="46"/>
      <c r="I2298" s="46"/>
      <c r="J2298" s="43"/>
      <c r="K2298" s="43"/>
      <c r="L2298" s="43"/>
    </row>
    <row r="2299">
      <c r="G2299" s="46"/>
      <c r="H2299" s="46"/>
      <c r="I2299" s="46"/>
      <c r="J2299" s="43"/>
      <c r="K2299" s="43"/>
      <c r="L2299" s="43"/>
    </row>
    <row r="2300">
      <c r="G2300" s="46"/>
      <c r="H2300" s="46"/>
      <c r="I2300" s="46"/>
      <c r="J2300" s="43"/>
      <c r="K2300" s="43"/>
      <c r="L2300" s="43"/>
    </row>
    <row r="2301">
      <c r="G2301" s="46"/>
      <c r="H2301" s="46"/>
      <c r="I2301" s="46"/>
      <c r="J2301" s="43"/>
      <c r="K2301" s="43"/>
      <c r="L2301" s="43"/>
    </row>
    <row r="2302">
      <c r="G2302" s="46"/>
      <c r="H2302" s="46"/>
      <c r="I2302" s="46"/>
      <c r="J2302" s="43"/>
      <c r="K2302" s="43"/>
      <c r="L2302" s="43"/>
    </row>
    <row r="2303">
      <c r="G2303" s="46"/>
      <c r="H2303" s="46"/>
      <c r="I2303" s="46"/>
      <c r="J2303" s="43"/>
      <c r="K2303" s="43"/>
      <c r="L2303" s="43"/>
    </row>
    <row r="2304">
      <c r="G2304" s="46"/>
      <c r="H2304" s="46"/>
      <c r="I2304" s="46"/>
      <c r="J2304" s="43"/>
      <c r="K2304" s="43"/>
      <c r="L2304" s="43"/>
    </row>
    <row r="2305">
      <c r="G2305" s="46"/>
      <c r="H2305" s="46"/>
      <c r="I2305" s="46"/>
      <c r="J2305" s="43"/>
      <c r="K2305" s="43"/>
      <c r="L2305" s="43"/>
    </row>
    <row r="2306">
      <c r="G2306" s="46"/>
      <c r="H2306" s="46"/>
      <c r="I2306" s="46"/>
      <c r="J2306" s="43"/>
      <c r="K2306" s="43"/>
      <c r="L2306" s="43"/>
    </row>
    <row r="2307">
      <c r="G2307" s="46"/>
      <c r="H2307" s="46"/>
      <c r="I2307" s="46"/>
      <c r="J2307" s="43"/>
      <c r="K2307" s="43"/>
      <c r="L2307" s="43"/>
    </row>
    <row r="2308">
      <c r="G2308" s="46"/>
      <c r="H2308" s="46"/>
      <c r="I2308" s="46"/>
      <c r="J2308" s="43"/>
      <c r="K2308" s="43"/>
      <c r="L2308" s="43"/>
    </row>
    <row r="2309">
      <c r="G2309" s="46"/>
      <c r="H2309" s="46"/>
      <c r="I2309" s="46"/>
      <c r="J2309" s="43"/>
      <c r="K2309" s="43"/>
      <c r="L2309" s="43"/>
    </row>
    <row r="2310">
      <c r="G2310" s="46"/>
      <c r="H2310" s="46"/>
      <c r="I2310" s="46"/>
      <c r="J2310" s="43"/>
      <c r="K2310" s="43"/>
      <c r="L2310" s="43"/>
    </row>
    <row r="2311">
      <c r="G2311" s="46"/>
      <c r="H2311" s="46"/>
      <c r="I2311" s="46"/>
      <c r="J2311" s="43"/>
      <c r="K2311" s="43"/>
      <c r="L2311" s="43"/>
    </row>
    <row r="2312">
      <c r="G2312" s="46"/>
      <c r="H2312" s="46"/>
      <c r="I2312" s="46"/>
      <c r="J2312" s="43"/>
      <c r="K2312" s="43"/>
      <c r="L2312" s="43"/>
    </row>
    <row r="2313">
      <c r="G2313" s="46"/>
      <c r="H2313" s="46"/>
      <c r="I2313" s="46"/>
      <c r="J2313" s="43"/>
      <c r="K2313" s="43"/>
      <c r="L2313" s="43"/>
    </row>
    <row r="2314">
      <c r="G2314" s="46"/>
      <c r="H2314" s="46"/>
      <c r="I2314" s="46"/>
      <c r="J2314" s="43"/>
      <c r="K2314" s="43"/>
      <c r="L2314" s="43"/>
    </row>
    <row r="2315">
      <c r="G2315" s="46"/>
      <c r="H2315" s="46"/>
      <c r="I2315" s="46"/>
      <c r="J2315" s="43"/>
      <c r="K2315" s="43"/>
      <c r="L2315" s="43"/>
    </row>
    <row r="2316">
      <c r="G2316" s="46"/>
      <c r="H2316" s="46"/>
      <c r="I2316" s="46"/>
      <c r="J2316" s="43"/>
      <c r="K2316" s="43"/>
      <c r="L2316" s="43"/>
    </row>
    <row r="2317">
      <c r="G2317" s="46"/>
      <c r="H2317" s="46"/>
      <c r="I2317" s="46"/>
      <c r="J2317" s="43"/>
      <c r="K2317" s="43"/>
      <c r="L2317" s="43"/>
    </row>
    <row r="2318">
      <c r="G2318" s="46"/>
      <c r="H2318" s="46"/>
      <c r="I2318" s="46"/>
      <c r="J2318" s="43"/>
      <c r="K2318" s="43"/>
      <c r="L2318" s="43"/>
    </row>
    <row r="2319">
      <c r="G2319" s="46"/>
      <c r="H2319" s="46"/>
      <c r="I2319" s="46"/>
      <c r="J2319" s="43"/>
      <c r="K2319" s="43"/>
      <c r="L2319" s="43"/>
    </row>
    <row r="2320">
      <c r="G2320" s="46"/>
      <c r="H2320" s="46"/>
      <c r="I2320" s="46"/>
      <c r="J2320" s="43"/>
      <c r="K2320" s="43"/>
      <c r="L2320" s="43"/>
    </row>
    <row r="2321">
      <c r="G2321" s="46"/>
      <c r="H2321" s="46"/>
      <c r="I2321" s="46"/>
      <c r="J2321" s="43"/>
      <c r="K2321" s="43"/>
      <c r="L2321" s="43"/>
    </row>
    <row r="2322">
      <c r="G2322" s="46"/>
      <c r="H2322" s="46"/>
      <c r="I2322" s="46"/>
      <c r="J2322" s="43"/>
      <c r="K2322" s="43"/>
      <c r="L2322" s="43"/>
    </row>
    <row r="2323">
      <c r="G2323" s="46"/>
      <c r="H2323" s="46"/>
      <c r="I2323" s="46"/>
      <c r="J2323" s="43"/>
      <c r="K2323" s="43"/>
      <c r="L2323" s="43"/>
    </row>
    <row r="2324">
      <c r="G2324" s="46"/>
      <c r="H2324" s="46"/>
      <c r="I2324" s="46"/>
      <c r="J2324" s="43"/>
      <c r="K2324" s="43"/>
      <c r="L2324" s="43"/>
    </row>
    <row r="2325">
      <c r="G2325" s="46"/>
      <c r="H2325" s="46"/>
      <c r="I2325" s="46"/>
      <c r="J2325" s="43"/>
      <c r="K2325" s="43"/>
      <c r="L2325" s="43"/>
    </row>
    <row r="2326">
      <c r="G2326" s="46"/>
      <c r="H2326" s="46"/>
      <c r="I2326" s="46"/>
      <c r="J2326" s="43"/>
      <c r="K2326" s="43"/>
      <c r="L2326" s="43"/>
    </row>
    <row r="2327">
      <c r="G2327" s="46"/>
      <c r="H2327" s="46"/>
      <c r="I2327" s="46"/>
      <c r="J2327" s="43"/>
      <c r="K2327" s="43"/>
      <c r="L2327" s="43"/>
    </row>
    <row r="2328">
      <c r="G2328" s="46"/>
      <c r="H2328" s="46"/>
      <c r="I2328" s="46"/>
      <c r="J2328" s="43"/>
      <c r="K2328" s="43"/>
      <c r="L2328" s="43"/>
    </row>
    <row r="2329">
      <c r="G2329" s="46"/>
      <c r="H2329" s="46"/>
      <c r="I2329" s="46"/>
      <c r="J2329" s="43"/>
      <c r="K2329" s="43"/>
      <c r="L2329" s="43"/>
    </row>
    <row r="2330">
      <c r="G2330" s="46"/>
      <c r="H2330" s="46"/>
      <c r="I2330" s="46"/>
      <c r="J2330" s="43"/>
      <c r="K2330" s="43"/>
      <c r="L2330" s="43"/>
    </row>
    <row r="2331">
      <c r="G2331" s="46"/>
      <c r="H2331" s="46"/>
      <c r="I2331" s="46"/>
      <c r="J2331" s="43"/>
      <c r="K2331" s="43"/>
      <c r="L2331" s="43"/>
    </row>
    <row r="2332">
      <c r="G2332" s="46"/>
      <c r="H2332" s="46"/>
      <c r="I2332" s="46"/>
      <c r="J2332" s="43"/>
      <c r="K2332" s="43"/>
      <c r="L2332" s="43"/>
    </row>
    <row r="2333">
      <c r="G2333" s="46"/>
      <c r="H2333" s="46"/>
      <c r="I2333" s="46"/>
      <c r="J2333" s="43"/>
      <c r="K2333" s="43"/>
      <c r="L2333" s="43"/>
    </row>
    <row r="2334">
      <c r="G2334" s="46"/>
      <c r="H2334" s="46"/>
      <c r="I2334" s="46"/>
      <c r="J2334" s="43"/>
      <c r="K2334" s="43"/>
      <c r="L2334" s="43"/>
    </row>
    <row r="2335">
      <c r="G2335" s="46"/>
      <c r="H2335" s="46"/>
      <c r="I2335" s="46"/>
      <c r="J2335" s="43"/>
      <c r="K2335" s="43"/>
      <c r="L2335" s="43"/>
    </row>
    <row r="2336">
      <c r="G2336" s="46"/>
      <c r="H2336" s="46"/>
      <c r="I2336" s="46"/>
      <c r="J2336" s="43"/>
      <c r="K2336" s="43"/>
      <c r="L2336" s="43"/>
    </row>
    <row r="2337">
      <c r="G2337" s="46"/>
      <c r="H2337" s="46"/>
      <c r="I2337" s="46"/>
      <c r="J2337" s="43"/>
      <c r="K2337" s="43"/>
      <c r="L2337" s="43"/>
    </row>
    <row r="2338">
      <c r="G2338" s="46"/>
      <c r="H2338" s="46"/>
      <c r="I2338" s="46"/>
      <c r="J2338" s="43"/>
      <c r="K2338" s="43"/>
      <c r="L2338" s="43"/>
    </row>
    <row r="2339">
      <c r="G2339" s="46"/>
      <c r="H2339" s="46"/>
      <c r="I2339" s="46"/>
      <c r="J2339" s="43"/>
      <c r="K2339" s="43"/>
      <c r="L2339" s="43"/>
    </row>
    <row r="2340">
      <c r="G2340" s="46"/>
      <c r="H2340" s="46"/>
      <c r="I2340" s="46"/>
      <c r="J2340" s="43"/>
      <c r="K2340" s="43"/>
      <c r="L2340" s="43"/>
    </row>
    <row r="2341">
      <c r="G2341" s="46"/>
      <c r="H2341" s="46"/>
      <c r="I2341" s="46"/>
      <c r="J2341" s="43"/>
      <c r="K2341" s="43"/>
      <c r="L2341" s="43"/>
    </row>
    <row r="2342">
      <c r="G2342" s="46"/>
      <c r="H2342" s="46"/>
      <c r="I2342" s="46"/>
      <c r="J2342" s="43"/>
      <c r="K2342" s="43"/>
      <c r="L2342" s="43"/>
    </row>
    <row r="2343">
      <c r="G2343" s="46"/>
      <c r="H2343" s="46"/>
      <c r="I2343" s="46"/>
      <c r="J2343" s="43"/>
      <c r="K2343" s="43"/>
      <c r="L2343" s="43"/>
    </row>
    <row r="2344">
      <c r="G2344" s="46"/>
      <c r="H2344" s="46"/>
      <c r="I2344" s="46"/>
      <c r="J2344" s="43"/>
      <c r="K2344" s="43"/>
      <c r="L2344" s="43"/>
    </row>
    <row r="2345">
      <c r="G2345" s="46"/>
      <c r="H2345" s="46"/>
      <c r="I2345" s="46"/>
      <c r="J2345" s="43"/>
      <c r="K2345" s="43"/>
      <c r="L2345" s="43"/>
    </row>
    <row r="2346">
      <c r="G2346" s="46"/>
      <c r="H2346" s="46"/>
      <c r="I2346" s="46"/>
      <c r="J2346" s="43"/>
      <c r="K2346" s="43"/>
      <c r="L2346" s="43"/>
    </row>
    <row r="2347">
      <c r="G2347" s="46"/>
      <c r="H2347" s="46"/>
      <c r="I2347" s="46"/>
      <c r="J2347" s="43"/>
      <c r="K2347" s="43"/>
      <c r="L2347" s="43"/>
    </row>
    <row r="2348">
      <c r="G2348" s="46"/>
      <c r="H2348" s="46"/>
      <c r="I2348" s="46"/>
      <c r="J2348" s="43"/>
      <c r="K2348" s="43"/>
      <c r="L2348" s="43"/>
    </row>
    <row r="2349">
      <c r="G2349" s="46"/>
      <c r="H2349" s="46"/>
      <c r="I2349" s="46"/>
      <c r="J2349" s="43"/>
      <c r="K2349" s="43"/>
      <c r="L2349" s="43"/>
    </row>
    <row r="2350">
      <c r="G2350" s="46"/>
      <c r="H2350" s="46"/>
      <c r="I2350" s="46"/>
      <c r="J2350" s="43"/>
      <c r="K2350" s="43"/>
      <c r="L2350" s="43"/>
    </row>
    <row r="2351">
      <c r="G2351" s="46"/>
      <c r="H2351" s="46"/>
      <c r="I2351" s="46"/>
      <c r="J2351" s="43"/>
      <c r="K2351" s="43"/>
      <c r="L2351" s="43"/>
    </row>
    <row r="2352">
      <c r="G2352" s="46"/>
      <c r="H2352" s="46"/>
      <c r="I2352" s="46"/>
      <c r="J2352" s="43"/>
      <c r="K2352" s="43"/>
      <c r="L2352" s="43"/>
    </row>
    <row r="2353">
      <c r="G2353" s="46"/>
      <c r="H2353" s="46"/>
      <c r="I2353" s="46"/>
      <c r="J2353" s="43"/>
      <c r="K2353" s="43"/>
      <c r="L2353" s="43"/>
    </row>
    <row r="2354">
      <c r="G2354" s="46"/>
      <c r="H2354" s="46"/>
      <c r="I2354" s="46"/>
      <c r="J2354" s="43"/>
      <c r="K2354" s="43"/>
      <c r="L2354" s="43"/>
    </row>
    <row r="2355">
      <c r="G2355" s="46"/>
      <c r="H2355" s="46"/>
      <c r="I2355" s="46"/>
      <c r="J2355" s="43"/>
      <c r="K2355" s="43"/>
      <c r="L2355" s="43"/>
    </row>
    <row r="2356">
      <c r="G2356" s="46"/>
      <c r="H2356" s="46"/>
      <c r="I2356" s="46"/>
      <c r="J2356" s="43"/>
      <c r="K2356" s="43"/>
      <c r="L2356" s="43"/>
    </row>
    <row r="2357">
      <c r="G2357" s="46"/>
      <c r="H2357" s="46"/>
      <c r="I2357" s="46"/>
      <c r="J2357" s="43"/>
      <c r="K2357" s="43"/>
      <c r="L2357" s="43"/>
    </row>
    <row r="2358">
      <c r="G2358" s="46"/>
      <c r="H2358" s="46"/>
      <c r="I2358" s="46"/>
      <c r="J2358" s="43"/>
      <c r="K2358" s="43"/>
      <c r="L2358" s="43"/>
    </row>
    <row r="2359">
      <c r="G2359" s="46"/>
      <c r="H2359" s="46"/>
      <c r="I2359" s="46"/>
      <c r="J2359" s="43"/>
      <c r="K2359" s="43"/>
      <c r="L2359" s="43"/>
    </row>
    <row r="2360">
      <c r="G2360" s="46"/>
      <c r="H2360" s="46"/>
      <c r="I2360" s="46"/>
      <c r="J2360" s="43"/>
      <c r="K2360" s="43"/>
      <c r="L2360" s="43"/>
    </row>
    <row r="2361">
      <c r="G2361" s="46"/>
      <c r="H2361" s="46"/>
      <c r="I2361" s="46"/>
      <c r="J2361" s="43"/>
      <c r="K2361" s="43"/>
      <c r="L2361" s="43"/>
    </row>
    <row r="2362">
      <c r="G2362" s="46"/>
      <c r="H2362" s="46"/>
      <c r="I2362" s="46"/>
      <c r="J2362" s="43"/>
      <c r="K2362" s="43"/>
      <c r="L2362" s="43"/>
    </row>
    <row r="2363">
      <c r="G2363" s="46"/>
      <c r="H2363" s="46"/>
      <c r="I2363" s="46"/>
      <c r="J2363" s="43"/>
      <c r="K2363" s="43"/>
      <c r="L2363" s="43"/>
    </row>
    <row r="2364">
      <c r="G2364" s="46"/>
      <c r="H2364" s="46"/>
      <c r="I2364" s="46"/>
      <c r="J2364" s="43"/>
      <c r="K2364" s="43"/>
      <c r="L2364" s="43"/>
    </row>
    <row r="2365">
      <c r="G2365" s="46"/>
      <c r="H2365" s="46"/>
      <c r="I2365" s="46"/>
      <c r="J2365" s="43"/>
      <c r="K2365" s="43"/>
      <c r="L2365" s="43"/>
    </row>
    <row r="2366">
      <c r="G2366" s="46"/>
      <c r="H2366" s="46"/>
      <c r="I2366" s="46"/>
      <c r="J2366" s="43"/>
      <c r="K2366" s="43"/>
      <c r="L2366" s="43"/>
    </row>
    <row r="2367">
      <c r="G2367" s="46"/>
      <c r="H2367" s="46"/>
      <c r="I2367" s="46"/>
      <c r="J2367" s="43"/>
      <c r="K2367" s="43"/>
      <c r="L2367" s="43"/>
    </row>
    <row r="2368">
      <c r="G2368" s="46"/>
      <c r="H2368" s="46"/>
      <c r="I2368" s="46"/>
      <c r="J2368" s="43"/>
      <c r="K2368" s="43"/>
      <c r="L2368" s="43"/>
    </row>
    <row r="2369">
      <c r="G2369" s="46"/>
      <c r="H2369" s="46"/>
      <c r="I2369" s="46"/>
      <c r="J2369" s="43"/>
      <c r="K2369" s="43"/>
      <c r="L2369" s="43"/>
    </row>
    <row r="2370">
      <c r="G2370" s="46"/>
      <c r="H2370" s="46"/>
      <c r="I2370" s="46"/>
      <c r="J2370" s="43"/>
      <c r="K2370" s="43"/>
      <c r="L2370" s="43"/>
    </row>
    <row r="2371">
      <c r="G2371" s="46"/>
      <c r="H2371" s="46"/>
      <c r="I2371" s="46"/>
      <c r="J2371" s="43"/>
      <c r="K2371" s="43"/>
      <c r="L2371" s="43"/>
    </row>
    <row r="2372">
      <c r="G2372" s="46"/>
      <c r="H2372" s="46"/>
      <c r="I2372" s="46"/>
      <c r="J2372" s="43"/>
      <c r="K2372" s="43"/>
      <c r="L2372" s="43"/>
    </row>
    <row r="2373">
      <c r="G2373" s="46"/>
      <c r="H2373" s="46"/>
      <c r="I2373" s="46"/>
      <c r="J2373" s="43"/>
      <c r="K2373" s="43"/>
      <c r="L2373" s="43"/>
    </row>
    <row r="2374">
      <c r="G2374" s="46"/>
      <c r="H2374" s="46"/>
      <c r="I2374" s="46"/>
      <c r="J2374" s="43"/>
      <c r="K2374" s="43"/>
      <c r="L2374" s="43"/>
    </row>
    <row r="2375">
      <c r="G2375" s="46"/>
      <c r="H2375" s="46"/>
      <c r="I2375" s="46"/>
      <c r="J2375" s="43"/>
      <c r="K2375" s="43"/>
      <c r="L2375" s="43"/>
    </row>
    <row r="2376">
      <c r="G2376" s="46"/>
      <c r="H2376" s="46"/>
      <c r="I2376" s="46"/>
      <c r="J2376" s="43"/>
      <c r="K2376" s="43"/>
      <c r="L2376" s="43"/>
    </row>
    <row r="2377">
      <c r="G2377" s="46"/>
      <c r="H2377" s="46"/>
      <c r="I2377" s="46"/>
      <c r="J2377" s="43"/>
      <c r="K2377" s="43"/>
      <c r="L2377" s="43"/>
    </row>
    <row r="2378">
      <c r="G2378" s="46"/>
      <c r="H2378" s="46"/>
      <c r="I2378" s="46"/>
      <c r="J2378" s="43"/>
      <c r="K2378" s="43"/>
      <c r="L2378" s="43"/>
    </row>
    <row r="2379">
      <c r="G2379" s="46"/>
      <c r="H2379" s="46"/>
      <c r="I2379" s="46"/>
      <c r="J2379" s="43"/>
      <c r="K2379" s="43"/>
      <c r="L2379" s="43"/>
    </row>
    <row r="2380">
      <c r="G2380" s="46"/>
      <c r="H2380" s="46"/>
      <c r="I2380" s="46"/>
      <c r="J2380" s="43"/>
      <c r="K2380" s="43"/>
      <c r="L2380" s="43"/>
    </row>
    <row r="2381">
      <c r="G2381" s="46"/>
      <c r="H2381" s="46"/>
      <c r="I2381" s="46"/>
      <c r="J2381" s="43"/>
      <c r="K2381" s="43"/>
      <c r="L2381" s="43"/>
    </row>
    <row r="2382">
      <c r="G2382" s="46"/>
      <c r="H2382" s="46"/>
      <c r="I2382" s="46"/>
      <c r="J2382" s="43"/>
      <c r="K2382" s="43"/>
      <c r="L2382" s="43"/>
    </row>
    <row r="2383">
      <c r="G2383" s="46"/>
      <c r="H2383" s="46"/>
      <c r="I2383" s="46"/>
      <c r="J2383" s="43"/>
      <c r="K2383" s="43"/>
      <c r="L2383" s="43"/>
    </row>
    <row r="2384">
      <c r="G2384" s="46"/>
      <c r="H2384" s="46"/>
      <c r="I2384" s="46"/>
      <c r="J2384" s="43"/>
      <c r="K2384" s="43"/>
      <c r="L2384" s="43"/>
    </row>
    <row r="2385">
      <c r="G2385" s="46"/>
      <c r="H2385" s="46"/>
      <c r="I2385" s="46"/>
      <c r="J2385" s="43"/>
      <c r="K2385" s="43"/>
      <c r="L2385" s="43"/>
    </row>
    <row r="2386">
      <c r="G2386" s="46"/>
      <c r="H2386" s="46"/>
      <c r="I2386" s="46"/>
      <c r="J2386" s="43"/>
      <c r="K2386" s="43"/>
      <c r="L2386" s="43"/>
    </row>
    <row r="2387">
      <c r="G2387" s="46"/>
      <c r="H2387" s="46"/>
      <c r="I2387" s="46"/>
      <c r="J2387" s="43"/>
      <c r="K2387" s="43"/>
      <c r="L2387" s="43"/>
    </row>
    <row r="2388">
      <c r="G2388" s="46"/>
      <c r="H2388" s="46"/>
      <c r="I2388" s="46"/>
      <c r="J2388" s="43"/>
      <c r="K2388" s="43"/>
      <c r="L2388" s="43"/>
    </row>
    <row r="2389">
      <c r="G2389" s="46"/>
      <c r="H2389" s="46"/>
      <c r="I2389" s="46"/>
      <c r="J2389" s="43"/>
      <c r="K2389" s="43"/>
      <c r="L2389" s="43"/>
    </row>
    <row r="2390">
      <c r="G2390" s="46"/>
      <c r="H2390" s="46"/>
      <c r="I2390" s="46"/>
      <c r="J2390" s="43"/>
      <c r="K2390" s="43"/>
      <c r="L2390" s="43"/>
    </row>
    <row r="2391">
      <c r="G2391" s="46"/>
      <c r="H2391" s="46"/>
      <c r="I2391" s="46"/>
      <c r="J2391" s="43"/>
      <c r="K2391" s="43"/>
      <c r="L2391" s="43"/>
    </row>
    <row r="2392">
      <c r="G2392" s="46"/>
      <c r="H2392" s="46"/>
      <c r="I2392" s="46"/>
      <c r="J2392" s="43"/>
      <c r="K2392" s="43"/>
      <c r="L2392" s="43"/>
    </row>
    <row r="2393">
      <c r="G2393" s="46"/>
      <c r="H2393" s="46"/>
      <c r="I2393" s="46"/>
      <c r="J2393" s="43"/>
      <c r="K2393" s="43"/>
      <c r="L2393" s="43"/>
    </row>
    <row r="2394">
      <c r="G2394" s="46"/>
      <c r="H2394" s="46"/>
      <c r="I2394" s="46"/>
      <c r="J2394" s="43"/>
      <c r="K2394" s="43"/>
      <c r="L2394" s="43"/>
    </row>
    <row r="2395">
      <c r="G2395" s="46"/>
      <c r="H2395" s="46"/>
      <c r="I2395" s="46"/>
      <c r="J2395" s="43"/>
      <c r="K2395" s="43"/>
      <c r="L2395" s="43"/>
    </row>
    <row r="2396">
      <c r="G2396" s="46"/>
      <c r="H2396" s="46"/>
      <c r="I2396" s="46"/>
      <c r="J2396" s="43"/>
      <c r="K2396" s="43"/>
      <c r="L2396" s="43"/>
    </row>
    <row r="2397">
      <c r="G2397" s="46"/>
      <c r="H2397" s="46"/>
      <c r="I2397" s="46"/>
      <c r="J2397" s="43"/>
      <c r="K2397" s="43"/>
      <c r="L2397" s="43"/>
    </row>
    <row r="2398">
      <c r="G2398" s="46"/>
      <c r="H2398" s="46"/>
      <c r="I2398" s="46"/>
      <c r="J2398" s="43"/>
      <c r="K2398" s="43"/>
      <c r="L2398" s="43"/>
    </row>
    <row r="2399">
      <c r="G2399" s="46"/>
      <c r="H2399" s="46"/>
      <c r="I2399" s="46"/>
      <c r="J2399" s="43"/>
      <c r="K2399" s="43"/>
      <c r="L2399" s="43"/>
    </row>
    <row r="2400">
      <c r="G2400" s="46"/>
      <c r="H2400" s="46"/>
      <c r="I2400" s="46"/>
      <c r="J2400" s="43"/>
      <c r="K2400" s="43"/>
      <c r="L2400" s="43"/>
    </row>
    <row r="2401">
      <c r="G2401" s="46"/>
      <c r="H2401" s="46"/>
      <c r="I2401" s="46"/>
      <c r="J2401" s="43"/>
      <c r="K2401" s="43"/>
      <c r="L2401" s="43"/>
    </row>
    <row r="2402">
      <c r="G2402" s="46"/>
      <c r="H2402" s="46"/>
      <c r="I2402" s="46"/>
      <c r="J2402" s="43"/>
      <c r="K2402" s="43"/>
      <c r="L2402" s="43"/>
    </row>
    <row r="2403">
      <c r="G2403" s="46"/>
      <c r="H2403" s="46"/>
      <c r="I2403" s="46"/>
      <c r="J2403" s="43"/>
      <c r="K2403" s="43"/>
      <c r="L2403" s="43"/>
    </row>
    <row r="2404">
      <c r="G2404" s="46"/>
      <c r="H2404" s="46"/>
      <c r="I2404" s="46"/>
      <c r="J2404" s="43"/>
      <c r="K2404" s="43"/>
      <c r="L2404" s="43"/>
    </row>
    <row r="2405">
      <c r="G2405" s="46"/>
      <c r="H2405" s="46"/>
      <c r="I2405" s="46"/>
      <c r="J2405" s="43"/>
      <c r="K2405" s="43"/>
      <c r="L2405" s="43"/>
    </row>
    <row r="2406">
      <c r="G2406" s="46"/>
      <c r="H2406" s="46"/>
      <c r="I2406" s="46"/>
      <c r="J2406" s="43"/>
      <c r="K2406" s="43"/>
      <c r="L2406" s="43"/>
    </row>
    <row r="2407">
      <c r="G2407" s="46"/>
      <c r="H2407" s="46"/>
      <c r="I2407" s="46"/>
      <c r="J2407" s="43"/>
      <c r="K2407" s="43"/>
      <c r="L2407" s="43"/>
    </row>
    <row r="2408">
      <c r="G2408" s="46"/>
      <c r="H2408" s="46"/>
      <c r="I2408" s="46"/>
      <c r="J2408" s="43"/>
      <c r="K2408" s="43"/>
      <c r="L2408" s="43"/>
    </row>
    <row r="2409">
      <c r="G2409" s="46"/>
      <c r="H2409" s="46"/>
      <c r="I2409" s="46"/>
      <c r="J2409" s="43"/>
      <c r="K2409" s="43"/>
      <c r="L2409" s="43"/>
    </row>
    <row r="2410">
      <c r="G2410" s="46"/>
      <c r="H2410" s="46"/>
      <c r="I2410" s="46"/>
      <c r="J2410" s="43"/>
      <c r="K2410" s="43"/>
      <c r="L2410" s="43"/>
    </row>
    <row r="2411">
      <c r="G2411" s="46"/>
      <c r="H2411" s="46"/>
      <c r="I2411" s="46"/>
      <c r="J2411" s="43"/>
      <c r="K2411" s="43"/>
      <c r="L2411" s="43"/>
    </row>
    <row r="2412">
      <c r="G2412" s="46"/>
      <c r="H2412" s="46"/>
      <c r="I2412" s="46"/>
      <c r="J2412" s="43"/>
      <c r="K2412" s="43"/>
      <c r="L2412" s="43"/>
    </row>
    <row r="2413">
      <c r="G2413" s="46"/>
      <c r="H2413" s="46"/>
      <c r="I2413" s="46"/>
      <c r="J2413" s="43"/>
      <c r="K2413" s="43"/>
      <c r="L2413" s="43"/>
    </row>
    <row r="2414">
      <c r="G2414" s="46"/>
      <c r="H2414" s="46"/>
      <c r="I2414" s="46"/>
      <c r="J2414" s="43"/>
      <c r="K2414" s="43"/>
      <c r="L2414" s="43"/>
    </row>
    <row r="2415">
      <c r="G2415" s="46"/>
      <c r="H2415" s="46"/>
      <c r="I2415" s="46"/>
      <c r="J2415" s="43"/>
      <c r="K2415" s="43"/>
      <c r="L2415" s="43"/>
    </row>
    <row r="2416">
      <c r="G2416" s="46"/>
      <c r="H2416" s="46"/>
      <c r="I2416" s="46"/>
      <c r="J2416" s="43"/>
      <c r="K2416" s="43"/>
      <c r="L2416" s="43"/>
    </row>
    <row r="2417">
      <c r="G2417" s="46"/>
      <c r="H2417" s="46"/>
      <c r="I2417" s="46"/>
      <c r="J2417" s="43"/>
      <c r="K2417" s="43"/>
      <c r="L2417" s="43"/>
    </row>
    <row r="2418">
      <c r="G2418" s="46"/>
      <c r="H2418" s="46"/>
      <c r="I2418" s="46"/>
      <c r="J2418" s="43"/>
      <c r="K2418" s="43"/>
      <c r="L2418" s="43"/>
    </row>
    <row r="2419">
      <c r="G2419" s="46"/>
      <c r="H2419" s="46"/>
      <c r="I2419" s="46"/>
      <c r="J2419" s="43"/>
      <c r="K2419" s="43"/>
      <c r="L2419" s="43"/>
    </row>
    <row r="2420">
      <c r="G2420" s="46"/>
      <c r="H2420" s="46"/>
      <c r="I2420" s="46"/>
      <c r="J2420" s="43"/>
      <c r="K2420" s="43"/>
      <c r="L2420" s="43"/>
    </row>
    <row r="2421">
      <c r="G2421" s="46"/>
      <c r="H2421" s="46"/>
      <c r="I2421" s="46"/>
      <c r="J2421" s="43"/>
      <c r="K2421" s="43"/>
      <c r="L2421" s="43"/>
    </row>
    <row r="2422">
      <c r="G2422" s="46"/>
      <c r="H2422" s="46"/>
      <c r="I2422" s="46"/>
      <c r="J2422" s="43"/>
      <c r="K2422" s="43"/>
      <c r="L2422" s="43"/>
    </row>
    <row r="2423">
      <c r="G2423" s="46"/>
      <c r="H2423" s="46"/>
      <c r="I2423" s="46"/>
      <c r="J2423" s="43"/>
      <c r="K2423" s="43"/>
      <c r="L2423" s="43"/>
    </row>
    <row r="2424">
      <c r="G2424" s="46"/>
      <c r="H2424" s="46"/>
      <c r="I2424" s="46"/>
      <c r="J2424" s="43"/>
      <c r="K2424" s="43"/>
      <c r="L2424" s="43"/>
    </row>
    <row r="2425">
      <c r="G2425" s="46"/>
      <c r="H2425" s="46"/>
      <c r="I2425" s="46"/>
      <c r="J2425" s="43"/>
      <c r="K2425" s="43"/>
      <c r="L2425" s="43"/>
    </row>
    <row r="2426">
      <c r="G2426" s="46"/>
      <c r="H2426" s="46"/>
      <c r="I2426" s="46"/>
      <c r="J2426" s="43"/>
      <c r="K2426" s="43"/>
      <c r="L2426" s="43"/>
    </row>
    <row r="2427">
      <c r="G2427" s="46"/>
      <c r="H2427" s="46"/>
      <c r="I2427" s="46"/>
      <c r="J2427" s="43"/>
      <c r="K2427" s="43"/>
      <c r="L2427" s="43"/>
    </row>
    <row r="2428">
      <c r="G2428" s="46"/>
      <c r="H2428" s="46"/>
      <c r="I2428" s="46"/>
      <c r="J2428" s="43"/>
      <c r="K2428" s="43"/>
      <c r="L2428" s="43"/>
    </row>
    <row r="2429">
      <c r="G2429" s="46"/>
      <c r="H2429" s="46"/>
      <c r="I2429" s="46"/>
      <c r="J2429" s="43"/>
      <c r="K2429" s="43"/>
      <c r="L2429" s="43"/>
    </row>
    <row r="2430">
      <c r="G2430" s="46"/>
      <c r="H2430" s="46"/>
      <c r="I2430" s="46"/>
      <c r="J2430" s="43"/>
      <c r="K2430" s="43"/>
      <c r="L2430" s="43"/>
    </row>
    <row r="2431">
      <c r="G2431" s="46"/>
      <c r="H2431" s="46"/>
      <c r="I2431" s="46"/>
      <c r="J2431" s="43"/>
      <c r="K2431" s="43"/>
      <c r="L2431" s="43"/>
    </row>
    <row r="2432">
      <c r="G2432" s="46"/>
      <c r="H2432" s="46"/>
      <c r="I2432" s="46"/>
      <c r="J2432" s="43"/>
      <c r="K2432" s="43"/>
      <c r="L2432" s="43"/>
    </row>
    <row r="2433">
      <c r="G2433" s="46"/>
      <c r="H2433" s="46"/>
      <c r="I2433" s="46"/>
      <c r="J2433" s="43"/>
      <c r="K2433" s="43"/>
      <c r="L2433" s="43"/>
    </row>
    <row r="2434">
      <c r="G2434" s="46"/>
      <c r="H2434" s="46"/>
      <c r="I2434" s="46"/>
      <c r="J2434" s="43"/>
      <c r="K2434" s="43"/>
      <c r="L2434" s="43"/>
    </row>
    <row r="2435">
      <c r="G2435" s="46"/>
      <c r="H2435" s="46"/>
      <c r="I2435" s="46"/>
      <c r="J2435" s="43"/>
      <c r="K2435" s="43"/>
      <c r="L2435" s="43"/>
    </row>
    <row r="2436">
      <c r="G2436" s="46"/>
      <c r="H2436" s="46"/>
      <c r="I2436" s="46"/>
      <c r="J2436" s="43"/>
      <c r="K2436" s="43"/>
      <c r="L2436" s="43"/>
    </row>
    <row r="2437">
      <c r="G2437" s="46"/>
      <c r="H2437" s="46"/>
      <c r="I2437" s="46"/>
      <c r="J2437" s="43"/>
      <c r="K2437" s="43"/>
      <c r="L2437" s="43"/>
    </row>
    <row r="2438">
      <c r="G2438" s="46"/>
      <c r="H2438" s="46"/>
      <c r="I2438" s="46"/>
      <c r="J2438" s="43"/>
      <c r="K2438" s="43"/>
      <c r="L2438" s="43"/>
    </row>
    <row r="2439">
      <c r="G2439" s="46"/>
      <c r="H2439" s="46"/>
      <c r="I2439" s="46"/>
      <c r="J2439" s="43"/>
      <c r="K2439" s="43"/>
      <c r="L2439" s="43"/>
    </row>
    <row r="2440">
      <c r="G2440" s="46"/>
      <c r="H2440" s="46"/>
      <c r="I2440" s="46"/>
      <c r="J2440" s="43"/>
      <c r="K2440" s="43"/>
      <c r="L2440" s="43"/>
    </row>
    <row r="2441">
      <c r="G2441" s="46"/>
      <c r="H2441" s="46"/>
      <c r="I2441" s="46"/>
      <c r="J2441" s="43"/>
      <c r="K2441" s="43"/>
      <c r="L2441" s="43"/>
    </row>
    <row r="2442">
      <c r="G2442" s="46"/>
      <c r="H2442" s="46"/>
      <c r="I2442" s="46"/>
      <c r="J2442" s="43"/>
      <c r="K2442" s="43"/>
      <c r="L2442" s="43"/>
    </row>
    <row r="2443">
      <c r="G2443" s="46"/>
      <c r="H2443" s="46"/>
      <c r="I2443" s="46"/>
      <c r="J2443" s="43"/>
      <c r="K2443" s="43"/>
      <c r="L2443" s="43"/>
    </row>
    <row r="2444">
      <c r="G2444" s="46"/>
      <c r="H2444" s="46"/>
      <c r="I2444" s="46"/>
      <c r="J2444" s="43"/>
      <c r="K2444" s="43"/>
      <c r="L2444" s="43"/>
    </row>
    <row r="2445">
      <c r="G2445" s="46"/>
      <c r="H2445" s="46"/>
      <c r="I2445" s="46"/>
      <c r="J2445" s="43"/>
      <c r="K2445" s="43"/>
      <c r="L2445" s="43"/>
    </row>
    <row r="2446">
      <c r="G2446" s="46"/>
      <c r="H2446" s="46"/>
      <c r="I2446" s="46"/>
      <c r="J2446" s="43"/>
      <c r="K2446" s="43"/>
      <c r="L2446" s="43"/>
    </row>
    <row r="2447">
      <c r="G2447" s="46"/>
      <c r="H2447" s="46"/>
      <c r="I2447" s="46"/>
      <c r="J2447" s="43"/>
      <c r="K2447" s="43"/>
      <c r="L2447" s="43"/>
    </row>
    <row r="2448">
      <c r="G2448" s="46"/>
      <c r="H2448" s="46"/>
      <c r="I2448" s="46"/>
      <c r="J2448" s="43"/>
      <c r="K2448" s="43"/>
      <c r="L2448" s="43"/>
    </row>
    <row r="2449">
      <c r="G2449" s="46"/>
      <c r="H2449" s="46"/>
      <c r="I2449" s="46"/>
      <c r="J2449" s="43"/>
      <c r="K2449" s="43"/>
      <c r="L2449" s="43"/>
    </row>
    <row r="2450">
      <c r="G2450" s="46"/>
      <c r="H2450" s="46"/>
      <c r="I2450" s="46"/>
      <c r="J2450" s="43"/>
      <c r="K2450" s="43"/>
      <c r="L2450" s="43"/>
    </row>
    <row r="2451">
      <c r="G2451" s="46"/>
      <c r="H2451" s="46"/>
      <c r="I2451" s="46"/>
      <c r="J2451" s="43"/>
      <c r="K2451" s="43"/>
      <c r="L2451" s="43"/>
    </row>
    <row r="2452">
      <c r="G2452" s="46"/>
      <c r="H2452" s="46"/>
      <c r="I2452" s="46"/>
      <c r="J2452" s="43"/>
      <c r="K2452" s="43"/>
      <c r="L2452" s="43"/>
    </row>
    <row r="2453">
      <c r="G2453" s="46"/>
      <c r="H2453" s="46"/>
      <c r="I2453" s="46"/>
      <c r="J2453" s="43"/>
      <c r="K2453" s="43"/>
      <c r="L2453" s="43"/>
    </row>
    <row r="2454">
      <c r="G2454" s="46"/>
      <c r="H2454" s="46"/>
      <c r="I2454" s="46"/>
      <c r="J2454" s="43"/>
      <c r="K2454" s="43"/>
      <c r="L2454" s="43"/>
    </row>
    <row r="2455">
      <c r="G2455" s="46"/>
      <c r="H2455" s="46"/>
      <c r="I2455" s="46"/>
      <c r="J2455" s="43"/>
      <c r="K2455" s="43"/>
      <c r="L2455" s="43"/>
    </row>
    <row r="2456">
      <c r="G2456" s="46"/>
      <c r="H2456" s="46"/>
      <c r="I2456" s="46"/>
      <c r="J2456" s="43"/>
      <c r="K2456" s="43"/>
      <c r="L2456" s="43"/>
    </row>
    <row r="2457">
      <c r="G2457" s="46"/>
      <c r="H2457" s="46"/>
      <c r="I2457" s="46"/>
      <c r="J2457" s="43"/>
      <c r="K2457" s="43"/>
      <c r="L2457" s="43"/>
    </row>
    <row r="2458">
      <c r="G2458" s="46"/>
      <c r="H2458" s="46"/>
      <c r="I2458" s="46"/>
      <c r="J2458" s="43"/>
      <c r="K2458" s="43"/>
      <c r="L2458" s="43"/>
    </row>
    <row r="2459">
      <c r="G2459" s="46"/>
      <c r="H2459" s="46"/>
      <c r="I2459" s="46"/>
      <c r="J2459" s="43"/>
      <c r="K2459" s="43"/>
      <c r="L2459" s="43"/>
    </row>
    <row r="2460">
      <c r="G2460" s="46"/>
      <c r="H2460" s="46"/>
      <c r="I2460" s="46"/>
      <c r="J2460" s="43"/>
      <c r="K2460" s="43"/>
      <c r="L2460" s="43"/>
    </row>
    <row r="2461">
      <c r="G2461" s="46"/>
      <c r="H2461" s="46"/>
      <c r="I2461" s="46"/>
      <c r="J2461" s="43"/>
      <c r="K2461" s="43"/>
      <c r="L2461" s="43"/>
    </row>
    <row r="2462">
      <c r="G2462" s="46"/>
      <c r="H2462" s="46"/>
      <c r="I2462" s="46"/>
      <c r="J2462" s="43"/>
      <c r="K2462" s="43"/>
      <c r="L2462" s="43"/>
    </row>
    <row r="2463">
      <c r="G2463" s="46"/>
      <c r="H2463" s="46"/>
      <c r="I2463" s="46"/>
      <c r="J2463" s="43"/>
      <c r="K2463" s="43"/>
      <c r="L2463" s="43"/>
    </row>
    <row r="2464">
      <c r="G2464" s="46"/>
      <c r="H2464" s="46"/>
      <c r="I2464" s="46"/>
      <c r="J2464" s="43"/>
      <c r="K2464" s="43"/>
      <c r="L2464" s="43"/>
    </row>
    <row r="2465">
      <c r="G2465" s="46"/>
      <c r="H2465" s="46"/>
      <c r="I2465" s="46"/>
      <c r="J2465" s="43"/>
      <c r="K2465" s="43"/>
      <c r="L2465" s="43"/>
    </row>
    <row r="2466">
      <c r="G2466" s="46"/>
      <c r="H2466" s="46"/>
      <c r="I2466" s="46"/>
      <c r="J2466" s="43"/>
      <c r="K2466" s="43"/>
      <c r="L2466" s="43"/>
    </row>
    <row r="2467">
      <c r="G2467" s="46"/>
      <c r="H2467" s="46"/>
      <c r="I2467" s="46"/>
      <c r="J2467" s="43"/>
      <c r="K2467" s="43"/>
      <c r="L2467" s="43"/>
    </row>
    <row r="2468">
      <c r="G2468" s="46"/>
      <c r="H2468" s="46"/>
      <c r="I2468" s="46"/>
      <c r="J2468" s="43"/>
      <c r="K2468" s="43"/>
      <c r="L2468" s="43"/>
    </row>
    <row r="2469">
      <c r="G2469" s="46"/>
      <c r="H2469" s="46"/>
      <c r="I2469" s="46"/>
      <c r="J2469" s="43"/>
      <c r="K2469" s="43"/>
      <c r="L2469" s="43"/>
    </row>
    <row r="2470">
      <c r="G2470" s="46"/>
      <c r="H2470" s="46"/>
      <c r="I2470" s="46"/>
      <c r="J2470" s="43"/>
      <c r="K2470" s="43"/>
      <c r="L2470" s="43"/>
    </row>
    <row r="2471">
      <c r="G2471" s="46"/>
      <c r="H2471" s="46"/>
      <c r="I2471" s="46"/>
      <c r="J2471" s="43"/>
      <c r="K2471" s="43"/>
      <c r="L2471" s="43"/>
    </row>
    <row r="2472">
      <c r="G2472" s="46"/>
      <c r="H2472" s="46"/>
      <c r="I2472" s="46"/>
      <c r="J2472" s="43"/>
      <c r="K2472" s="43"/>
      <c r="L2472" s="43"/>
    </row>
    <row r="2473">
      <c r="G2473" s="46"/>
      <c r="H2473" s="46"/>
      <c r="I2473" s="46"/>
      <c r="J2473" s="43"/>
      <c r="K2473" s="43"/>
      <c r="L2473" s="43"/>
    </row>
    <row r="2474">
      <c r="G2474" s="46"/>
      <c r="H2474" s="46"/>
      <c r="I2474" s="46"/>
      <c r="J2474" s="43"/>
      <c r="K2474" s="43"/>
      <c r="L2474" s="43"/>
    </row>
    <row r="2475">
      <c r="G2475" s="46"/>
      <c r="H2475" s="46"/>
      <c r="I2475" s="46"/>
      <c r="J2475" s="43"/>
      <c r="K2475" s="43"/>
      <c r="L2475" s="43"/>
    </row>
    <row r="2476">
      <c r="G2476" s="46"/>
      <c r="H2476" s="46"/>
      <c r="I2476" s="46"/>
      <c r="J2476" s="43"/>
      <c r="K2476" s="43"/>
      <c r="L2476" s="43"/>
    </row>
    <row r="2477">
      <c r="G2477" s="46"/>
      <c r="H2477" s="46"/>
      <c r="I2477" s="46"/>
      <c r="J2477" s="43"/>
      <c r="K2477" s="43"/>
      <c r="L2477" s="43"/>
    </row>
    <row r="2478">
      <c r="G2478" s="46"/>
      <c r="H2478" s="46"/>
      <c r="I2478" s="46"/>
      <c r="J2478" s="43"/>
      <c r="K2478" s="43"/>
      <c r="L2478" s="43"/>
    </row>
    <row r="2479">
      <c r="G2479" s="46"/>
      <c r="H2479" s="46"/>
      <c r="I2479" s="46"/>
      <c r="J2479" s="43"/>
      <c r="K2479" s="43"/>
      <c r="L2479" s="43"/>
    </row>
    <row r="2480">
      <c r="G2480" s="46"/>
      <c r="H2480" s="46"/>
      <c r="I2480" s="46"/>
      <c r="J2480" s="43"/>
      <c r="K2480" s="43"/>
      <c r="L2480" s="43"/>
    </row>
    <row r="2481">
      <c r="G2481" s="46"/>
      <c r="H2481" s="46"/>
      <c r="I2481" s="46"/>
      <c r="J2481" s="43"/>
      <c r="K2481" s="43"/>
      <c r="L2481" s="43"/>
    </row>
    <row r="2482">
      <c r="G2482" s="46"/>
      <c r="H2482" s="46"/>
      <c r="I2482" s="46"/>
      <c r="J2482" s="43"/>
      <c r="K2482" s="43"/>
      <c r="L2482" s="43"/>
    </row>
    <row r="2483">
      <c r="G2483" s="46"/>
      <c r="H2483" s="46"/>
      <c r="I2483" s="46"/>
      <c r="J2483" s="43"/>
      <c r="K2483" s="43"/>
      <c r="L2483" s="43"/>
    </row>
    <row r="2484">
      <c r="G2484" s="46"/>
      <c r="H2484" s="46"/>
      <c r="I2484" s="46"/>
      <c r="J2484" s="43"/>
      <c r="K2484" s="43"/>
      <c r="L2484" s="43"/>
    </row>
    <row r="2485">
      <c r="G2485" s="46"/>
      <c r="H2485" s="46"/>
      <c r="I2485" s="46"/>
      <c r="J2485" s="43"/>
      <c r="K2485" s="43"/>
      <c r="L2485" s="43"/>
    </row>
    <row r="2486">
      <c r="G2486" s="46"/>
      <c r="H2486" s="46"/>
      <c r="I2486" s="46"/>
      <c r="J2486" s="43"/>
      <c r="K2486" s="43"/>
      <c r="L2486" s="43"/>
    </row>
    <row r="2487">
      <c r="G2487" s="46"/>
      <c r="H2487" s="46"/>
      <c r="I2487" s="46"/>
      <c r="J2487" s="43"/>
      <c r="K2487" s="43"/>
      <c r="L2487" s="43"/>
    </row>
    <row r="2488">
      <c r="G2488" s="46"/>
      <c r="H2488" s="46"/>
      <c r="I2488" s="46"/>
      <c r="J2488" s="43"/>
      <c r="K2488" s="43"/>
      <c r="L2488" s="43"/>
    </row>
    <row r="2489">
      <c r="G2489" s="46"/>
      <c r="H2489" s="46"/>
      <c r="I2489" s="46"/>
      <c r="J2489" s="43"/>
      <c r="K2489" s="43"/>
      <c r="L2489" s="43"/>
    </row>
    <row r="2490">
      <c r="G2490" s="46"/>
      <c r="H2490" s="46"/>
      <c r="I2490" s="46"/>
      <c r="J2490" s="43"/>
      <c r="K2490" s="43"/>
      <c r="L2490" s="43"/>
    </row>
    <row r="2491">
      <c r="G2491" s="46"/>
      <c r="H2491" s="46"/>
      <c r="I2491" s="46"/>
      <c r="J2491" s="43"/>
      <c r="K2491" s="43"/>
      <c r="L2491" s="43"/>
    </row>
    <row r="2492">
      <c r="G2492" s="46"/>
      <c r="H2492" s="46"/>
      <c r="I2492" s="46"/>
      <c r="J2492" s="43"/>
      <c r="K2492" s="43"/>
      <c r="L2492" s="43"/>
    </row>
    <row r="2493">
      <c r="G2493" s="46"/>
      <c r="H2493" s="46"/>
      <c r="I2493" s="46"/>
      <c r="J2493" s="43"/>
      <c r="K2493" s="43"/>
      <c r="L2493" s="43"/>
    </row>
    <row r="2494">
      <c r="G2494" s="46"/>
      <c r="H2494" s="46"/>
      <c r="I2494" s="46"/>
      <c r="J2494" s="43"/>
      <c r="K2494" s="43"/>
      <c r="L2494" s="43"/>
    </row>
    <row r="2495">
      <c r="G2495" s="46"/>
      <c r="H2495" s="46"/>
      <c r="I2495" s="46"/>
      <c r="J2495" s="43"/>
      <c r="K2495" s="43"/>
      <c r="L2495" s="43"/>
    </row>
    <row r="2496">
      <c r="G2496" s="46"/>
      <c r="H2496" s="46"/>
      <c r="I2496" s="46"/>
      <c r="J2496" s="43"/>
      <c r="K2496" s="43"/>
      <c r="L2496" s="43"/>
    </row>
    <row r="2497">
      <c r="G2497" s="46"/>
      <c r="H2497" s="46"/>
      <c r="I2497" s="46"/>
      <c r="J2497" s="43"/>
      <c r="K2497" s="43"/>
      <c r="L2497" s="43"/>
    </row>
    <row r="2498">
      <c r="G2498" s="46"/>
      <c r="H2498" s="46"/>
      <c r="I2498" s="46"/>
      <c r="J2498" s="43"/>
      <c r="K2498" s="43"/>
      <c r="L2498" s="43"/>
    </row>
    <row r="2499">
      <c r="G2499" s="46"/>
      <c r="H2499" s="46"/>
      <c r="I2499" s="46"/>
      <c r="J2499" s="43"/>
      <c r="K2499" s="43"/>
      <c r="L2499" s="43"/>
    </row>
    <row r="2500">
      <c r="G2500" s="46"/>
      <c r="H2500" s="46"/>
      <c r="I2500" s="46"/>
      <c r="J2500" s="43"/>
      <c r="K2500" s="43"/>
      <c r="L2500" s="43"/>
    </row>
    <row r="2501">
      <c r="G2501" s="46"/>
      <c r="H2501" s="46"/>
      <c r="I2501" s="46"/>
      <c r="J2501" s="43"/>
      <c r="K2501" s="43"/>
      <c r="L2501" s="43"/>
    </row>
    <row r="2502">
      <c r="G2502" s="46"/>
      <c r="H2502" s="46"/>
      <c r="I2502" s="46"/>
      <c r="J2502" s="43"/>
      <c r="K2502" s="43"/>
      <c r="L2502" s="43"/>
    </row>
    <row r="2503">
      <c r="G2503" s="46"/>
      <c r="H2503" s="46"/>
      <c r="I2503" s="46"/>
      <c r="J2503" s="43"/>
      <c r="K2503" s="43"/>
      <c r="L2503" s="43"/>
    </row>
    <row r="2504">
      <c r="G2504" s="46"/>
      <c r="H2504" s="46"/>
      <c r="I2504" s="46"/>
      <c r="J2504" s="43"/>
      <c r="K2504" s="43"/>
      <c r="L2504" s="43"/>
    </row>
    <row r="2505">
      <c r="G2505" s="46"/>
      <c r="H2505" s="46"/>
      <c r="I2505" s="46"/>
      <c r="J2505" s="43"/>
      <c r="K2505" s="43"/>
      <c r="L2505" s="43"/>
    </row>
    <row r="2506">
      <c r="G2506" s="46"/>
      <c r="H2506" s="46"/>
      <c r="I2506" s="46"/>
      <c r="J2506" s="43"/>
      <c r="K2506" s="43"/>
      <c r="L2506" s="43"/>
    </row>
    <row r="2507">
      <c r="G2507" s="46"/>
      <c r="H2507" s="46"/>
      <c r="I2507" s="46"/>
      <c r="J2507" s="43"/>
      <c r="K2507" s="43"/>
      <c r="L2507" s="43"/>
    </row>
    <row r="2508">
      <c r="G2508" s="46"/>
      <c r="H2508" s="46"/>
      <c r="I2508" s="46"/>
      <c r="J2508" s="43"/>
      <c r="K2508" s="43"/>
      <c r="L2508" s="43"/>
    </row>
    <row r="2509">
      <c r="G2509" s="46"/>
      <c r="H2509" s="46"/>
      <c r="I2509" s="46"/>
      <c r="J2509" s="43"/>
      <c r="K2509" s="43"/>
      <c r="L2509" s="43"/>
    </row>
    <row r="2510">
      <c r="G2510" s="46"/>
      <c r="H2510" s="46"/>
      <c r="I2510" s="46"/>
      <c r="J2510" s="43"/>
      <c r="K2510" s="43"/>
      <c r="L2510" s="43"/>
    </row>
    <row r="2511">
      <c r="G2511" s="46"/>
      <c r="H2511" s="46"/>
      <c r="I2511" s="46"/>
      <c r="J2511" s="43"/>
      <c r="K2511" s="43"/>
      <c r="L2511" s="43"/>
    </row>
    <row r="2512">
      <c r="G2512" s="46"/>
      <c r="H2512" s="46"/>
      <c r="I2512" s="46"/>
      <c r="J2512" s="43"/>
      <c r="K2512" s="43"/>
      <c r="L2512" s="43"/>
    </row>
    <row r="2513">
      <c r="G2513" s="46"/>
      <c r="H2513" s="46"/>
      <c r="I2513" s="46"/>
      <c r="J2513" s="43"/>
      <c r="K2513" s="43"/>
      <c r="L2513" s="43"/>
    </row>
    <row r="2514">
      <c r="G2514" s="46"/>
      <c r="H2514" s="46"/>
      <c r="I2514" s="46"/>
      <c r="J2514" s="43"/>
      <c r="K2514" s="43"/>
      <c r="L2514" s="43"/>
    </row>
    <row r="2515">
      <c r="G2515" s="46"/>
      <c r="H2515" s="46"/>
      <c r="I2515" s="46"/>
      <c r="J2515" s="43"/>
      <c r="K2515" s="43"/>
      <c r="L2515" s="43"/>
    </row>
    <row r="2516">
      <c r="G2516" s="46"/>
      <c r="H2516" s="46"/>
      <c r="I2516" s="46"/>
      <c r="J2516" s="43"/>
      <c r="K2516" s="43"/>
      <c r="L2516" s="43"/>
    </row>
    <row r="2517">
      <c r="G2517" s="46"/>
      <c r="H2517" s="46"/>
      <c r="I2517" s="46"/>
      <c r="J2517" s="43"/>
      <c r="K2517" s="43"/>
      <c r="L2517" s="43"/>
    </row>
    <row r="2518">
      <c r="G2518" s="46"/>
      <c r="H2518" s="46"/>
      <c r="I2518" s="46"/>
      <c r="J2518" s="43"/>
      <c r="K2518" s="43"/>
      <c r="L2518" s="43"/>
    </row>
    <row r="2519">
      <c r="G2519" s="46"/>
      <c r="H2519" s="46"/>
      <c r="I2519" s="46"/>
      <c r="J2519" s="43"/>
      <c r="K2519" s="43"/>
      <c r="L2519" s="43"/>
    </row>
    <row r="2520">
      <c r="G2520" s="46"/>
      <c r="H2520" s="46"/>
      <c r="I2520" s="46"/>
      <c r="J2520" s="43"/>
      <c r="K2520" s="43"/>
      <c r="L2520" s="43"/>
    </row>
    <row r="2521">
      <c r="G2521" s="46"/>
      <c r="H2521" s="46"/>
      <c r="I2521" s="46"/>
      <c r="J2521" s="43"/>
      <c r="K2521" s="43"/>
      <c r="L2521" s="43"/>
    </row>
    <row r="2522">
      <c r="G2522" s="46"/>
      <c r="H2522" s="46"/>
      <c r="I2522" s="46"/>
      <c r="J2522" s="43"/>
      <c r="K2522" s="43"/>
      <c r="L2522" s="43"/>
    </row>
    <row r="2523">
      <c r="G2523" s="46"/>
      <c r="H2523" s="46"/>
      <c r="I2523" s="46"/>
      <c r="J2523" s="43"/>
      <c r="K2523" s="43"/>
      <c r="L2523" s="43"/>
    </row>
    <row r="2524">
      <c r="G2524" s="46"/>
      <c r="H2524" s="46"/>
      <c r="I2524" s="46"/>
      <c r="J2524" s="43"/>
      <c r="K2524" s="43"/>
      <c r="L2524" s="43"/>
    </row>
    <row r="2525">
      <c r="G2525" s="46"/>
      <c r="H2525" s="46"/>
      <c r="I2525" s="46"/>
      <c r="J2525" s="43"/>
      <c r="K2525" s="43"/>
      <c r="L2525" s="43"/>
    </row>
    <row r="2526">
      <c r="G2526" s="46"/>
      <c r="H2526" s="46"/>
      <c r="I2526" s="46"/>
      <c r="J2526" s="43"/>
      <c r="K2526" s="43"/>
      <c r="L2526" s="43"/>
    </row>
    <row r="2527">
      <c r="G2527" s="46"/>
      <c r="H2527" s="46"/>
      <c r="I2527" s="46"/>
      <c r="J2527" s="43"/>
      <c r="K2527" s="43"/>
      <c r="L2527" s="43"/>
    </row>
    <row r="2528">
      <c r="G2528" s="46"/>
      <c r="H2528" s="46"/>
      <c r="I2528" s="46"/>
      <c r="J2528" s="43"/>
      <c r="K2528" s="43"/>
      <c r="L2528" s="43"/>
    </row>
    <row r="2529">
      <c r="G2529" s="46"/>
      <c r="H2529" s="46"/>
      <c r="I2529" s="46"/>
      <c r="J2529" s="43"/>
      <c r="K2529" s="43"/>
      <c r="L2529" s="43"/>
    </row>
    <row r="2530">
      <c r="G2530" s="46"/>
      <c r="H2530" s="46"/>
      <c r="I2530" s="46"/>
      <c r="J2530" s="43"/>
      <c r="K2530" s="43"/>
      <c r="L2530" s="43"/>
    </row>
    <row r="2531">
      <c r="G2531" s="46"/>
      <c r="H2531" s="46"/>
      <c r="I2531" s="46"/>
      <c r="J2531" s="43"/>
      <c r="K2531" s="43"/>
      <c r="L2531" s="43"/>
    </row>
    <row r="2532">
      <c r="G2532" s="46"/>
      <c r="H2532" s="46"/>
      <c r="I2532" s="46"/>
      <c r="J2532" s="43"/>
      <c r="K2532" s="43"/>
      <c r="L2532" s="43"/>
    </row>
    <row r="2533">
      <c r="G2533" s="46"/>
      <c r="H2533" s="46"/>
      <c r="I2533" s="46"/>
      <c r="J2533" s="43"/>
      <c r="K2533" s="43"/>
      <c r="L2533" s="43"/>
    </row>
    <row r="2534">
      <c r="G2534" s="46"/>
      <c r="H2534" s="46"/>
      <c r="I2534" s="46"/>
      <c r="J2534" s="43"/>
      <c r="K2534" s="43"/>
      <c r="L2534" s="43"/>
    </row>
    <row r="2535">
      <c r="G2535" s="46"/>
      <c r="H2535" s="46"/>
      <c r="I2535" s="46"/>
      <c r="J2535" s="43"/>
      <c r="K2535" s="43"/>
      <c r="L2535" s="43"/>
    </row>
    <row r="2536">
      <c r="G2536" s="46"/>
      <c r="H2536" s="46"/>
      <c r="I2536" s="46"/>
      <c r="J2536" s="43"/>
      <c r="K2536" s="43"/>
      <c r="L2536" s="43"/>
    </row>
    <row r="2537">
      <c r="G2537" s="46"/>
      <c r="H2537" s="46"/>
      <c r="I2537" s="46"/>
      <c r="J2537" s="43"/>
      <c r="K2537" s="43"/>
      <c r="L2537" s="43"/>
    </row>
    <row r="2538">
      <c r="G2538" s="46"/>
      <c r="H2538" s="46"/>
      <c r="I2538" s="46"/>
      <c r="J2538" s="43"/>
      <c r="K2538" s="43"/>
      <c r="L2538" s="43"/>
    </row>
    <row r="2539">
      <c r="G2539" s="46"/>
      <c r="H2539" s="46"/>
      <c r="I2539" s="46"/>
      <c r="J2539" s="43"/>
      <c r="K2539" s="43"/>
      <c r="L2539" s="43"/>
    </row>
    <row r="2540">
      <c r="G2540" s="46"/>
      <c r="H2540" s="46"/>
      <c r="I2540" s="46"/>
      <c r="J2540" s="43"/>
      <c r="K2540" s="43"/>
      <c r="L2540" s="43"/>
    </row>
    <row r="2541">
      <c r="G2541" s="46"/>
      <c r="H2541" s="46"/>
      <c r="I2541" s="46"/>
      <c r="J2541" s="43"/>
      <c r="K2541" s="43"/>
      <c r="L2541" s="43"/>
    </row>
    <row r="2542">
      <c r="G2542" s="46"/>
      <c r="H2542" s="46"/>
      <c r="I2542" s="46"/>
      <c r="J2542" s="43"/>
      <c r="K2542" s="43"/>
      <c r="L2542" s="43"/>
    </row>
    <row r="2543">
      <c r="G2543" s="46"/>
      <c r="H2543" s="46"/>
      <c r="I2543" s="46"/>
      <c r="J2543" s="43"/>
      <c r="K2543" s="43"/>
      <c r="L2543" s="43"/>
    </row>
    <row r="2544">
      <c r="G2544" s="46"/>
      <c r="H2544" s="46"/>
      <c r="I2544" s="46"/>
      <c r="J2544" s="43"/>
      <c r="K2544" s="43"/>
      <c r="L2544" s="43"/>
    </row>
    <row r="2545">
      <c r="G2545" s="46"/>
      <c r="H2545" s="46"/>
      <c r="I2545" s="46"/>
      <c r="J2545" s="43"/>
      <c r="K2545" s="43"/>
      <c r="L2545" s="43"/>
    </row>
    <row r="2546">
      <c r="G2546" s="46"/>
      <c r="H2546" s="46"/>
      <c r="I2546" s="46"/>
      <c r="J2546" s="43"/>
      <c r="K2546" s="43"/>
      <c r="L2546" s="43"/>
    </row>
    <row r="2547">
      <c r="G2547" s="46"/>
      <c r="H2547" s="46"/>
      <c r="I2547" s="46"/>
      <c r="J2547" s="43"/>
      <c r="K2547" s="43"/>
      <c r="L2547" s="43"/>
    </row>
    <row r="2548">
      <c r="G2548" s="46"/>
      <c r="H2548" s="46"/>
      <c r="I2548" s="46"/>
      <c r="J2548" s="43"/>
      <c r="K2548" s="43"/>
      <c r="L2548" s="43"/>
    </row>
    <row r="2549">
      <c r="G2549" s="46"/>
      <c r="H2549" s="46"/>
      <c r="I2549" s="46"/>
      <c r="J2549" s="43"/>
      <c r="K2549" s="43"/>
      <c r="L2549" s="43"/>
    </row>
    <row r="2550">
      <c r="G2550" s="46"/>
      <c r="H2550" s="46"/>
      <c r="I2550" s="46"/>
      <c r="J2550" s="43"/>
      <c r="K2550" s="43"/>
      <c r="L2550" s="43"/>
    </row>
    <row r="2551">
      <c r="G2551" s="46"/>
      <c r="H2551" s="46"/>
      <c r="I2551" s="46"/>
      <c r="J2551" s="43"/>
      <c r="K2551" s="43"/>
      <c r="L2551" s="43"/>
    </row>
    <row r="2552">
      <c r="G2552" s="46"/>
      <c r="H2552" s="46"/>
      <c r="I2552" s="46"/>
      <c r="J2552" s="43"/>
      <c r="K2552" s="43"/>
      <c r="L2552" s="43"/>
    </row>
    <row r="2553">
      <c r="G2553" s="46"/>
      <c r="H2553" s="46"/>
      <c r="I2553" s="46"/>
      <c r="J2553" s="43"/>
      <c r="K2553" s="43"/>
      <c r="L2553" s="43"/>
    </row>
    <row r="2554">
      <c r="G2554" s="46"/>
      <c r="H2554" s="46"/>
      <c r="I2554" s="46"/>
      <c r="J2554" s="43"/>
      <c r="K2554" s="43"/>
      <c r="L2554" s="43"/>
    </row>
    <row r="2555">
      <c r="G2555" s="46"/>
      <c r="H2555" s="46"/>
      <c r="I2555" s="46"/>
      <c r="J2555" s="43"/>
      <c r="K2555" s="43"/>
      <c r="L2555" s="43"/>
    </row>
    <row r="2556">
      <c r="G2556" s="46"/>
      <c r="H2556" s="46"/>
      <c r="I2556" s="46"/>
      <c r="J2556" s="43"/>
      <c r="K2556" s="43"/>
      <c r="L2556" s="43"/>
    </row>
    <row r="2557">
      <c r="G2557" s="46"/>
      <c r="H2557" s="46"/>
      <c r="I2557" s="46"/>
      <c r="J2557" s="43"/>
      <c r="K2557" s="43"/>
      <c r="L2557" s="43"/>
    </row>
    <row r="2558">
      <c r="G2558" s="46"/>
      <c r="H2558" s="46"/>
      <c r="I2558" s="46"/>
      <c r="J2558" s="43"/>
      <c r="K2558" s="43"/>
      <c r="L2558" s="43"/>
    </row>
    <row r="2559">
      <c r="G2559" s="46"/>
      <c r="H2559" s="46"/>
      <c r="I2559" s="46"/>
      <c r="J2559" s="43"/>
      <c r="K2559" s="43"/>
      <c r="L2559" s="43"/>
    </row>
    <row r="2560">
      <c r="G2560" s="46"/>
      <c r="H2560" s="46"/>
      <c r="I2560" s="46"/>
      <c r="J2560" s="43"/>
      <c r="K2560" s="43"/>
      <c r="L2560" s="43"/>
    </row>
    <row r="2561">
      <c r="G2561" s="46"/>
      <c r="H2561" s="46"/>
      <c r="I2561" s="46"/>
      <c r="J2561" s="43"/>
      <c r="K2561" s="43"/>
      <c r="L2561" s="43"/>
    </row>
    <row r="2562">
      <c r="G2562" s="46"/>
      <c r="H2562" s="46"/>
      <c r="I2562" s="46"/>
      <c r="J2562" s="43"/>
      <c r="K2562" s="43"/>
      <c r="L2562" s="43"/>
    </row>
    <row r="2563">
      <c r="G2563" s="46"/>
      <c r="H2563" s="46"/>
      <c r="I2563" s="46"/>
      <c r="J2563" s="43"/>
      <c r="K2563" s="43"/>
      <c r="L2563" s="43"/>
    </row>
    <row r="2564">
      <c r="G2564" s="46"/>
      <c r="H2564" s="46"/>
      <c r="I2564" s="46"/>
      <c r="J2564" s="43"/>
      <c r="K2564" s="43"/>
      <c r="L2564" s="43"/>
    </row>
    <row r="2565">
      <c r="G2565" s="46"/>
      <c r="H2565" s="46"/>
      <c r="I2565" s="46"/>
      <c r="J2565" s="43"/>
      <c r="K2565" s="43"/>
      <c r="L2565" s="43"/>
    </row>
    <row r="2566">
      <c r="G2566" s="46"/>
      <c r="H2566" s="46"/>
      <c r="I2566" s="46"/>
      <c r="J2566" s="43"/>
      <c r="K2566" s="43"/>
      <c r="L2566" s="43"/>
    </row>
    <row r="2567">
      <c r="G2567" s="46"/>
      <c r="H2567" s="46"/>
      <c r="I2567" s="46"/>
      <c r="J2567" s="43"/>
      <c r="K2567" s="43"/>
      <c r="L2567" s="43"/>
    </row>
    <row r="2568">
      <c r="G2568" s="46"/>
      <c r="H2568" s="46"/>
      <c r="I2568" s="46"/>
      <c r="J2568" s="43"/>
      <c r="K2568" s="43"/>
      <c r="L2568" s="43"/>
    </row>
    <row r="2569">
      <c r="G2569" s="46"/>
      <c r="H2569" s="46"/>
      <c r="I2569" s="46"/>
      <c r="J2569" s="43"/>
      <c r="K2569" s="43"/>
      <c r="L2569" s="43"/>
    </row>
    <row r="2570">
      <c r="G2570" s="46"/>
      <c r="H2570" s="46"/>
      <c r="I2570" s="46"/>
      <c r="J2570" s="43"/>
      <c r="K2570" s="43"/>
      <c r="L2570" s="43"/>
    </row>
    <row r="2571">
      <c r="G2571" s="46"/>
      <c r="H2571" s="46"/>
      <c r="I2571" s="46"/>
      <c r="J2571" s="43"/>
      <c r="K2571" s="43"/>
      <c r="L2571" s="43"/>
    </row>
    <row r="2572">
      <c r="G2572" s="46"/>
      <c r="H2572" s="46"/>
      <c r="I2572" s="46"/>
      <c r="J2572" s="43"/>
      <c r="K2572" s="43"/>
      <c r="L2572" s="43"/>
    </row>
    <row r="2573">
      <c r="G2573" s="46"/>
      <c r="H2573" s="46"/>
      <c r="I2573" s="46"/>
      <c r="J2573" s="43"/>
      <c r="K2573" s="43"/>
      <c r="L2573" s="43"/>
    </row>
    <row r="2574">
      <c r="G2574" s="46"/>
      <c r="H2574" s="46"/>
      <c r="I2574" s="46"/>
      <c r="J2574" s="43"/>
      <c r="K2574" s="43"/>
      <c r="L2574" s="43"/>
    </row>
    <row r="2575">
      <c r="G2575" s="46"/>
      <c r="H2575" s="46"/>
      <c r="I2575" s="46"/>
      <c r="J2575" s="43"/>
      <c r="K2575" s="43"/>
      <c r="L2575" s="43"/>
    </row>
    <row r="2576">
      <c r="G2576" s="46"/>
      <c r="H2576" s="46"/>
      <c r="I2576" s="46"/>
      <c r="J2576" s="43"/>
      <c r="K2576" s="43"/>
      <c r="L2576" s="43"/>
    </row>
    <row r="2577">
      <c r="G2577" s="46"/>
      <c r="H2577" s="46"/>
      <c r="I2577" s="46"/>
      <c r="J2577" s="43"/>
      <c r="K2577" s="43"/>
      <c r="L2577" s="43"/>
    </row>
    <row r="2578">
      <c r="G2578" s="46"/>
      <c r="H2578" s="46"/>
      <c r="I2578" s="46"/>
      <c r="J2578" s="43"/>
      <c r="K2578" s="43"/>
      <c r="L2578" s="43"/>
    </row>
    <row r="2579">
      <c r="G2579" s="46"/>
      <c r="H2579" s="46"/>
      <c r="I2579" s="46"/>
      <c r="J2579" s="43"/>
      <c r="K2579" s="43"/>
      <c r="L2579" s="43"/>
    </row>
    <row r="2580">
      <c r="G2580" s="46"/>
      <c r="H2580" s="46"/>
      <c r="I2580" s="46"/>
      <c r="J2580" s="43"/>
      <c r="K2580" s="43"/>
      <c r="L2580" s="43"/>
    </row>
    <row r="2581">
      <c r="G2581" s="46"/>
      <c r="H2581" s="46"/>
      <c r="I2581" s="46"/>
      <c r="J2581" s="43"/>
      <c r="K2581" s="43"/>
      <c r="L2581" s="43"/>
    </row>
    <row r="2582">
      <c r="G2582" s="46"/>
      <c r="H2582" s="46"/>
      <c r="I2582" s="46"/>
      <c r="J2582" s="43"/>
      <c r="K2582" s="43"/>
      <c r="L2582" s="43"/>
    </row>
    <row r="2583">
      <c r="G2583" s="46"/>
      <c r="H2583" s="46"/>
      <c r="I2583" s="46"/>
      <c r="J2583" s="43"/>
      <c r="K2583" s="43"/>
      <c r="L2583" s="43"/>
    </row>
    <row r="2584">
      <c r="G2584" s="46"/>
      <c r="H2584" s="46"/>
      <c r="I2584" s="46"/>
      <c r="J2584" s="43"/>
      <c r="K2584" s="43"/>
      <c r="L2584" s="43"/>
    </row>
    <row r="2585">
      <c r="G2585" s="46"/>
      <c r="H2585" s="46"/>
      <c r="I2585" s="46"/>
      <c r="J2585" s="43"/>
      <c r="K2585" s="43"/>
      <c r="L2585" s="43"/>
    </row>
    <row r="2586">
      <c r="G2586" s="46"/>
      <c r="H2586" s="46"/>
      <c r="I2586" s="46"/>
      <c r="J2586" s="43"/>
      <c r="K2586" s="43"/>
      <c r="L2586" s="43"/>
    </row>
    <row r="2587">
      <c r="G2587" s="46"/>
      <c r="H2587" s="46"/>
      <c r="I2587" s="46"/>
      <c r="J2587" s="43"/>
      <c r="K2587" s="43"/>
      <c r="L2587" s="43"/>
    </row>
    <row r="2588">
      <c r="G2588" s="46"/>
      <c r="H2588" s="46"/>
      <c r="I2588" s="46"/>
      <c r="J2588" s="43"/>
      <c r="K2588" s="43"/>
      <c r="L2588" s="43"/>
    </row>
    <row r="2589">
      <c r="G2589" s="46"/>
      <c r="H2589" s="46"/>
      <c r="I2589" s="46"/>
      <c r="J2589" s="43"/>
      <c r="K2589" s="43"/>
      <c r="L2589" s="43"/>
    </row>
    <row r="2590">
      <c r="G2590" s="46"/>
      <c r="H2590" s="46"/>
      <c r="I2590" s="46"/>
      <c r="J2590" s="43"/>
      <c r="K2590" s="43"/>
      <c r="L2590" s="43"/>
    </row>
    <row r="2591">
      <c r="G2591" s="46"/>
      <c r="H2591" s="46"/>
      <c r="I2591" s="46"/>
      <c r="J2591" s="43"/>
      <c r="K2591" s="43"/>
      <c r="L2591" s="43"/>
    </row>
    <row r="2592">
      <c r="G2592" s="46"/>
      <c r="H2592" s="46"/>
      <c r="I2592" s="46"/>
      <c r="J2592" s="43"/>
      <c r="K2592" s="43"/>
      <c r="L2592" s="43"/>
    </row>
    <row r="2593">
      <c r="G2593" s="46"/>
      <c r="H2593" s="46"/>
      <c r="I2593" s="46"/>
      <c r="J2593" s="43"/>
      <c r="K2593" s="43"/>
      <c r="L2593" s="43"/>
    </row>
    <row r="2594">
      <c r="G2594" s="46"/>
      <c r="H2594" s="46"/>
      <c r="I2594" s="46"/>
      <c r="J2594" s="43"/>
      <c r="K2594" s="43"/>
      <c r="L2594" s="43"/>
    </row>
    <row r="2595">
      <c r="G2595" s="46"/>
      <c r="H2595" s="46"/>
      <c r="I2595" s="46"/>
      <c r="J2595" s="43"/>
      <c r="K2595" s="43"/>
      <c r="L2595" s="43"/>
    </row>
    <row r="2596">
      <c r="G2596" s="46"/>
      <c r="H2596" s="46"/>
      <c r="I2596" s="46"/>
      <c r="J2596" s="43"/>
      <c r="K2596" s="43"/>
      <c r="L2596" s="43"/>
    </row>
    <row r="2597">
      <c r="G2597" s="46"/>
      <c r="H2597" s="46"/>
      <c r="I2597" s="46"/>
      <c r="J2597" s="43"/>
      <c r="K2597" s="43"/>
      <c r="L2597" s="43"/>
    </row>
    <row r="2598">
      <c r="G2598" s="46"/>
      <c r="H2598" s="46"/>
      <c r="I2598" s="46"/>
      <c r="J2598" s="43"/>
      <c r="K2598" s="43"/>
      <c r="L2598" s="43"/>
    </row>
    <row r="2599">
      <c r="G2599" s="46"/>
      <c r="H2599" s="46"/>
      <c r="I2599" s="46"/>
      <c r="J2599" s="43"/>
      <c r="K2599" s="43"/>
      <c r="L2599" s="43"/>
    </row>
    <row r="2600">
      <c r="G2600" s="46"/>
      <c r="H2600" s="46"/>
      <c r="I2600" s="46"/>
      <c r="J2600" s="43"/>
      <c r="K2600" s="43"/>
      <c r="L2600" s="43"/>
    </row>
    <row r="2601">
      <c r="G2601" s="46"/>
      <c r="H2601" s="46"/>
      <c r="I2601" s="46"/>
      <c r="J2601" s="43"/>
      <c r="K2601" s="43"/>
      <c r="L2601" s="43"/>
    </row>
    <row r="2602">
      <c r="G2602" s="46"/>
      <c r="H2602" s="46"/>
      <c r="I2602" s="46"/>
      <c r="J2602" s="43"/>
      <c r="K2602" s="43"/>
      <c r="L2602" s="43"/>
    </row>
    <row r="2603">
      <c r="G2603" s="46"/>
      <c r="H2603" s="46"/>
      <c r="I2603" s="46"/>
      <c r="J2603" s="43"/>
      <c r="K2603" s="43"/>
      <c r="L2603" s="43"/>
    </row>
    <row r="2604">
      <c r="G2604" s="46"/>
      <c r="H2604" s="46"/>
      <c r="I2604" s="46"/>
      <c r="J2604" s="43"/>
      <c r="K2604" s="43"/>
      <c r="L2604" s="43"/>
    </row>
    <row r="2605">
      <c r="G2605" s="46"/>
      <c r="H2605" s="46"/>
      <c r="I2605" s="46"/>
      <c r="J2605" s="43"/>
      <c r="K2605" s="43"/>
      <c r="L2605" s="43"/>
    </row>
    <row r="2606">
      <c r="G2606" s="46"/>
      <c r="H2606" s="46"/>
      <c r="I2606" s="46"/>
      <c r="J2606" s="43"/>
      <c r="K2606" s="43"/>
      <c r="L2606" s="43"/>
    </row>
    <row r="2607">
      <c r="G2607" s="46"/>
      <c r="H2607" s="46"/>
      <c r="I2607" s="46"/>
      <c r="J2607" s="43"/>
      <c r="K2607" s="43"/>
      <c r="L2607" s="43"/>
    </row>
    <row r="2608">
      <c r="G2608" s="46"/>
      <c r="H2608" s="46"/>
      <c r="I2608" s="46"/>
      <c r="J2608" s="43"/>
      <c r="K2608" s="43"/>
      <c r="L2608" s="43"/>
    </row>
    <row r="2609">
      <c r="G2609" s="46"/>
      <c r="H2609" s="46"/>
      <c r="I2609" s="46"/>
      <c r="J2609" s="43"/>
      <c r="K2609" s="43"/>
      <c r="L2609" s="43"/>
    </row>
    <row r="2610">
      <c r="G2610" s="46"/>
      <c r="H2610" s="46"/>
      <c r="I2610" s="46"/>
      <c r="J2610" s="43"/>
      <c r="K2610" s="43"/>
      <c r="L2610" s="43"/>
    </row>
    <row r="2611">
      <c r="G2611" s="46"/>
      <c r="H2611" s="46"/>
      <c r="I2611" s="46"/>
      <c r="J2611" s="43"/>
      <c r="K2611" s="43"/>
      <c r="L2611" s="43"/>
    </row>
    <row r="2612">
      <c r="G2612" s="46"/>
      <c r="H2612" s="46"/>
      <c r="I2612" s="46"/>
      <c r="J2612" s="43"/>
      <c r="K2612" s="43"/>
      <c r="L2612" s="43"/>
    </row>
    <row r="2613">
      <c r="G2613" s="46"/>
      <c r="H2613" s="46"/>
      <c r="I2613" s="46"/>
      <c r="J2613" s="43"/>
      <c r="K2613" s="43"/>
      <c r="L2613" s="43"/>
    </row>
    <row r="2614">
      <c r="G2614" s="46"/>
      <c r="H2614" s="46"/>
      <c r="I2614" s="46"/>
      <c r="J2614" s="43"/>
      <c r="K2614" s="43"/>
      <c r="L2614" s="43"/>
    </row>
    <row r="2615">
      <c r="G2615" s="46"/>
      <c r="H2615" s="46"/>
      <c r="I2615" s="46"/>
      <c r="J2615" s="43"/>
      <c r="K2615" s="43"/>
      <c r="L2615" s="43"/>
    </row>
    <row r="2616">
      <c r="G2616" s="46"/>
      <c r="H2616" s="46"/>
      <c r="I2616" s="46"/>
      <c r="J2616" s="43"/>
      <c r="K2616" s="43"/>
      <c r="L2616" s="43"/>
    </row>
    <row r="2617">
      <c r="G2617" s="46"/>
      <c r="H2617" s="46"/>
      <c r="I2617" s="46"/>
      <c r="J2617" s="43"/>
      <c r="K2617" s="43"/>
      <c r="L2617" s="43"/>
    </row>
    <row r="2618">
      <c r="G2618" s="46"/>
      <c r="H2618" s="46"/>
      <c r="I2618" s="46"/>
      <c r="J2618" s="43"/>
      <c r="K2618" s="43"/>
      <c r="L2618" s="43"/>
    </row>
    <row r="2619">
      <c r="G2619" s="46"/>
      <c r="H2619" s="46"/>
      <c r="I2619" s="46"/>
      <c r="J2619" s="43"/>
      <c r="K2619" s="43"/>
      <c r="L2619" s="43"/>
    </row>
    <row r="2620">
      <c r="G2620" s="46"/>
      <c r="H2620" s="46"/>
      <c r="I2620" s="46"/>
      <c r="J2620" s="43"/>
      <c r="K2620" s="43"/>
      <c r="L2620" s="43"/>
    </row>
    <row r="2621">
      <c r="G2621" s="46"/>
      <c r="H2621" s="46"/>
      <c r="I2621" s="46"/>
      <c r="J2621" s="43"/>
      <c r="K2621" s="43"/>
      <c r="L2621" s="43"/>
    </row>
    <row r="2622">
      <c r="G2622" s="46"/>
      <c r="H2622" s="46"/>
      <c r="I2622" s="46"/>
      <c r="J2622" s="43"/>
      <c r="K2622" s="43"/>
      <c r="L2622" s="43"/>
    </row>
    <row r="2623">
      <c r="G2623" s="46"/>
      <c r="H2623" s="46"/>
      <c r="I2623" s="46"/>
      <c r="J2623" s="43"/>
      <c r="K2623" s="43"/>
      <c r="L2623" s="43"/>
    </row>
    <row r="2624">
      <c r="G2624" s="46"/>
      <c r="H2624" s="46"/>
      <c r="I2624" s="46"/>
      <c r="J2624" s="43"/>
      <c r="K2624" s="43"/>
      <c r="L2624" s="43"/>
    </row>
    <row r="2625">
      <c r="G2625" s="46"/>
      <c r="H2625" s="46"/>
      <c r="I2625" s="46"/>
      <c r="J2625" s="43"/>
      <c r="K2625" s="43"/>
      <c r="L2625" s="43"/>
    </row>
    <row r="2626">
      <c r="G2626" s="46"/>
      <c r="H2626" s="46"/>
      <c r="I2626" s="46"/>
      <c r="J2626" s="43"/>
      <c r="K2626" s="43"/>
      <c r="L2626" s="43"/>
    </row>
    <row r="2627">
      <c r="G2627" s="46"/>
      <c r="H2627" s="46"/>
      <c r="I2627" s="46"/>
      <c r="J2627" s="43"/>
      <c r="K2627" s="43"/>
      <c r="L2627" s="43"/>
    </row>
    <row r="2628">
      <c r="G2628" s="46"/>
      <c r="H2628" s="46"/>
      <c r="I2628" s="46"/>
      <c r="J2628" s="43"/>
      <c r="K2628" s="43"/>
      <c r="L2628" s="43"/>
    </row>
    <row r="2629">
      <c r="G2629" s="46"/>
      <c r="H2629" s="46"/>
      <c r="I2629" s="46"/>
      <c r="J2629" s="43"/>
      <c r="K2629" s="43"/>
      <c r="L2629" s="43"/>
    </row>
    <row r="2630">
      <c r="G2630" s="46"/>
      <c r="H2630" s="46"/>
      <c r="I2630" s="46"/>
      <c r="J2630" s="43"/>
      <c r="K2630" s="43"/>
      <c r="L2630" s="43"/>
    </row>
    <row r="2631">
      <c r="G2631" s="46"/>
      <c r="H2631" s="46"/>
      <c r="I2631" s="46"/>
      <c r="J2631" s="43"/>
      <c r="K2631" s="43"/>
      <c r="L2631" s="43"/>
    </row>
    <row r="2632">
      <c r="G2632" s="46"/>
      <c r="H2632" s="46"/>
      <c r="I2632" s="46"/>
      <c r="J2632" s="43"/>
      <c r="K2632" s="43"/>
      <c r="L2632" s="43"/>
    </row>
    <row r="2633">
      <c r="G2633" s="46"/>
      <c r="H2633" s="46"/>
      <c r="I2633" s="46"/>
      <c r="J2633" s="43"/>
      <c r="K2633" s="43"/>
      <c r="L2633" s="43"/>
    </row>
    <row r="2634">
      <c r="G2634" s="46"/>
      <c r="H2634" s="46"/>
      <c r="I2634" s="46"/>
      <c r="J2634" s="43"/>
      <c r="K2634" s="43"/>
      <c r="L2634" s="43"/>
    </row>
    <row r="2635">
      <c r="G2635" s="46"/>
      <c r="H2635" s="46"/>
      <c r="I2635" s="46"/>
      <c r="J2635" s="43"/>
      <c r="K2635" s="43"/>
      <c r="L2635" s="43"/>
    </row>
    <row r="2636">
      <c r="G2636" s="46"/>
      <c r="H2636" s="46"/>
      <c r="I2636" s="46"/>
      <c r="J2636" s="43"/>
      <c r="K2636" s="43"/>
      <c r="L2636" s="43"/>
    </row>
    <row r="2637">
      <c r="G2637" s="46"/>
      <c r="H2637" s="46"/>
      <c r="I2637" s="46"/>
      <c r="J2637" s="43"/>
      <c r="K2637" s="43"/>
      <c r="L2637" s="43"/>
    </row>
    <row r="2638">
      <c r="G2638" s="46"/>
      <c r="H2638" s="46"/>
      <c r="I2638" s="46"/>
      <c r="J2638" s="43"/>
      <c r="K2638" s="43"/>
      <c r="L2638" s="43"/>
    </row>
    <row r="2639">
      <c r="G2639" s="46"/>
      <c r="H2639" s="46"/>
      <c r="I2639" s="46"/>
      <c r="J2639" s="43"/>
      <c r="K2639" s="43"/>
      <c r="L2639" s="43"/>
    </row>
    <row r="2640">
      <c r="G2640" s="46"/>
      <c r="H2640" s="46"/>
      <c r="I2640" s="46"/>
      <c r="J2640" s="43"/>
      <c r="K2640" s="43"/>
      <c r="L2640" s="43"/>
    </row>
    <row r="2641">
      <c r="G2641" s="46"/>
      <c r="H2641" s="46"/>
      <c r="I2641" s="46"/>
      <c r="J2641" s="43"/>
      <c r="K2641" s="43"/>
      <c r="L2641" s="43"/>
    </row>
    <row r="2642">
      <c r="G2642" s="46"/>
      <c r="H2642" s="46"/>
      <c r="I2642" s="46"/>
      <c r="J2642" s="43"/>
      <c r="K2642" s="43"/>
      <c r="L2642" s="43"/>
    </row>
    <row r="2643">
      <c r="G2643" s="46"/>
      <c r="H2643" s="46"/>
      <c r="I2643" s="46"/>
      <c r="J2643" s="43"/>
      <c r="K2643" s="43"/>
      <c r="L2643" s="43"/>
    </row>
    <row r="2644">
      <c r="G2644" s="46"/>
      <c r="H2644" s="46"/>
      <c r="I2644" s="46"/>
      <c r="J2644" s="43"/>
      <c r="K2644" s="43"/>
      <c r="L2644" s="43"/>
    </row>
    <row r="2645">
      <c r="G2645" s="46"/>
      <c r="H2645" s="46"/>
      <c r="I2645" s="46"/>
      <c r="J2645" s="43"/>
      <c r="K2645" s="43"/>
      <c r="L2645" s="43"/>
    </row>
    <row r="2646">
      <c r="G2646" s="46"/>
      <c r="H2646" s="46"/>
      <c r="I2646" s="46"/>
      <c r="J2646" s="43"/>
      <c r="K2646" s="43"/>
      <c r="L2646" s="43"/>
    </row>
    <row r="2647">
      <c r="G2647" s="46"/>
      <c r="H2647" s="46"/>
      <c r="I2647" s="46"/>
      <c r="J2647" s="43"/>
      <c r="K2647" s="43"/>
      <c r="L2647" s="43"/>
    </row>
    <row r="2648">
      <c r="G2648" s="46"/>
      <c r="H2648" s="46"/>
      <c r="I2648" s="46"/>
      <c r="J2648" s="43"/>
      <c r="K2648" s="43"/>
      <c r="L2648" s="43"/>
    </row>
    <row r="2649">
      <c r="G2649" s="46"/>
      <c r="H2649" s="46"/>
      <c r="I2649" s="46"/>
      <c r="J2649" s="43"/>
      <c r="K2649" s="43"/>
      <c r="L2649" s="43"/>
    </row>
    <row r="2650">
      <c r="G2650" s="46"/>
      <c r="H2650" s="46"/>
      <c r="I2650" s="46"/>
      <c r="J2650" s="43"/>
      <c r="K2650" s="43"/>
      <c r="L2650" s="43"/>
    </row>
    <row r="2651">
      <c r="G2651" s="46"/>
      <c r="H2651" s="46"/>
      <c r="I2651" s="46"/>
      <c r="J2651" s="43"/>
      <c r="K2651" s="43"/>
      <c r="L2651" s="43"/>
    </row>
    <row r="2652">
      <c r="G2652" s="46"/>
      <c r="H2652" s="46"/>
      <c r="I2652" s="46"/>
      <c r="J2652" s="43"/>
      <c r="K2652" s="43"/>
      <c r="L2652" s="43"/>
    </row>
    <row r="2653">
      <c r="G2653" s="46"/>
      <c r="H2653" s="46"/>
      <c r="I2653" s="46"/>
      <c r="J2653" s="43"/>
      <c r="K2653" s="43"/>
      <c r="L2653" s="43"/>
    </row>
    <row r="2654">
      <c r="G2654" s="46"/>
      <c r="H2654" s="46"/>
      <c r="I2654" s="46"/>
      <c r="J2654" s="43"/>
      <c r="K2654" s="43"/>
      <c r="L2654" s="43"/>
    </row>
    <row r="2655">
      <c r="G2655" s="46"/>
      <c r="H2655" s="46"/>
      <c r="I2655" s="46"/>
      <c r="J2655" s="43"/>
      <c r="K2655" s="43"/>
      <c r="L2655" s="43"/>
    </row>
    <row r="2656">
      <c r="G2656" s="46"/>
      <c r="H2656" s="46"/>
      <c r="I2656" s="46"/>
      <c r="J2656" s="43"/>
      <c r="K2656" s="43"/>
      <c r="L2656" s="43"/>
    </row>
    <row r="2657">
      <c r="G2657" s="46"/>
      <c r="H2657" s="46"/>
      <c r="I2657" s="46"/>
      <c r="J2657" s="43"/>
      <c r="K2657" s="43"/>
      <c r="L2657" s="43"/>
    </row>
    <row r="2658">
      <c r="G2658" s="46"/>
      <c r="H2658" s="46"/>
      <c r="I2658" s="46"/>
      <c r="J2658" s="43"/>
      <c r="K2658" s="43"/>
      <c r="L2658" s="43"/>
    </row>
    <row r="2659">
      <c r="G2659" s="46"/>
      <c r="H2659" s="46"/>
      <c r="I2659" s="46"/>
      <c r="J2659" s="43"/>
      <c r="K2659" s="43"/>
      <c r="L2659" s="43"/>
    </row>
    <row r="2660">
      <c r="G2660" s="46"/>
      <c r="H2660" s="46"/>
      <c r="I2660" s="46"/>
      <c r="J2660" s="43"/>
      <c r="K2660" s="43"/>
      <c r="L2660" s="43"/>
    </row>
    <row r="2661">
      <c r="G2661" s="46"/>
      <c r="H2661" s="46"/>
      <c r="I2661" s="46"/>
      <c r="J2661" s="43"/>
      <c r="K2661" s="43"/>
      <c r="L2661" s="43"/>
    </row>
    <row r="2662">
      <c r="G2662" s="46"/>
      <c r="H2662" s="46"/>
      <c r="I2662" s="46"/>
      <c r="J2662" s="43"/>
      <c r="K2662" s="43"/>
      <c r="L2662" s="43"/>
    </row>
    <row r="2663">
      <c r="G2663" s="46"/>
      <c r="H2663" s="46"/>
      <c r="I2663" s="46"/>
      <c r="J2663" s="43"/>
      <c r="K2663" s="43"/>
      <c r="L2663" s="43"/>
    </row>
    <row r="2664">
      <c r="G2664" s="46"/>
      <c r="H2664" s="46"/>
      <c r="I2664" s="46"/>
      <c r="J2664" s="43"/>
      <c r="K2664" s="43"/>
      <c r="L2664" s="43"/>
    </row>
    <row r="2665">
      <c r="G2665" s="46"/>
      <c r="H2665" s="46"/>
      <c r="I2665" s="46"/>
      <c r="J2665" s="43"/>
      <c r="K2665" s="43"/>
      <c r="L2665" s="43"/>
    </row>
    <row r="2666">
      <c r="G2666" s="46"/>
      <c r="H2666" s="46"/>
      <c r="I2666" s="46"/>
      <c r="J2666" s="43"/>
      <c r="K2666" s="43"/>
      <c r="L2666" s="43"/>
    </row>
    <row r="2667">
      <c r="G2667" s="46"/>
      <c r="H2667" s="46"/>
      <c r="I2667" s="46"/>
      <c r="J2667" s="43"/>
      <c r="K2667" s="43"/>
      <c r="L2667" s="43"/>
    </row>
    <row r="2668">
      <c r="G2668" s="46"/>
      <c r="H2668" s="46"/>
      <c r="I2668" s="46"/>
      <c r="J2668" s="43"/>
      <c r="K2668" s="43"/>
      <c r="L2668" s="43"/>
    </row>
    <row r="2669">
      <c r="G2669" s="46"/>
      <c r="H2669" s="46"/>
      <c r="I2669" s="46"/>
      <c r="J2669" s="43"/>
      <c r="K2669" s="43"/>
      <c r="L2669" s="43"/>
    </row>
    <row r="2670">
      <c r="G2670" s="46"/>
      <c r="H2670" s="46"/>
      <c r="I2670" s="46"/>
      <c r="J2670" s="43"/>
      <c r="K2670" s="43"/>
      <c r="L2670" s="43"/>
    </row>
    <row r="2671">
      <c r="G2671" s="46"/>
      <c r="H2671" s="46"/>
      <c r="I2671" s="46"/>
      <c r="J2671" s="43"/>
      <c r="K2671" s="43"/>
      <c r="L2671" s="43"/>
    </row>
    <row r="2672">
      <c r="G2672" s="46"/>
      <c r="H2672" s="46"/>
      <c r="I2672" s="46"/>
      <c r="J2672" s="43"/>
      <c r="K2672" s="43"/>
      <c r="L2672" s="43"/>
    </row>
    <row r="2673">
      <c r="G2673" s="46"/>
      <c r="H2673" s="46"/>
      <c r="I2673" s="46"/>
      <c r="J2673" s="43"/>
      <c r="K2673" s="43"/>
      <c r="L2673" s="43"/>
    </row>
    <row r="2674">
      <c r="G2674" s="46"/>
      <c r="H2674" s="46"/>
      <c r="I2674" s="46"/>
      <c r="J2674" s="43"/>
      <c r="K2674" s="43"/>
      <c r="L2674" s="43"/>
    </row>
    <row r="2675">
      <c r="G2675" s="46"/>
      <c r="H2675" s="46"/>
      <c r="I2675" s="46"/>
      <c r="J2675" s="43"/>
      <c r="K2675" s="43"/>
      <c r="L2675" s="43"/>
    </row>
    <row r="2676">
      <c r="G2676" s="46"/>
      <c r="H2676" s="46"/>
      <c r="I2676" s="46"/>
      <c r="J2676" s="43"/>
      <c r="K2676" s="43"/>
      <c r="L2676" s="43"/>
    </row>
    <row r="2677">
      <c r="G2677" s="46"/>
      <c r="H2677" s="46"/>
      <c r="I2677" s="46"/>
      <c r="J2677" s="43"/>
      <c r="K2677" s="43"/>
      <c r="L2677" s="43"/>
    </row>
    <row r="2678">
      <c r="G2678" s="46"/>
      <c r="H2678" s="46"/>
      <c r="I2678" s="46"/>
      <c r="J2678" s="43"/>
      <c r="K2678" s="43"/>
      <c r="L2678" s="43"/>
    </row>
    <row r="2679">
      <c r="G2679" s="46"/>
      <c r="H2679" s="46"/>
      <c r="I2679" s="46"/>
      <c r="J2679" s="43"/>
      <c r="K2679" s="43"/>
      <c r="L2679" s="43"/>
    </row>
    <row r="2680">
      <c r="G2680" s="46"/>
      <c r="H2680" s="46"/>
      <c r="I2680" s="46"/>
      <c r="J2680" s="43"/>
      <c r="K2680" s="43"/>
      <c r="L2680" s="43"/>
    </row>
    <row r="2681">
      <c r="G2681" s="46"/>
      <c r="H2681" s="46"/>
      <c r="I2681" s="46"/>
      <c r="J2681" s="43"/>
      <c r="K2681" s="43"/>
      <c r="L2681" s="43"/>
    </row>
    <row r="2682">
      <c r="G2682" s="46"/>
      <c r="H2682" s="46"/>
      <c r="I2682" s="46"/>
      <c r="J2682" s="43"/>
      <c r="K2682" s="43"/>
      <c r="L2682" s="43"/>
    </row>
    <row r="2683">
      <c r="G2683" s="46"/>
      <c r="H2683" s="46"/>
      <c r="I2683" s="46"/>
      <c r="J2683" s="43"/>
      <c r="K2683" s="43"/>
      <c r="L2683" s="43"/>
    </row>
    <row r="2684">
      <c r="G2684" s="46"/>
      <c r="H2684" s="46"/>
      <c r="I2684" s="46"/>
      <c r="J2684" s="43"/>
      <c r="K2684" s="43"/>
      <c r="L2684" s="43"/>
    </row>
    <row r="2685">
      <c r="G2685" s="46"/>
      <c r="H2685" s="46"/>
      <c r="I2685" s="46"/>
      <c r="J2685" s="43"/>
      <c r="K2685" s="43"/>
      <c r="L2685" s="43"/>
    </row>
    <row r="2686">
      <c r="G2686" s="46"/>
      <c r="H2686" s="46"/>
      <c r="I2686" s="46"/>
      <c r="J2686" s="43"/>
      <c r="K2686" s="43"/>
      <c r="L2686" s="43"/>
    </row>
    <row r="2687">
      <c r="G2687" s="46"/>
      <c r="H2687" s="46"/>
      <c r="I2687" s="46"/>
      <c r="J2687" s="43"/>
      <c r="K2687" s="43"/>
      <c r="L2687" s="43"/>
    </row>
    <row r="2688">
      <c r="G2688" s="46"/>
      <c r="H2688" s="46"/>
      <c r="I2688" s="46"/>
      <c r="J2688" s="43"/>
      <c r="K2688" s="43"/>
      <c r="L2688" s="43"/>
    </row>
    <row r="2689">
      <c r="G2689" s="46"/>
      <c r="H2689" s="46"/>
      <c r="I2689" s="46"/>
      <c r="J2689" s="43"/>
      <c r="K2689" s="43"/>
      <c r="L2689" s="43"/>
    </row>
    <row r="2690">
      <c r="G2690" s="46"/>
      <c r="H2690" s="46"/>
      <c r="I2690" s="46"/>
      <c r="J2690" s="43"/>
      <c r="K2690" s="43"/>
      <c r="L2690" s="43"/>
    </row>
    <row r="2691">
      <c r="G2691" s="46"/>
      <c r="H2691" s="46"/>
      <c r="I2691" s="46"/>
      <c r="J2691" s="43"/>
      <c r="K2691" s="43"/>
      <c r="L2691" s="43"/>
    </row>
    <row r="2692">
      <c r="G2692" s="46"/>
      <c r="H2692" s="46"/>
      <c r="I2692" s="46"/>
      <c r="J2692" s="43"/>
      <c r="K2692" s="43"/>
      <c r="L2692" s="43"/>
    </row>
    <row r="2693">
      <c r="G2693" s="46"/>
      <c r="H2693" s="46"/>
      <c r="I2693" s="46"/>
      <c r="J2693" s="43"/>
      <c r="K2693" s="43"/>
      <c r="L2693" s="43"/>
    </row>
    <row r="2694">
      <c r="G2694" s="46"/>
      <c r="H2694" s="46"/>
      <c r="I2694" s="46"/>
      <c r="J2694" s="43"/>
      <c r="K2694" s="43"/>
      <c r="L2694" s="43"/>
    </row>
    <row r="2695">
      <c r="G2695" s="46"/>
      <c r="H2695" s="46"/>
      <c r="I2695" s="46"/>
      <c r="J2695" s="43"/>
      <c r="K2695" s="43"/>
      <c r="L2695" s="43"/>
    </row>
    <row r="2696">
      <c r="G2696" s="46"/>
      <c r="H2696" s="46"/>
      <c r="I2696" s="46"/>
      <c r="J2696" s="43"/>
      <c r="K2696" s="43"/>
      <c r="L2696" s="43"/>
    </row>
    <row r="2697">
      <c r="G2697" s="46"/>
      <c r="H2697" s="46"/>
      <c r="I2697" s="46"/>
      <c r="J2697" s="43"/>
      <c r="K2697" s="43"/>
      <c r="L2697" s="43"/>
    </row>
    <row r="2698">
      <c r="G2698" s="46"/>
      <c r="H2698" s="46"/>
      <c r="I2698" s="46"/>
      <c r="J2698" s="43"/>
      <c r="K2698" s="43"/>
      <c r="L2698" s="43"/>
    </row>
    <row r="2699">
      <c r="G2699" s="46"/>
      <c r="H2699" s="46"/>
      <c r="I2699" s="46"/>
      <c r="J2699" s="43"/>
      <c r="K2699" s="43"/>
      <c r="L2699" s="43"/>
    </row>
    <row r="2700">
      <c r="G2700" s="46"/>
      <c r="H2700" s="46"/>
      <c r="I2700" s="46"/>
      <c r="J2700" s="43"/>
      <c r="K2700" s="43"/>
      <c r="L2700" s="43"/>
    </row>
    <row r="2701">
      <c r="G2701" s="46"/>
      <c r="H2701" s="46"/>
      <c r="I2701" s="46"/>
      <c r="J2701" s="43"/>
      <c r="K2701" s="43"/>
      <c r="L2701" s="43"/>
    </row>
    <row r="2702">
      <c r="G2702" s="46"/>
      <c r="H2702" s="46"/>
      <c r="I2702" s="46"/>
      <c r="J2702" s="43"/>
      <c r="K2702" s="43"/>
      <c r="L2702" s="43"/>
    </row>
    <row r="2703">
      <c r="G2703" s="46"/>
      <c r="H2703" s="46"/>
      <c r="I2703" s="46"/>
      <c r="J2703" s="43"/>
      <c r="K2703" s="43"/>
      <c r="L2703" s="43"/>
    </row>
    <row r="2704">
      <c r="G2704" s="46"/>
      <c r="H2704" s="46"/>
      <c r="I2704" s="46"/>
      <c r="J2704" s="43"/>
      <c r="K2704" s="43"/>
      <c r="L2704" s="43"/>
    </row>
    <row r="2705">
      <c r="G2705" s="46"/>
      <c r="H2705" s="46"/>
      <c r="I2705" s="46"/>
      <c r="J2705" s="43"/>
      <c r="K2705" s="43"/>
      <c r="L2705" s="43"/>
    </row>
    <row r="2706">
      <c r="G2706" s="46"/>
      <c r="H2706" s="46"/>
      <c r="I2706" s="46"/>
      <c r="J2706" s="43"/>
      <c r="K2706" s="43"/>
      <c r="L2706" s="43"/>
    </row>
    <row r="2707">
      <c r="G2707" s="46"/>
      <c r="H2707" s="46"/>
      <c r="I2707" s="46"/>
      <c r="J2707" s="43"/>
      <c r="K2707" s="43"/>
      <c r="L2707" s="43"/>
    </row>
    <row r="2708">
      <c r="G2708" s="46"/>
      <c r="H2708" s="46"/>
      <c r="I2708" s="46"/>
      <c r="J2708" s="43"/>
      <c r="K2708" s="43"/>
      <c r="L2708" s="43"/>
    </row>
    <row r="2709">
      <c r="G2709" s="46"/>
      <c r="H2709" s="46"/>
      <c r="I2709" s="46"/>
      <c r="J2709" s="43"/>
      <c r="K2709" s="43"/>
      <c r="L2709" s="43"/>
    </row>
    <row r="2710">
      <c r="G2710" s="46"/>
      <c r="H2710" s="46"/>
      <c r="I2710" s="46"/>
      <c r="J2710" s="43"/>
      <c r="K2710" s="43"/>
      <c r="L2710" s="43"/>
    </row>
    <row r="2711">
      <c r="G2711" s="46"/>
      <c r="H2711" s="46"/>
      <c r="I2711" s="46"/>
      <c r="J2711" s="43"/>
      <c r="K2711" s="43"/>
      <c r="L2711" s="43"/>
    </row>
    <row r="2712">
      <c r="G2712" s="46"/>
      <c r="H2712" s="46"/>
      <c r="I2712" s="46"/>
      <c r="J2712" s="43"/>
      <c r="K2712" s="43"/>
      <c r="L2712" s="43"/>
    </row>
    <row r="2713">
      <c r="G2713" s="46"/>
      <c r="H2713" s="46"/>
      <c r="I2713" s="46"/>
      <c r="J2713" s="43"/>
      <c r="K2713" s="43"/>
      <c r="L2713" s="43"/>
    </row>
    <row r="2714">
      <c r="G2714" s="46"/>
      <c r="H2714" s="46"/>
      <c r="I2714" s="46"/>
      <c r="J2714" s="43"/>
      <c r="K2714" s="43"/>
      <c r="L2714" s="43"/>
    </row>
    <row r="2715">
      <c r="G2715" s="46"/>
      <c r="H2715" s="46"/>
      <c r="I2715" s="46"/>
      <c r="J2715" s="43"/>
      <c r="K2715" s="43"/>
      <c r="L2715" s="43"/>
    </row>
    <row r="2716">
      <c r="G2716" s="46"/>
      <c r="H2716" s="46"/>
      <c r="I2716" s="46"/>
      <c r="J2716" s="43"/>
      <c r="K2716" s="43"/>
      <c r="L2716" s="43"/>
    </row>
    <row r="2717">
      <c r="G2717" s="46"/>
      <c r="H2717" s="46"/>
      <c r="I2717" s="46"/>
      <c r="J2717" s="43"/>
      <c r="K2717" s="43"/>
      <c r="L2717" s="43"/>
    </row>
    <row r="2718">
      <c r="G2718" s="46"/>
      <c r="H2718" s="46"/>
      <c r="I2718" s="46"/>
      <c r="J2718" s="43"/>
      <c r="K2718" s="43"/>
      <c r="L2718" s="43"/>
    </row>
    <row r="2719">
      <c r="G2719" s="46"/>
      <c r="H2719" s="46"/>
      <c r="I2719" s="46"/>
      <c r="J2719" s="43"/>
      <c r="K2719" s="43"/>
      <c r="L2719" s="43"/>
    </row>
    <row r="2720">
      <c r="G2720" s="46"/>
      <c r="H2720" s="46"/>
      <c r="I2720" s="46"/>
      <c r="J2720" s="43"/>
      <c r="K2720" s="43"/>
      <c r="L2720" s="43"/>
    </row>
    <row r="2721">
      <c r="G2721" s="46"/>
      <c r="H2721" s="46"/>
      <c r="I2721" s="46"/>
      <c r="J2721" s="43"/>
      <c r="K2721" s="43"/>
      <c r="L2721" s="43"/>
    </row>
    <row r="2722">
      <c r="G2722" s="46"/>
      <c r="H2722" s="46"/>
      <c r="I2722" s="46"/>
      <c r="J2722" s="43"/>
      <c r="K2722" s="43"/>
      <c r="L2722" s="43"/>
    </row>
    <row r="2723">
      <c r="G2723" s="46"/>
      <c r="H2723" s="46"/>
      <c r="I2723" s="46"/>
      <c r="J2723" s="43"/>
      <c r="K2723" s="43"/>
      <c r="L2723" s="43"/>
    </row>
    <row r="2724">
      <c r="G2724" s="46"/>
      <c r="H2724" s="46"/>
      <c r="I2724" s="46"/>
      <c r="J2724" s="43"/>
      <c r="K2724" s="43"/>
      <c r="L2724" s="43"/>
    </row>
    <row r="2725">
      <c r="G2725" s="46"/>
      <c r="H2725" s="46"/>
      <c r="I2725" s="46"/>
      <c r="J2725" s="43"/>
      <c r="K2725" s="43"/>
      <c r="L2725" s="43"/>
    </row>
    <row r="2726">
      <c r="G2726" s="46"/>
      <c r="H2726" s="46"/>
      <c r="I2726" s="46"/>
      <c r="J2726" s="43"/>
      <c r="K2726" s="43"/>
      <c r="L2726" s="43"/>
    </row>
    <row r="2727">
      <c r="G2727" s="46"/>
      <c r="H2727" s="46"/>
      <c r="I2727" s="46"/>
      <c r="J2727" s="43"/>
      <c r="K2727" s="43"/>
      <c r="L2727" s="43"/>
    </row>
    <row r="2728">
      <c r="G2728" s="46"/>
      <c r="H2728" s="46"/>
      <c r="I2728" s="46"/>
      <c r="J2728" s="43"/>
      <c r="K2728" s="43"/>
      <c r="L2728" s="43"/>
    </row>
    <row r="2729">
      <c r="G2729" s="46"/>
      <c r="H2729" s="46"/>
      <c r="I2729" s="46"/>
      <c r="J2729" s="43"/>
      <c r="K2729" s="43"/>
      <c r="L2729" s="43"/>
    </row>
    <row r="2730">
      <c r="G2730" s="46"/>
      <c r="H2730" s="46"/>
      <c r="I2730" s="46"/>
      <c r="J2730" s="43"/>
      <c r="K2730" s="43"/>
      <c r="L2730" s="43"/>
    </row>
    <row r="2731">
      <c r="G2731" s="46"/>
      <c r="H2731" s="46"/>
      <c r="I2731" s="46"/>
      <c r="J2731" s="43"/>
      <c r="K2731" s="43"/>
      <c r="L2731" s="43"/>
    </row>
    <row r="2732">
      <c r="G2732" s="46"/>
      <c r="H2732" s="46"/>
      <c r="I2732" s="46"/>
      <c r="J2732" s="43"/>
      <c r="K2732" s="43"/>
      <c r="L2732" s="43"/>
    </row>
    <row r="2733">
      <c r="G2733" s="46"/>
      <c r="H2733" s="46"/>
      <c r="I2733" s="46"/>
      <c r="J2733" s="43"/>
      <c r="K2733" s="43"/>
      <c r="L2733" s="43"/>
    </row>
    <row r="2734">
      <c r="G2734" s="46"/>
      <c r="H2734" s="46"/>
      <c r="I2734" s="46"/>
      <c r="J2734" s="43"/>
      <c r="K2734" s="43"/>
      <c r="L2734" s="43"/>
    </row>
    <row r="2735">
      <c r="G2735" s="46"/>
      <c r="H2735" s="46"/>
      <c r="I2735" s="46"/>
      <c r="J2735" s="43"/>
      <c r="K2735" s="43"/>
      <c r="L2735" s="43"/>
    </row>
    <row r="2736">
      <c r="G2736" s="46"/>
      <c r="H2736" s="46"/>
      <c r="I2736" s="46"/>
      <c r="J2736" s="43"/>
      <c r="K2736" s="43"/>
      <c r="L2736" s="43"/>
    </row>
    <row r="2737">
      <c r="G2737" s="46"/>
      <c r="H2737" s="46"/>
      <c r="I2737" s="46"/>
      <c r="J2737" s="43"/>
      <c r="K2737" s="43"/>
      <c r="L2737" s="43"/>
    </row>
    <row r="2738">
      <c r="G2738" s="46"/>
      <c r="H2738" s="46"/>
      <c r="I2738" s="46"/>
      <c r="J2738" s="43"/>
      <c r="K2738" s="43"/>
      <c r="L2738" s="43"/>
    </row>
    <row r="2739">
      <c r="G2739" s="46"/>
      <c r="H2739" s="46"/>
      <c r="I2739" s="46"/>
      <c r="J2739" s="43"/>
      <c r="K2739" s="43"/>
      <c r="L2739" s="43"/>
    </row>
    <row r="2740">
      <c r="G2740" s="46"/>
      <c r="H2740" s="46"/>
      <c r="I2740" s="46"/>
      <c r="J2740" s="43"/>
      <c r="K2740" s="43"/>
      <c r="L2740" s="43"/>
    </row>
    <row r="2741">
      <c r="G2741" s="46"/>
      <c r="H2741" s="46"/>
      <c r="I2741" s="46"/>
      <c r="J2741" s="43"/>
      <c r="K2741" s="43"/>
      <c r="L2741" s="43"/>
    </row>
    <row r="2742">
      <c r="G2742" s="46"/>
      <c r="H2742" s="46"/>
      <c r="I2742" s="46"/>
      <c r="J2742" s="43"/>
      <c r="K2742" s="43"/>
      <c r="L2742" s="43"/>
    </row>
    <row r="2743">
      <c r="G2743" s="46"/>
      <c r="H2743" s="46"/>
      <c r="I2743" s="46"/>
      <c r="J2743" s="43"/>
      <c r="K2743" s="43"/>
      <c r="L2743" s="43"/>
    </row>
    <row r="2744">
      <c r="G2744" s="46"/>
      <c r="H2744" s="46"/>
      <c r="I2744" s="46"/>
      <c r="J2744" s="43"/>
      <c r="K2744" s="43"/>
      <c r="L2744" s="43"/>
    </row>
    <row r="2745">
      <c r="G2745" s="46"/>
      <c r="H2745" s="46"/>
      <c r="I2745" s="46"/>
      <c r="J2745" s="43"/>
      <c r="K2745" s="43"/>
      <c r="L2745" s="43"/>
    </row>
    <row r="2746">
      <c r="G2746" s="46"/>
      <c r="H2746" s="46"/>
      <c r="I2746" s="46"/>
      <c r="J2746" s="43"/>
      <c r="K2746" s="43"/>
      <c r="L2746" s="43"/>
    </row>
    <row r="2747">
      <c r="G2747" s="46"/>
      <c r="H2747" s="46"/>
      <c r="I2747" s="46"/>
      <c r="J2747" s="43"/>
      <c r="K2747" s="43"/>
      <c r="L2747" s="43"/>
    </row>
    <row r="2748">
      <c r="G2748" s="46"/>
      <c r="H2748" s="46"/>
      <c r="I2748" s="46"/>
      <c r="J2748" s="43"/>
      <c r="K2748" s="43"/>
      <c r="L2748" s="43"/>
    </row>
    <row r="2749">
      <c r="G2749" s="46"/>
      <c r="H2749" s="46"/>
      <c r="I2749" s="46"/>
      <c r="J2749" s="43"/>
      <c r="K2749" s="43"/>
      <c r="L2749" s="43"/>
    </row>
    <row r="2750">
      <c r="G2750" s="46"/>
      <c r="H2750" s="46"/>
      <c r="I2750" s="46"/>
      <c r="J2750" s="43"/>
      <c r="K2750" s="43"/>
      <c r="L2750" s="43"/>
    </row>
    <row r="2751">
      <c r="G2751" s="46"/>
      <c r="H2751" s="46"/>
      <c r="I2751" s="46"/>
      <c r="J2751" s="43"/>
      <c r="K2751" s="43"/>
      <c r="L2751" s="43"/>
    </row>
    <row r="2752">
      <c r="G2752" s="46"/>
      <c r="H2752" s="46"/>
      <c r="I2752" s="46"/>
      <c r="J2752" s="43"/>
      <c r="K2752" s="43"/>
      <c r="L2752" s="43"/>
    </row>
    <row r="2753">
      <c r="G2753" s="46"/>
      <c r="H2753" s="46"/>
      <c r="I2753" s="46"/>
      <c r="J2753" s="43"/>
      <c r="K2753" s="43"/>
      <c r="L2753" s="43"/>
    </row>
    <row r="2754">
      <c r="G2754" s="46"/>
      <c r="H2754" s="46"/>
      <c r="I2754" s="46"/>
      <c r="J2754" s="43"/>
      <c r="K2754" s="43"/>
      <c r="L2754" s="43"/>
    </row>
    <row r="2755">
      <c r="G2755" s="46"/>
      <c r="H2755" s="46"/>
      <c r="I2755" s="46"/>
      <c r="J2755" s="43"/>
      <c r="K2755" s="43"/>
      <c r="L2755" s="43"/>
    </row>
    <row r="2756">
      <c r="G2756" s="46"/>
      <c r="H2756" s="46"/>
      <c r="I2756" s="46"/>
      <c r="J2756" s="43"/>
      <c r="K2756" s="43"/>
      <c r="L2756" s="43"/>
    </row>
    <row r="2757">
      <c r="G2757" s="46"/>
      <c r="H2757" s="46"/>
      <c r="I2757" s="46"/>
      <c r="J2757" s="43"/>
      <c r="K2757" s="43"/>
      <c r="L2757" s="43"/>
    </row>
    <row r="2758">
      <c r="G2758" s="46"/>
      <c r="H2758" s="46"/>
      <c r="I2758" s="46"/>
      <c r="J2758" s="43"/>
      <c r="K2758" s="43"/>
      <c r="L2758" s="43"/>
    </row>
    <row r="2759">
      <c r="G2759" s="46"/>
      <c r="H2759" s="46"/>
      <c r="I2759" s="46"/>
      <c r="J2759" s="43"/>
      <c r="K2759" s="43"/>
      <c r="L2759" s="43"/>
    </row>
    <row r="2760">
      <c r="G2760" s="46"/>
      <c r="H2760" s="46"/>
      <c r="I2760" s="46"/>
      <c r="J2760" s="43"/>
      <c r="K2760" s="43"/>
      <c r="L2760" s="43"/>
    </row>
    <row r="2761">
      <c r="G2761" s="46"/>
      <c r="H2761" s="46"/>
      <c r="I2761" s="46"/>
      <c r="J2761" s="43"/>
      <c r="K2761" s="43"/>
      <c r="L2761" s="43"/>
    </row>
    <row r="2762">
      <c r="G2762" s="46"/>
      <c r="H2762" s="46"/>
      <c r="I2762" s="46"/>
      <c r="J2762" s="43"/>
      <c r="K2762" s="43"/>
      <c r="L2762" s="43"/>
    </row>
    <row r="2763">
      <c r="G2763" s="46"/>
      <c r="H2763" s="46"/>
      <c r="I2763" s="46"/>
      <c r="J2763" s="43"/>
      <c r="K2763" s="43"/>
      <c r="L2763" s="43"/>
    </row>
    <row r="2764">
      <c r="G2764" s="46"/>
      <c r="H2764" s="46"/>
      <c r="I2764" s="46"/>
      <c r="J2764" s="43"/>
      <c r="K2764" s="43"/>
      <c r="L2764" s="43"/>
    </row>
    <row r="2765">
      <c r="G2765" s="46"/>
      <c r="H2765" s="46"/>
      <c r="I2765" s="46"/>
      <c r="J2765" s="43"/>
      <c r="K2765" s="43"/>
      <c r="L2765" s="43"/>
    </row>
    <row r="2766">
      <c r="G2766" s="46"/>
      <c r="H2766" s="46"/>
      <c r="I2766" s="46"/>
      <c r="J2766" s="43"/>
      <c r="K2766" s="43"/>
      <c r="L2766" s="43"/>
    </row>
    <row r="2767">
      <c r="G2767" s="46"/>
      <c r="H2767" s="46"/>
      <c r="I2767" s="46"/>
      <c r="J2767" s="43"/>
      <c r="K2767" s="43"/>
      <c r="L2767" s="43"/>
    </row>
    <row r="2768">
      <c r="G2768" s="46"/>
      <c r="H2768" s="46"/>
      <c r="I2768" s="46"/>
      <c r="J2768" s="43"/>
      <c r="K2768" s="43"/>
      <c r="L2768" s="43"/>
    </row>
    <row r="2769">
      <c r="G2769" s="46"/>
      <c r="H2769" s="46"/>
      <c r="I2769" s="46"/>
      <c r="J2769" s="43"/>
      <c r="K2769" s="43"/>
      <c r="L2769" s="43"/>
    </row>
    <row r="2770">
      <c r="G2770" s="46"/>
      <c r="H2770" s="46"/>
      <c r="I2770" s="46"/>
      <c r="J2770" s="43"/>
      <c r="K2770" s="43"/>
      <c r="L2770" s="43"/>
    </row>
    <row r="2771">
      <c r="G2771" s="46"/>
      <c r="H2771" s="46"/>
      <c r="I2771" s="46"/>
      <c r="J2771" s="43"/>
      <c r="K2771" s="43"/>
      <c r="L2771" s="43"/>
    </row>
    <row r="2772">
      <c r="G2772" s="46"/>
      <c r="H2772" s="46"/>
      <c r="I2772" s="46"/>
      <c r="J2772" s="43"/>
      <c r="K2772" s="43"/>
      <c r="L2772" s="43"/>
    </row>
    <row r="2773">
      <c r="G2773" s="46"/>
      <c r="H2773" s="46"/>
      <c r="I2773" s="46"/>
      <c r="J2773" s="43"/>
      <c r="K2773" s="43"/>
      <c r="L2773" s="43"/>
    </row>
    <row r="2774">
      <c r="G2774" s="46"/>
      <c r="H2774" s="46"/>
      <c r="I2774" s="46"/>
      <c r="J2774" s="43"/>
      <c r="K2774" s="43"/>
      <c r="L2774" s="43"/>
    </row>
    <row r="2775">
      <c r="G2775" s="46"/>
      <c r="H2775" s="46"/>
      <c r="I2775" s="46"/>
      <c r="J2775" s="43"/>
      <c r="K2775" s="43"/>
      <c r="L2775" s="43"/>
    </row>
    <row r="2776">
      <c r="G2776" s="46"/>
      <c r="H2776" s="46"/>
      <c r="I2776" s="46"/>
      <c r="J2776" s="43"/>
      <c r="K2776" s="43"/>
      <c r="L2776" s="43"/>
    </row>
    <row r="2777">
      <c r="G2777" s="46"/>
      <c r="H2777" s="46"/>
      <c r="I2777" s="46"/>
      <c r="J2777" s="43"/>
      <c r="K2777" s="43"/>
      <c r="L2777" s="43"/>
    </row>
    <row r="2778">
      <c r="G2778" s="46"/>
      <c r="H2778" s="46"/>
      <c r="I2778" s="46"/>
      <c r="J2778" s="43"/>
      <c r="K2778" s="43"/>
      <c r="L2778" s="43"/>
    </row>
    <row r="2779">
      <c r="G2779" s="46"/>
      <c r="H2779" s="46"/>
      <c r="I2779" s="46"/>
      <c r="J2779" s="43"/>
      <c r="K2779" s="43"/>
      <c r="L2779" s="43"/>
    </row>
    <row r="2780">
      <c r="G2780" s="46"/>
      <c r="H2780" s="46"/>
      <c r="I2780" s="46"/>
      <c r="J2780" s="43"/>
      <c r="K2780" s="43"/>
      <c r="L2780" s="43"/>
    </row>
    <row r="2781">
      <c r="G2781" s="46"/>
      <c r="H2781" s="46"/>
      <c r="I2781" s="46"/>
      <c r="J2781" s="43"/>
      <c r="K2781" s="43"/>
      <c r="L2781" s="43"/>
    </row>
    <row r="2782">
      <c r="G2782" s="46"/>
      <c r="H2782" s="46"/>
      <c r="I2782" s="46"/>
      <c r="J2782" s="43"/>
      <c r="K2782" s="43"/>
      <c r="L2782" s="43"/>
    </row>
    <row r="2783">
      <c r="G2783" s="46"/>
      <c r="H2783" s="46"/>
      <c r="I2783" s="46"/>
      <c r="J2783" s="43"/>
      <c r="K2783" s="43"/>
      <c r="L2783" s="43"/>
    </row>
    <row r="2784">
      <c r="G2784" s="46"/>
      <c r="H2784" s="46"/>
      <c r="I2784" s="46"/>
      <c r="J2784" s="43"/>
      <c r="K2784" s="43"/>
      <c r="L2784" s="43"/>
    </row>
    <row r="2785">
      <c r="G2785" s="46"/>
      <c r="H2785" s="46"/>
      <c r="I2785" s="46"/>
      <c r="J2785" s="43"/>
      <c r="K2785" s="43"/>
      <c r="L2785" s="43"/>
    </row>
    <row r="2786">
      <c r="G2786" s="46"/>
      <c r="H2786" s="46"/>
      <c r="I2786" s="46"/>
      <c r="J2786" s="43"/>
      <c r="K2786" s="43"/>
      <c r="L2786" s="43"/>
    </row>
    <row r="2787">
      <c r="G2787" s="46"/>
      <c r="H2787" s="46"/>
      <c r="I2787" s="46"/>
      <c r="J2787" s="43"/>
      <c r="K2787" s="43"/>
      <c r="L2787" s="43"/>
    </row>
    <row r="2788">
      <c r="G2788" s="46"/>
      <c r="H2788" s="46"/>
      <c r="I2788" s="46"/>
      <c r="J2788" s="43"/>
      <c r="K2788" s="43"/>
      <c r="L2788" s="43"/>
    </row>
    <row r="2789">
      <c r="G2789" s="46"/>
      <c r="H2789" s="46"/>
      <c r="I2789" s="46"/>
      <c r="J2789" s="43"/>
      <c r="K2789" s="43"/>
      <c r="L2789" s="43"/>
    </row>
    <row r="2790">
      <c r="G2790" s="46"/>
      <c r="H2790" s="46"/>
      <c r="I2790" s="46"/>
      <c r="J2790" s="43"/>
      <c r="K2790" s="43"/>
      <c r="L2790" s="43"/>
    </row>
    <row r="2791">
      <c r="G2791" s="46"/>
      <c r="H2791" s="46"/>
      <c r="I2791" s="46"/>
      <c r="J2791" s="43"/>
      <c r="K2791" s="43"/>
      <c r="L2791" s="43"/>
    </row>
    <row r="2792">
      <c r="G2792" s="46"/>
      <c r="H2792" s="46"/>
      <c r="I2792" s="46"/>
      <c r="J2792" s="43"/>
      <c r="K2792" s="43"/>
      <c r="L2792" s="43"/>
    </row>
    <row r="2793">
      <c r="G2793" s="46"/>
      <c r="H2793" s="46"/>
      <c r="I2793" s="46"/>
      <c r="J2793" s="43"/>
      <c r="K2793" s="43"/>
      <c r="L2793" s="43"/>
    </row>
    <row r="2794">
      <c r="G2794" s="46"/>
      <c r="H2794" s="46"/>
      <c r="I2794" s="46"/>
      <c r="J2794" s="43"/>
      <c r="K2794" s="43"/>
      <c r="L2794" s="43"/>
    </row>
    <row r="2795">
      <c r="G2795" s="46"/>
      <c r="H2795" s="46"/>
      <c r="I2795" s="46"/>
      <c r="J2795" s="43"/>
      <c r="K2795" s="43"/>
      <c r="L2795" s="43"/>
    </row>
    <row r="2796">
      <c r="G2796" s="46"/>
      <c r="H2796" s="46"/>
      <c r="I2796" s="46"/>
      <c r="J2796" s="43"/>
      <c r="K2796" s="43"/>
      <c r="L2796" s="43"/>
    </row>
    <row r="2797">
      <c r="G2797" s="46"/>
      <c r="H2797" s="46"/>
      <c r="I2797" s="46"/>
      <c r="J2797" s="43"/>
      <c r="K2797" s="43"/>
      <c r="L2797" s="43"/>
    </row>
    <row r="2798">
      <c r="G2798" s="46"/>
      <c r="H2798" s="46"/>
      <c r="I2798" s="46"/>
      <c r="J2798" s="43"/>
      <c r="K2798" s="43"/>
      <c r="L2798" s="43"/>
    </row>
    <row r="2799">
      <c r="G2799" s="46"/>
      <c r="H2799" s="46"/>
      <c r="I2799" s="46"/>
      <c r="J2799" s="43"/>
      <c r="K2799" s="43"/>
      <c r="L2799" s="43"/>
    </row>
    <row r="2800">
      <c r="G2800" s="46"/>
      <c r="H2800" s="46"/>
      <c r="I2800" s="46"/>
      <c r="J2800" s="43"/>
      <c r="K2800" s="43"/>
      <c r="L2800" s="43"/>
    </row>
    <row r="2801">
      <c r="G2801" s="46"/>
      <c r="H2801" s="46"/>
      <c r="I2801" s="46"/>
      <c r="J2801" s="43"/>
      <c r="K2801" s="43"/>
      <c r="L2801" s="43"/>
    </row>
    <row r="2802">
      <c r="G2802" s="46"/>
      <c r="H2802" s="46"/>
      <c r="I2802" s="46"/>
      <c r="J2802" s="43"/>
      <c r="K2802" s="43"/>
      <c r="L2802" s="43"/>
    </row>
    <row r="2803">
      <c r="G2803" s="46"/>
      <c r="H2803" s="46"/>
      <c r="I2803" s="46"/>
      <c r="J2803" s="43"/>
      <c r="K2803" s="43"/>
      <c r="L2803" s="43"/>
    </row>
    <row r="2804">
      <c r="G2804" s="46"/>
      <c r="H2804" s="46"/>
      <c r="I2804" s="46"/>
      <c r="J2804" s="43"/>
      <c r="K2804" s="43"/>
      <c r="L2804" s="43"/>
    </row>
    <row r="2805">
      <c r="G2805" s="46"/>
      <c r="H2805" s="46"/>
      <c r="I2805" s="46"/>
      <c r="J2805" s="43"/>
      <c r="K2805" s="43"/>
      <c r="L2805" s="43"/>
    </row>
    <row r="2806">
      <c r="G2806" s="46"/>
      <c r="H2806" s="46"/>
      <c r="I2806" s="46"/>
      <c r="J2806" s="43"/>
      <c r="K2806" s="43"/>
      <c r="L2806" s="43"/>
    </row>
    <row r="2807">
      <c r="G2807" s="46"/>
      <c r="H2807" s="46"/>
      <c r="I2807" s="46"/>
      <c r="J2807" s="43"/>
      <c r="K2807" s="43"/>
      <c r="L2807" s="43"/>
    </row>
    <row r="2808">
      <c r="G2808" s="46"/>
      <c r="H2808" s="46"/>
      <c r="I2808" s="46"/>
      <c r="J2808" s="43"/>
      <c r="K2808" s="43"/>
      <c r="L2808" s="43"/>
    </row>
    <row r="2809">
      <c r="G2809" s="46"/>
      <c r="H2809" s="46"/>
      <c r="I2809" s="46"/>
      <c r="J2809" s="43"/>
      <c r="K2809" s="43"/>
      <c r="L2809" s="43"/>
    </row>
    <row r="2810">
      <c r="G2810" s="46"/>
      <c r="H2810" s="46"/>
      <c r="I2810" s="46"/>
      <c r="J2810" s="43"/>
      <c r="K2810" s="43"/>
      <c r="L2810" s="43"/>
    </row>
    <row r="2811">
      <c r="G2811" s="46"/>
      <c r="H2811" s="46"/>
      <c r="I2811" s="46"/>
      <c r="J2811" s="43"/>
      <c r="K2811" s="43"/>
      <c r="L2811" s="43"/>
    </row>
    <row r="2812">
      <c r="G2812" s="46"/>
      <c r="H2812" s="46"/>
      <c r="I2812" s="46"/>
      <c r="J2812" s="43"/>
      <c r="K2812" s="43"/>
      <c r="L2812" s="43"/>
    </row>
    <row r="2813">
      <c r="G2813" s="46"/>
      <c r="H2813" s="46"/>
      <c r="I2813" s="46"/>
      <c r="J2813" s="43"/>
      <c r="K2813" s="43"/>
      <c r="L2813" s="43"/>
    </row>
    <row r="2814">
      <c r="G2814" s="46"/>
      <c r="H2814" s="46"/>
      <c r="I2814" s="46"/>
      <c r="J2814" s="43"/>
      <c r="K2814" s="43"/>
      <c r="L2814" s="43"/>
    </row>
    <row r="2815">
      <c r="G2815" s="46"/>
      <c r="H2815" s="46"/>
      <c r="I2815" s="46"/>
      <c r="J2815" s="43"/>
      <c r="K2815" s="43"/>
      <c r="L2815" s="43"/>
    </row>
    <row r="2816">
      <c r="G2816" s="46"/>
      <c r="H2816" s="46"/>
      <c r="I2816" s="46"/>
      <c r="J2816" s="43"/>
      <c r="K2816" s="43"/>
      <c r="L2816" s="43"/>
    </row>
    <row r="2817">
      <c r="G2817" s="46"/>
      <c r="H2817" s="46"/>
      <c r="I2817" s="46"/>
      <c r="J2817" s="43"/>
      <c r="K2817" s="43"/>
      <c r="L2817" s="43"/>
    </row>
    <row r="2818">
      <c r="G2818" s="46"/>
      <c r="H2818" s="46"/>
      <c r="I2818" s="46"/>
      <c r="J2818" s="43"/>
      <c r="K2818" s="43"/>
      <c r="L2818" s="43"/>
    </row>
    <row r="2819">
      <c r="G2819" s="46"/>
      <c r="H2819" s="46"/>
      <c r="I2819" s="46"/>
      <c r="J2819" s="43"/>
      <c r="K2819" s="43"/>
      <c r="L2819" s="43"/>
    </row>
    <row r="2820">
      <c r="G2820" s="46"/>
      <c r="H2820" s="46"/>
      <c r="I2820" s="46"/>
      <c r="J2820" s="43"/>
      <c r="K2820" s="43"/>
      <c r="L2820" s="43"/>
    </row>
    <row r="2821">
      <c r="G2821" s="46"/>
      <c r="H2821" s="46"/>
      <c r="I2821" s="46"/>
      <c r="J2821" s="43"/>
      <c r="K2821" s="43"/>
      <c r="L2821" s="43"/>
    </row>
    <row r="2822">
      <c r="G2822" s="46"/>
      <c r="H2822" s="46"/>
      <c r="I2822" s="46"/>
      <c r="J2822" s="43"/>
      <c r="K2822" s="43"/>
      <c r="L2822" s="43"/>
    </row>
    <row r="2823">
      <c r="G2823" s="46"/>
      <c r="H2823" s="46"/>
      <c r="I2823" s="46"/>
      <c r="J2823" s="43"/>
      <c r="K2823" s="43"/>
      <c r="L2823" s="43"/>
    </row>
    <row r="2824">
      <c r="G2824" s="46"/>
      <c r="H2824" s="46"/>
      <c r="I2824" s="46"/>
      <c r="J2824" s="43"/>
      <c r="K2824" s="43"/>
      <c r="L2824" s="43"/>
    </row>
    <row r="2825">
      <c r="G2825" s="46"/>
      <c r="H2825" s="46"/>
      <c r="I2825" s="46"/>
      <c r="J2825" s="43"/>
      <c r="K2825" s="43"/>
      <c r="L2825" s="43"/>
    </row>
    <row r="2826">
      <c r="G2826" s="46"/>
      <c r="H2826" s="46"/>
      <c r="I2826" s="46"/>
      <c r="J2826" s="43"/>
      <c r="K2826" s="43"/>
      <c r="L2826" s="43"/>
    </row>
    <row r="2827">
      <c r="G2827" s="46"/>
      <c r="H2827" s="46"/>
      <c r="I2827" s="46"/>
      <c r="J2827" s="43"/>
      <c r="K2827" s="43"/>
      <c r="L2827" s="43"/>
    </row>
    <row r="2828">
      <c r="G2828" s="46"/>
      <c r="H2828" s="46"/>
      <c r="I2828" s="46"/>
      <c r="J2828" s="43"/>
      <c r="K2828" s="43"/>
      <c r="L2828" s="43"/>
    </row>
    <row r="2829">
      <c r="G2829" s="46"/>
      <c r="H2829" s="46"/>
      <c r="I2829" s="46"/>
      <c r="J2829" s="43"/>
      <c r="K2829" s="43"/>
      <c r="L2829" s="43"/>
    </row>
    <row r="2830">
      <c r="G2830" s="46"/>
      <c r="H2830" s="46"/>
      <c r="I2830" s="46"/>
      <c r="J2830" s="43"/>
      <c r="K2830" s="43"/>
      <c r="L2830" s="43"/>
    </row>
    <row r="2831">
      <c r="G2831" s="46"/>
      <c r="H2831" s="46"/>
      <c r="I2831" s="46"/>
      <c r="J2831" s="43"/>
      <c r="K2831" s="43"/>
      <c r="L2831" s="43"/>
    </row>
    <row r="2832">
      <c r="G2832" s="46"/>
      <c r="H2832" s="46"/>
      <c r="I2832" s="46"/>
      <c r="J2832" s="43"/>
      <c r="K2832" s="43"/>
      <c r="L2832" s="43"/>
    </row>
    <row r="2833">
      <c r="G2833" s="46"/>
      <c r="H2833" s="46"/>
      <c r="I2833" s="46"/>
      <c r="J2833" s="43"/>
      <c r="K2833" s="43"/>
      <c r="L2833" s="43"/>
    </row>
    <row r="2834">
      <c r="G2834" s="46"/>
      <c r="H2834" s="46"/>
      <c r="I2834" s="46"/>
      <c r="J2834" s="43"/>
      <c r="K2834" s="43"/>
      <c r="L2834" s="43"/>
    </row>
    <row r="2835">
      <c r="G2835" s="46"/>
      <c r="H2835" s="46"/>
      <c r="I2835" s="46"/>
      <c r="J2835" s="43"/>
      <c r="K2835" s="43"/>
      <c r="L2835" s="43"/>
    </row>
    <row r="2836">
      <c r="G2836" s="46"/>
      <c r="H2836" s="46"/>
      <c r="I2836" s="46"/>
      <c r="J2836" s="43"/>
      <c r="K2836" s="43"/>
      <c r="L2836" s="43"/>
    </row>
    <row r="2837">
      <c r="G2837" s="46"/>
      <c r="H2837" s="46"/>
      <c r="I2837" s="46"/>
      <c r="J2837" s="43"/>
      <c r="K2837" s="43"/>
      <c r="L2837" s="43"/>
    </row>
    <row r="2838">
      <c r="G2838" s="46"/>
      <c r="H2838" s="46"/>
      <c r="I2838" s="46"/>
      <c r="J2838" s="43"/>
      <c r="K2838" s="43"/>
      <c r="L2838" s="43"/>
    </row>
    <row r="2839">
      <c r="G2839" s="46"/>
      <c r="H2839" s="46"/>
      <c r="I2839" s="46"/>
      <c r="J2839" s="43"/>
      <c r="K2839" s="43"/>
      <c r="L2839" s="43"/>
    </row>
    <row r="2840">
      <c r="G2840" s="46"/>
      <c r="H2840" s="46"/>
      <c r="I2840" s="46"/>
      <c r="J2840" s="43"/>
      <c r="K2840" s="43"/>
      <c r="L2840" s="43"/>
    </row>
    <row r="2841">
      <c r="G2841" s="46"/>
      <c r="H2841" s="46"/>
      <c r="I2841" s="46"/>
      <c r="J2841" s="43"/>
      <c r="K2841" s="43"/>
      <c r="L2841" s="43"/>
    </row>
    <row r="2842">
      <c r="G2842" s="46"/>
      <c r="H2842" s="46"/>
      <c r="I2842" s="46"/>
      <c r="J2842" s="43"/>
      <c r="K2842" s="43"/>
      <c r="L2842" s="43"/>
    </row>
    <row r="2843">
      <c r="G2843" s="46"/>
      <c r="H2843" s="46"/>
      <c r="I2843" s="46"/>
      <c r="J2843" s="43"/>
      <c r="K2843" s="43"/>
      <c r="L2843" s="43"/>
    </row>
    <row r="2844">
      <c r="G2844" s="46"/>
      <c r="H2844" s="46"/>
      <c r="I2844" s="46"/>
      <c r="J2844" s="43"/>
      <c r="K2844" s="43"/>
      <c r="L2844" s="43"/>
    </row>
    <row r="2845">
      <c r="G2845" s="46"/>
      <c r="H2845" s="46"/>
      <c r="I2845" s="46"/>
      <c r="J2845" s="43"/>
      <c r="K2845" s="43"/>
      <c r="L2845" s="43"/>
    </row>
    <row r="2846">
      <c r="G2846" s="46"/>
      <c r="H2846" s="46"/>
      <c r="I2846" s="46"/>
      <c r="J2846" s="43"/>
      <c r="K2846" s="43"/>
      <c r="L2846" s="43"/>
    </row>
    <row r="2847">
      <c r="G2847" s="46"/>
      <c r="H2847" s="46"/>
      <c r="I2847" s="46"/>
      <c r="J2847" s="43"/>
      <c r="K2847" s="43"/>
      <c r="L2847" s="43"/>
    </row>
    <row r="2848">
      <c r="G2848" s="46"/>
      <c r="H2848" s="46"/>
      <c r="I2848" s="46"/>
      <c r="J2848" s="43"/>
      <c r="K2848" s="43"/>
      <c r="L2848" s="43"/>
    </row>
    <row r="2849">
      <c r="G2849" s="46"/>
      <c r="H2849" s="46"/>
      <c r="I2849" s="46"/>
      <c r="J2849" s="43"/>
      <c r="K2849" s="43"/>
      <c r="L2849" s="43"/>
    </row>
    <row r="2850">
      <c r="G2850" s="46"/>
      <c r="H2850" s="46"/>
      <c r="I2850" s="46"/>
      <c r="J2850" s="43"/>
      <c r="K2850" s="43"/>
      <c r="L2850" s="43"/>
    </row>
    <row r="2851">
      <c r="G2851" s="46"/>
      <c r="H2851" s="46"/>
      <c r="I2851" s="46"/>
      <c r="J2851" s="43"/>
      <c r="K2851" s="43"/>
      <c r="L2851" s="43"/>
    </row>
    <row r="2852">
      <c r="G2852" s="46"/>
      <c r="H2852" s="46"/>
      <c r="I2852" s="46"/>
      <c r="J2852" s="43"/>
      <c r="K2852" s="43"/>
      <c r="L2852" s="43"/>
    </row>
    <row r="2853">
      <c r="G2853" s="46"/>
      <c r="H2853" s="46"/>
      <c r="I2853" s="46"/>
      <c r="J2853" s="43"/>
      <c r="K2853" s="43"/>
      <c r="L2853" s="43"/>
    </row>
    <row r="2854">
      <c r="G2854" s="46"/>
      <c r="H2854" s="46"/>
      <c r="I2854" s="46"/>
      <c r="J2854" s="43"/>
      <c r="K2854" s="43"/>
      <c r="L2854" s="43"/>
    </row>
    <row r="2855">
      <c r="G2855" s="46"/>
      <c r="H2855" s="46"/>
      <c r="I2855" s="46"/>
      <c r="J2855" s="43"/>
      <c r="K2855" s="43"/>
      <c r="L2855" s="43"/>
    </row>
    <row r="2856">
      <c r="G2856" s="46"/>
      <c r="H2856" s="46"/>
      <c r="I2856" s="46"/>
      <c r="J2856" s="43"/>
      <c r="K2856" s="43"/>
      <c r="L2856" s="43"/>
    </row>
    <row r="2857">
      <c r="G2857" s="46"/>
      <c r="H2857" s="46"/>
      <c r="I2857" s="46"/>
      <c r="J2857" s="43"/>
      <c r="K2857" s="43"/>
      <c r="L2857" s="43"/>
    </row>
    <row r="2858">
      <c r="G2858" s="46"/>
      <c r="H2858" s="46"/>
      <c r="I2858" s="46"/>
      <c r="J2858" s="43"/>
      <c r="K2858" s="43"/>
      <c r="L2858" s="43"/>
    </row>
    <row r="2859">
      <c r="G2859" s="46"/>
      <c r="H2859" s="46"/>
      <c r="I2859" s="46"/>
      <c r="J2859" s="43"/>
      <c r="K2859" s="43"/>
      <c r="L2859" s="43"/>
    </row>
    <row r="2860">
      <c r="G2860" s="46"/>
      <c r="H2860" s="46"/>
      <c r="I2860" s="46"/>
      <c r="J2860" s="43"/>
      <c r="K2860" s="43"/>
      <c r="L2860" s="43"/>
    </row>
    <row r="2861">
      <c r="G2861" s="46"/>
      <c r="H2861" s="46"/>
      <c r="I2861" s="46"/>
      <c r="J2861" s="43"/>
      <c r="K2861" s="43"/>
      <c r="L2861" s="43"/>
    </row>
    <row r="2862">
      <c r="G2862" s="46"/>
      <c r="H2862" s="46"/>
      <c r="I2862" s="46"/>
      <c r="J2862" s="43"/>
      <c r="K2862" s="43"/>
      <c r="L2862" s="43"/>
    </row>
    <row r="2863">
      <c r="G2863" s="46"/>
      <c r="H2863" s="46"/>
      <c r="I2863" s="46"/>
      <c r="J2863" s="43"/>
      <c r="K2863" s="43"/>
      <c r="L2863" s="43"/>
    </row>
    <row r="2864">
      <c r="G2864" s="46"/>
      <c r="H2864" s="46"/>
      <c r="I2864" s="46"/>
      <c r="J2864" s="43"/>
      <c r="K2864" s="43"/>
      <c r="L2864" s="43"/>
    </row>
    <row r="2865">
      <c r="G2865" s="46"/>
      <c r="H2865" s="46"/>
      <c r="I2865" s="46"/>
      <c r="J2865" s="43"/>
      <c r="K2865" s="43"/>
      <c r="L2865" s="43"/>
    </row>
    <row r="2866">
      <c r="G2866" s="46"/>
      <c r="H2866" s="46"/>
      <c r="I2866" s="46"/>
      <c r="J2866" s="43"/>
      <c r="K2866" s="43"/>
      <c r="L2866" s="43"/>
    </row>
    <row r="2867">
      <c r="G2867" s="46"/>
      <c r="H2867" s="46"/>
      <c r="I2867" s="46"/>
      <c r="J2867" s="43"/>
      <c r="K2867" s="43"/>
      <c r="L2867" s="43"/>
    </row>
    <row r="2868">
      <c r="G2868" s="46"/>
      <c r="H2868" s="46"/>
      <c r="I2868" s="46"/>
      <c r="J2868" s="43"/>
      <c r="K2868" s="43"/>
      <c r="L2868" s="43"/>
    </row>
    <row r="2869">
      <c r="G2869" s="46"/>
      <c r="H2869" s="46"/>
      <c r="I2869" s="46"/>
      <c r="J2869" s="43"/>
      <c r="K2869" s="43"/>
      <c r="L2869" s="43"/>
    </row>
    <row r="2870">
      <c r="G2870" s="46"/>
      <c r="H2870" s="46"/>
      <c r="I2870" s="46"/>
      <c r="J2870" s="43"/>
      <c r="K2870" s="43"/>
      <c r="L2870" s="43"/>
    </row>
    <row r="2871">
      <c r="G2871" s="46"/>
      <c r="H2871" s="46"/>
      <c r="I2871" s="46"/>
      <c r="J2871" s="43"/>
      <c r="K2871" s="43"/>
      <c r="L2871" s="43"/>
    </row>
    <row r="2872">
      <c r="G2872" s="46"/>
      <c r="H2872" s="46"/>
      <c r="I2872" s="46"/>
      <c r="J2872" s="43"/>
      <c r="K2872" s="43"/>
      <c r="L2872" s="43"/>
    </row>
    <row r="2873">
      <c r="G2873" s="46"/>
      <c r="H2873" s="46"/>
      <c r="I2873" s="46"/>
      <c r="J2873" s="43"/>
      <c r="K2873" s="43"/>
      <c r="L2873" s="43"/>
    </row>
    <row r="2874">
      <c r="G2874" s="46"/>
      <c r="H2874" s="46"/>
      <c r="I2874" s="46"/>
      <c r="J2874" s="43"/>
      <c r="K2874" s="43"/>
      <c r="L2874" s="43"/>
    </row>
    <row r="2875">
      <c r="G2875" s="46"/>
      <c r="H2875" s="46"/>
      <c r="I2875" s="46"/>
      <c r="J2875" s="43"/>
      <c r="K2875" s="43"/>
      <c r="L2875" s="43"/>
    </row>
    <row r="2876">
      <c r="G2876" s="46"/>
      <c r="H2876" s="46"/>
      <c r="I2876" s="46"/>
      <c r="J2876" s="43"/>
      <c r="K2876" s="43"/>
      <c r="L2876" s="43"/>
    </row>
    <row r="2877">
      <c r="G2877" s="46"/>
      <c r="H2877" s="46"/>
      <c r="I2877" s="46"/>
      <c r="J2877" s="43"/>
      <c r="K2877" s="43"/>
      <c r="L2877" s="43"/>
    </row>
    <row r="2878">
      <c r="G2878" s="46"/>
      <c r="H2878" s="46"/>
      <c r="I2878" s="46"/>
      <c r="J2878" s="43"/>
      <c r="K2878" s="43"/>
      <c r="L2878" s="43"/>
    </row>
    <row r="2879">
      <c r="G2879" s="46"/>
      <c r="H2879" s="46"/>
      <c r="I2879" s="46"/>
      <c r="J2879" s="43"/>
      <c r="K2879" s="43"/>
      <c r="L2879" s="43"/>
    </row>
    <row r="2880">
      <c r="G2880" s="46"/>
      <c r="H2880" s="46"/>
      <c r="I2880" s="46"/>
      <c r="J2880" s="43"/>
      <c r="K2880" s="43"/>
      <c r="L2880" s="43"/>
    </row>
    <row r="2881">
      <c r="G2881" s="46"/>
      <c r="H2881" s="46"/>
      <c r="I2881" s="46"/>
      <c r="J2881" s="43"/>
      <c r="K2881" s="43"/>
      <c r="L2881" s="43"/>
    </row>
    <row r="2882">
      <c r="G2882" s="46"/>
      <c r="H2882" s="46"/>
      <c r="I2882" s="46"/>
      <c r="J2882" s="43"/>
      <c r="K2882" s="43"/>
      <c r="L2882" s="43"/>
    </row>
    <row r="2883">
      <c r="G2883" s="46"/>
      <c r="H2883" s="46"/>
      <c r="I2883" s="46"/>
      <c r="J2883" s="43"/>
      <c r="K2883" s="43"/>
      <c r="L2883" s="43"/>
    </row>
    <row r="2884">
      <c r="G2884" s="46"/>
      <c r="H2884" s="46"/>
      <c r="I2884" s="46"/>
      <c r="J2884" s="43"/>
      <c r="K2884" s="43"/>
      <c r="L2884" s="43"/>
    </row>
    <row r="2885">
      <c r="G2885" s="46"/>
      <c r="H2885" s="46"/>
      <c r="I2885" s="46"/>
      <c r="J2885" s="43"/>
      <c r="K2885" s="43"/>
      <c r="L2885" s="43"/>
    </row>
    <row r="2886">
      <c r="G2886" s="46"/>
      <c r="H2886" s="46"/>
      <c r="I2886" s="46"/>
      <c r="J2886" s="43"/>
      <c r="K2886" s="43"/>
      <c r="L2886" s="43"/>
    </row>
    <row r="2887">
      <c r="G2887" s="46"/>
      <c r="H2887" s="46"/>
      <c r="I2887" s="46"/>
      <c r="J2887" s="43"/>
      <c r="K2887" s="43"/>
      <c r="L2887" s="43"/>
    </row>
    <row r="2888">
      <c r="G2888" s="46"/>
      <c r="H2888" s="46"/>
      <c r="I2888" s="46"/>
      <c r="J2888" s="43"/>
      <c r="K2888" s="43"/>
      <c r="L2888" s="43"/>
    </row>
    <row r="2889">
      <c r="G2889" s="46"/>
      <c r="H2889" s="46"/>
      <c r="I2889" s="46"/>
      <c r="J2889" s="43"/>
      <c r="K2889" s="43"/>
      <c r="L2889" s="43"/>
    </row>
    <row r="2890">
      <c r="G2890" s="46"/>
      <c r="H2890" s="46"/>
      <c r="I2890" s="46"/>
      <c r="J2890" s="43"/>
      <c r="K2890" s="43"/>
      <c r="L2890" s="43"/>
    </row>
    <row r="2891">
      <c r="G2891" s="46"/>
      <c r="H2891" s="46"/>
      <c r="I2891" s="46"/>
      <c r="J2891" s="43"/>
      <c r="K2891" s="43"/>
      <c r="L2891" s="43"/>
    </row>
    <row r="2892">
      <c r="G2892" s="46"/>
      <c r="H2892" s="46"/>
      <c r="I2892" s="46"/>
      <c r="J2892" s="43"/>
      <c r="K2892" s="43"/>
      <c r="L2892" s="43"/>
    </row>
    <row r="2893">
      <c r="G2893" s="46"/>
      <c r="H2893" s="46"/>
      <c r="I2893" s="46"/>
      <c r="J2893" s="43"/>
      <c r="K2893" s="43"/>
      <c r="L2893" s="43"/>
    </row>
    <row r="2894">
      <c r="G2894" s="46"/>
      <c r="H2894" s="46"/>
      <c r="I2894" s="46"/>
      <c r="J2894" s="43"/>
      <c r="K2894" s="43"/>
      <c r="L2894" s="43"/>
    </row>
    <row r="2895">
      <c r="G2895" s="46"/>
      <c r="H2895" s="46"/>
      <c r="I2895" s="46"/>
      <c r="J2895" s="43"/>
      <c r="K2895" s="43"/>
      <c r="L2895" s="43"/>
    </row>
    <row r="2896">
      <c r="G2896" s="46"/>
      <c r="H2896" s="46"/>
      <c r="I2896" s="46"/>
      <c r="J2896" s="43"/>
      <c r="K2896" s="43"/>
      <c r="L2896" s="43"/>
    </row>
    <row r="2897">
      <c r="G2897" s="46"/>
      <c r="H2897" s="46"/>
      <c r="I2897" s="46"/>
      <c r="J2897" s="43"/>
      <c r="K2897" s="43"/>
      <c r="L2897" s="43"/>
    </row>
    <row r="2898">
      <c r="G2898" s="46"/>
      <c r="H2898" s="46"/>
      <c r="I2898" s="46"/>
      <c r="J2898" s="43"/>
      <c r="K2898" s="43"/>
      <c r="L2898" s="43"/>
    </row>
    <row r="2899">
      <c r="G2899" s="46"/>
      <c r="H2899" s="46"/>
      <c r="I2899" s="46"/>
      <c r="J2899" s="43"/>
      <c r="K2899" s="43"/>
      <c r="L2899" s="43"/>
    </row>
    <row r="2900">
      <c r="G2900" s="46"/>
      <c r="H2900" s="46"/>
      <c r="I2900" s="46"/>
      <c r="J2900" s="43"/>
      <c r="K2900" s="43"/>
      <c r="L2900" s="43"/>
    </row>
    <row r="2901">
      <c r="G2901" s="46"/>
      <c r="H2901" s="46"/>
      <c r="I2901" s="46"/>
      <c r="J2901" s="43"/>
      <c r="K2901" s="43"/>
      <c r="L2901" s="43"/>
    </row>
    <row r="2902">
      <c r="G2902" s="46"/>
      <c r="H2902" s="46"/>
      <c r="I2902" s="46"/>
      <c r="J2902" s="43"/>
      <c r="K2902" s="43"/>
      <c r="L2902" s="43"/>
    </row>
    <row r="2903">
      <c r="G2903" s="46"/>
      <c r="H2903" s="46"/>
      <c r="I2903" s="46"/>
      <c r="J2903" s="43"/>
      <c r="K2903" s="43"/>
      <c r="L2903" s="43"/>
    </row>
    <row r="2904">
      <c r="G2904" s="46"/>
      <c r="H2904" s="46"/>
      <c r="I2904" s="46"/>
      <c r="J2904" s="43"/>
      <c r="K2904" s="43"/>
      <c r="L2904" s="43"/>
    </row>
    <row r="2905">
      <c r="G2905" s="46"/>
      <c r="H2905" s="46"/>
      <c r="I2905" s="46"/>
      <c r="J2905" s="43"/>
      <c r="K2905" s="43"/>
      <c r="L2905" s="43"/>
    </row>
    <row r="2906">
      <c r="G2906" s="46"/>
      <c r="H2906" s="46"/>
      <c r="I2906" s="46"/>
      <c r="J2906" s="43"/>
      <c r="K2906" s="43"/>
      <c r="L2906" s="43"/>
    </row>
    <row r="2907">
      <c r="G2907" s="46"/>
      <c r="H2907" s="46"/>
      <c r="I2907" s="46"/>
      <c r="J2907" s="43"/>
      <c r="K2907" s="43"/>
      <c r="L2907" s="43"/>
    </row>
    <row r="2908">
      <c r="G2908" s="46"/>
      <c r="H2908" s="46"/>
      <c r="I2908" s="46"/>
      <c r="J2908" s="43"/>
      <c r="K2908" s="43"/>
      <c r="L2908" s="43"/>
    </row>
    <row r="2909">
      <c r="G2909" s="46"/>
      <c r="H2909" s="46"/>
      <c r="I2909" s="46"/>
      <c r="J2909" s="43"/>
      <c r="K2909" s="43"/>
      <c r="L2909" s="43"/>
    </row>
    <row r="2910">
      <c r="G2910" s="46"/>
      <c r="H2910" s="46"/>
      <c r="I2910" s="46"/>
      <c r="J2910" s="43"/>
      <c r="K2910" s="43"/>
      <c r="L2910" s="43"/>
    </row>
    <row r="2911">
      <c r="G2911" s="46"/>
      <c r="H2911" s="46"/>
      <c r="I2911" s="46"/>
      <c r="J2911" s="43"/>
      <c r="K2911" s="43"/>
      <c r="L2911" s="43"/>
    </row>
    <row r="2912">
      <c r="G2912" s="46"/>
      <c r="H2912" s="46"/>
      <c r="I2912" s="46"/>
      <c r="J2912" s="43"/>
      <c r="K2912" s="43"/>
      <c r="L2912" s="43"/>
    </row>
    <row r="2913">
      <c r="G2913" s="46"/>
      <c r="H2913" s="46"/>
      <c r="I2913" s="46"/>
      <c r="J2913" s="43"/>
      <c r="K2913" s="43"/>
      <c r="L2913" s="43"/>
    </row>
    <row r="2914">
      <c r="G2914" s="46"/>
      <c r="H2914" s="46"/>
      <c r="I2914" s="46"/>
      <c r="J2914" s="43"/>
      <c r="K2914" s="43"/>
      <c r="L2914" s="43"/>
    </row>
    <row r="2915">
      <c r="G2915" s="46"/>
      <c r="H2915" s="46"/>
      <c r="I2915" s="46"/>
      <c r="J2915" s="43"/>
      <c r="K2915" s="43"/>
      <c r="L2915" s="43"/>
    </row>
    <row r="2916">
      <c r="G2916" s="46"/>
      <c r="H2916" s="46"/>
      <c r="I2916" s="46"/>
      <c r="J2916" s="43"/>
      <c r="K2916" s="43"/>
      <c r="L2916" s="43"/>
    </row>
    <row r="2917">
      <c r="G2917" s="46"/>
      <c r="H2917" s="46"/>
      <c r="I2917" s="46"/>
      <c r="J2917" s="43"/>
      <c r="K2917" s="43"/>
      <c r="L2917" s="43"/>
    </row>
    <row r="2918">
      <c r="G2918" s="46"/>
      <c r="H2918" s="46"/>
      <c r="I2918" s="46"/>
      <c r="J2918" s="43"/>
      <c r="K2918" s="43"/>
      <c r="L2918" s="43"/>
    </row>
    <row r="2919">
      <c r="G2919" s="46"/>
      <c r="H2919" s="46"/>
      <c r="I2919" s="46"/>
      <c r="J2919" s="43"/>
      <c r="K2919" s="43"/>
      <c r="L2919" s="43"/>
    </row>
    <row r="2920">
      <c r="G2920" s="46"/>
      <c r="H2920" s="46"/>
      <c r="I2920" s="46"/>
      <c r="J2920" s="43"/>
      <c r="K2920" s="43"/>
      <c r="L2920" s="43"/>
    </row>
    <row r="2921">
      <c r="G2921" s="46"/>
      <c r="H2921" s="46"/>
      <c r="I2921" s="46"/>
      <c r="J2921" s="43"/>
      <c r="K2921" s="43"/>
      <c r="L2921" s="43"/>
    </row>
    <row r="2922">
      <c r="G2922" s="46"/>
      <c r="H2922" s="46"/>
      <c r="I2922" s="46"/>
      <c r="J2922" s="43"/>
      <c r="K2922" s="43"/>
      <c r="L2922" s="43"/>
    </row>
    <row r="2923">
      <c r="G2923" s="46"/>
      <c r="H2923" s="46"/>
      <c r="I2923" s="46"/>
      <c r="J2923" s="43"/>
      <c r="K2923" s="43"/>
      <c r="L2923" s="43"/>
    </row>
    <row r="2924">
      <c r="G2924" s="46"/>
      <c r="H2924" s="46"/>
      <c r="I2924" s="46"/>
      <c r="J2924" s="43"/>
      <c r="K2924" s="43"/>
      <c r="L2924" s="43"/>
    </row>
    <row r="2925">
      <c r="G2925" s="46"/>
      <c r="H2925" s="46"/>
      <c r="I2925" s="46"/>
      <c r="J2925" s="43"/>
      <c r="K2925" s="43"/>
      <c r="L2925" s="43"/>
    </row>
    <row r="2926">
      <c r="G2926" s="46"/>
      <c r="H2926" s="46"/>
      <c r="I2926" s="46"/>
      <c r="J2926" s="43"/>
      <c r="K2926" s="43"/>
      <c r="L2926" s="43"/>
    </row>
    <row r="2927">
      <c r="G2927" s="46"/>
      <c r="H2927" s="46"/>
      <c r="I2927" s="46"/>
      <c r="J2927" s="43"/>
      <c r="K2927" s="43"/>
      <c r="L2927" s="43"/>
    </row>
    <row r="2928">
      <c r="G2928" s="46"/>
      <c r="H2928" s="46"/>
      <c r="I2928" s="46"/>
      <c r="J2928" s="43"/>
      <c r="K2928" s="43"/>
      <c r="L2928" s="43"/>
    </row>
    <row r="2929">
      <c r="G2929" s="46"/>
      <c r="H2929" s="46"/>
      <c r="I2929" s="46"/>
      <c r="J2929" s="43"/>
      <c r="K2929" s="43"/>
      <c r="L2929" s="43"/>
    </row>
    <row r="2930">
      <c r="G2930" s="46"/>
      <c r="H2930" s="46"/>
      <c r="I2930" s="46"/>
      <c r="J2930" s="43"/>
      <c r="K2930" s="43"/>
      <c r="L2930" s="43"/>
    </row>
    <row r="2931">
      <c r="G2931" s="46"/>
      <c r="H2931" s="46"/>
      <c r="I2931" s="46"/>
      <c r="J2931" s="43"/>
      <c r="K2931" s="43"/>
      <c r="L2931" s="43"/>
    </row>
    <row r="2932">
      <c r="G2932" s="46"/>
      <c r="H2932" s="46"/>
      <c r="I2932" s="46"/>
      <c r="J2932" s="43"/>
      <c r="K2932" s="43"/>
      <c r="L2932" s="43"/>
    </row>
    <row r="2933">
      <c r="G2933" s="46"/>
      <c r="H2933" s="46"/>
      <c r="I2933" s="46"/>
      <c r="J2933" s="43"/>
      <c r="K2933" s="43"/>
      <c r="L2933" s="43"/>
    </row>
    <row r="2934">
      <c r="G2934" s="46"/>
      <c r="H2934" s="46"/>
      <c r="I2934" s="46"/>
      <c r="J2934" s="43"/>
      <c r="K2934" s="43"/>
      <c r="L2934" s="43"/>
    </row>
    <row r="2935">
      <c r="G2935" s="46"/>
      <c r="H2935" s="46"/>
      <c r="I2935" s="46"/>
      <c r="J2935" s="43"/>
      <c r="K2935" s="43"/>
      <c r="L2935" s="43"/>
    </row>
    <row r="2936">
      <c r="G2936" s="46"/>
      <c r="H2936" s="46"/>
      <c r="I2936" s="46"/>
      <c r="J2936" s="43"/>
      <c r="K2936" s="43"/>
      <c r="L2936" s="43"/>
    </row>
    <row r="2937">
      <c r="G2937" s="46"/>
      <c r="H2937" s="46"/>
      <c r="I2937" s="46"/>
      <c r="J2937" s="43"/>
      <c r="K2937" s="43"/>
      <c r="L2937" s="43"/>
    </row>
    <row r="2938">
      <c r="G2938" s="46"/>
      <c r="H2938" s="46"/>
      <c r="I2938" s="46"/>
      <c r="J2938" s="43"/>
      <c r="K2938" s="43"/>
      <c r="L2938" s="43"/>
    </row>
    <row r="2939">
      <c r="G2939" s="46"/>
      <c r="H2939" s="46"/>
      <c r="I2939" s="46"/>
      <c r="J2939" s="43"/>
      <c r="K2939" s="43"/>
      <c r="L2939" s="43"/>
    </row>
    <row r="2940">
      <c r="G2940" s="46"/>
      <c r="H2940" s="46"/>
      <c r="I2940" s="46"/>
      <c r="J2940" s="43"/>
      <c r="K2940" s="43"/>
      <c r="L2940" s="43"/>
    </row>
    <row r="2941">
      <c r="G2941" s="46"/>
      <c r="H2941" s="46"/>
      <c r="I2941" s="46"/>
      <c r="J2941" s="43"/>
      <c r="K2941" s="43"/>
      <c r="L2941" s="43"/>
    </row>
    <row r="2942">
      <c r="G2942" s="46"/>
      <c r="H2942" s="46"/>
      <c r="I2942" s="46"/>
      <c r="J2942" s="43"/>
      <c r="K2942" s="43"/>
      <c r="L2942" s="43"/>
    </row>
    <row r="2943">
      <c r="G2943" s="46"/>
      <c r="H2943" s="46"/>
      <c r="I2943" s="46"/>
      <c r="J2943" s="43"/>
      <c r="K2943" s="43"/>
      <c r="L2943" s="43"/>
    </row>
    <row r="2944">
      <c r="G2944" s="46"/>
      <c r="H2944" s="46"/>
      <c r="I2944" s="46"/>
      <c r="J2944" s="43"/>
      <c r="K2944" s="43"/>
      <c r="L2944" s="43"/>
    </row>
    <row r="2945">
      <c r="G2945" s="46"/>
      <c r="H2945" s="46"/>
      <c r="I2945" s="46"/>
      <c r="J2945" s="43"/>
      <c r="K2945" s="43"/>
      <c r="L2945" s="43"/>
    </row>
    <row r="2946">
      <c r="G2946" s="46"/>
      <c r="H2946" s="46"/>
      <c r="I2946" s="46"/>
      <c r="J2946" s="43"/>
      <c r="K2946" s="43"/>
      <c r="L2946" s="43"/>
    </row>
    <row r="2947">
      <c r="G2947" s="46"/>
      <c r="H2947" s="46"/>
      <c r="I2947" s="46"/>
      <c r="J2947" s="43"/>
      <c r="K2947" s="43"/>
      <c r="L2947" s="43"/>
    </row>
    <row r="2948">
      <c r="G2948" s="46"/>
      <c r="H2948" s="46"/>
      <c r="I2948" s="46"/>
      <c r="J2948" s="43"/>
      <c r="K2948" s="43"/>
      <c r="L2948" s="43"/>
    </row>
    <row r="2949">
      <c r="G2949" s="46"/>
      <c r="H2949" s="46"/>
      <c r="I2949" s="46"/>
      <c r="J2949" s="43"/>
      <c r="K2949" s="43"/>
      <c r="L2949" s="43"/>
    </row>
    <row r="2950">
      <c r="G2950" s="46"/>
      <c r="H2950" s="46"/>
      <c r="I2950" s="46"/>
      <c r="J2950" s="43"/>
      <c r="K2950" s="43"/>
      <c r="L2950" s="43"/>
    </row>
    <row r="2951">
      <c r="G2951" s="46"/>
      <c r="H2951" s="46"/>
      <c r="I2951" s="46"/>
      <c r="J2951" s="43"/>
      <c r="K2951" s="43"/>
      <c r="L2951" s="43"/>
    </row>
    <row r="2952">
      <c r="G2952" s="46"/>
      <c r="H2952" s="46"/>
      <c r="I2952" s="46"/>
      <c r="J2952" s="43"/>
      <c r="K2952" s="43"/>
      <c r="L2952" s="43"/>
    </row>
    <row r="2953">
      <c r="G2953" s="46"/>
      <c r="H2953" s="46"/>
      <c r="I2953" s="46"/>
      <c r="J2953" s="43"/>
      <c r="K2953" s="43"/>
      <c r="L2953" s="43"/>
    </row>
    <row r="2954">
      <c r="G2954" s="46"/>
      <c r="H2954" s="46"/>
      <c r="I2954" s="46"/>
      <c r="J2954" s="43"/>
      <c r="K2954" s="43"/>
      <c r="L2954" s="43"/>
    </row>
    <row r="2955">
      <c r="G2955" s="46"/>
      <c r="H2955" s="46"/>
      <c r="I2955" s="46"/>
      <c r="J2955" s="43"/>
      <c r="K2955" s="43"/>
      <c r="L2955" s="43"/>
    </row>
    <row r="2956">
      <c r="G2956" s="46"/>
      <c r="H2956" s="46"/>
      <c r="I2956" s="46"/>
      <c r="J2956" s="43"/>
      <c r="K2956" s="43"/>
      <c r="L2956" s="43"/>
    </row>
    <row r="2957">
      <c r="G2957" s="46"/>
      <c r="H2957" s="46"/>
      <c r="I2957" s="46"/>
      <c r="J2957" s="43"/>
      <c r="K2957" s="43"/>
      <c r="L2957" s="43"/>
    </row>
    <row r="2958">
      <c r="G2958" s="46"/>
      <c r="H2958" s="46"/>
      <c r="I2958" s="46"/>
      <c r="J2958" s="43"/>
      <c r="K2958" s="43"/>
      <c r="L2958" s="43"/>
    </row>
    <row r="2959">
      <c r="G2959" s="46"/>
      <c r="H2959" s="46"/>
      <c r="I2959" s="46"/>
      <c r="J2959" s="43"/>
      <c r="K2959" s="43"/>
      <c r="L2959" s="43"/>
    </row>
    <row r="2960">
      <c r="G2960" s="46"/>
      <c r="H2960" s="46"/>
      <c r="I2960" s="46"/>
      <c r="J2960" s="43"/>
      <c r="K2960" s="43"/>
      <c r="L2960" s="43"/>
    </row>
    <row r="2961">
      <c r="G2961" s="46"/>
      <c r="H2961" s="46"/>
      <c r="I2961" s="46"/>
      <c r="J2961" s="43"/>
      <c r="K2961" s="43"/>
      <c r="L2961" s="43"/>
    </row>
    <row r="2962">
      <c r="G2962" s="46"/>
      <c r="H2962" s="46"/>
      <c r="I2962" s="46"/>
      <c r="J2962" s="43"/>
      <c r="K2962" s="43"/>
      <c r="L2962" s="43"/>
    </row>
    <row r="2963">
      <c r="G2963" s="46"/>
      <c r="H2963" s="46"/>
      <c r="I2963" s="46"/>
      <c r="J2963" s="43"/>
      <c r="K2963" s="43"/>
      <c r="L2963" s="43"/>
    </row>
    <row r="2964">
      <c r="G2964" s="46"/>
      <c r="H2964" s="46"/>
      <c r="I2964" s="46"/>
      <c r="J2964" s="43"/>
      <c r="K2964" s="43"/>
      <c r="L2964" s="43"/>
    </row>
    <row r="2965">
      <c r="G2965" s="46"/>
      <c r="H2965" s="46"/>
      <c r="I2965" s="46"/>
      <c r="J2965" s="43"/>
      <c r="K2965" s="43"/>
      <c r="L2965" s="43"/>
    </row>
    <row r="2966">
      <c r="G2966" s="46"/>
      <c r="H2966" s="46"/>
      <c r="I2966" s="46"/>
      <c r="J2966" s="43"/>
      <c r="K2966" s="43"/>
      <c r="L2966" s="43"/>
    </row>
    <row r="2967">
      <c r="G2967" s="46"/>
      <c r="H2967" s="46"/>
      <c r="I2967" s="46"/>
      <c r="J2967" s="43"/>
      <c r="K2967" s="43"/>
      <c r="L2967" s="43"/>
    </row>
    <row r="2968">
      <c r="G2968" s="46"/>
      <c r="H2968" s="46"/>
      <c r="I2968" s="46"/>
      <c r="J2968" s="43"/>
      <c r="K2968" s="43"/>
      <c r="L2968" s="43"/>
    </row>
    <row r="2969">
      <c r="G2969" s="46"/>
      <c r="H2969" s="46"/>
      <c r="I2969" s="46"/>
      <c r="J2969" s="43"/>
      <c r="K2969" s="43"/>
      <c r="L2969" s="43"/>
    </row>
    <row r="2970">
      <c r="G2970" s="46"/>
      <c r="H2970" s="46"/>
      <c r="I2970" s="46"/>
      <c r="J2970" s="43"/>
      <c r="K2970" s="43"/>
      <c r="L2970" s="43"/>
    </row>
    <row r="2971">
      <c r="G2971" s="46"/>
      <c r="H2971" s="46"/>
      <c r="I2971" s="46"/>
      <c r="J2971" s="43"/>
      <c r="K2971" s="43"/>
      <c r="L2971" s="43"/>
    </row>
    <row r="2972">
      <c r="G2972" s="46"/>
      <c r="H2972" s="46"/>
      <c r="I2972" s="46"/>
      <c r="J2972" s="43"/>
      <c r="K2972" s="43"/>
      <c r="L2972" s="43"/>
    </row>
    <row r="2973">
      <c r="G2973" s="46"/>
      <c r="H2973" s="46"/>
      <c r="I2973" s="46"/>
      <c r="J2973" s="43"/>
      <c r="K2973" s="43"/>
      <c r="L2973" s="43"/>
    </row>
    <row r="2974">
      <c r="G2974" s="46"/>
      <c r="H2974" s="46"/>
      <c r="I2974" s="46"/>
      <c r="J2974" s="43"/>
      <c r="K2974" s="43"/>
      <c r="L2974" s="43"/>
    </row>
    <row r="2975">
      <c r="G2975" s="46"/>
      <c r="H2975" s="46"/>
      <c r="I2975" s="46"/>
      <c r="J2975" s="43"/>
      <c r="K2975" s="43"/>
      <c r="L2975" s="43"/>
    </row>
    <row r="2976">
      <c r="G2976" s="46"/>
      <c r="H2976" s="46"/>
      <c r="I2976" s="46"/>
      <c r="J2976" s="43"/>
      <c r="K2976" s="43"/>
      <c r="L2976" s="43"/>
    </row>
    <row r="2977">
      <c r="G2977" s="46"/>
      <c r="H2977" s="46"/>
      <c r="I2977" s="46"/>
      <c r="J2977" s="43"/>
      <c r="K2977" s="43"/>
      <c r="L2977" s="43"/>
    </row>
    <row r="2978">
      <c r="G2978" s="46"/>
      <c r="H2978" s="46"/>
      <c r="I2978" s="46"/>
      <c r="J2978" s="43"/>
      <c r="K2978" s="43"/>
      <c r="L2978" s="43"/>
    </row>
    <row r="2979">
      <c r="G2979" s="46"/>
      <c r="H2979" s="46"/>
      <c r="I2979" s="46"/>
      <c r="J2979" s="43"/>
      <c r="K2979" s="43"/>
      <c r="L2979" s="43"/>
    </row>
    <row r="2980">
      <c r="G2980" s="46"/>
      <c r="H2980" s="46"/>
      <c r="I2980" s="46"/>
      <c r="J2980" s="43"/>
      <c r="K2980" s="43"/>
      <c r="L2980" s="43"/>
    </row>
    <row r="2981">
      <c r="G2981" s="46"/>
      <c r="H2981" s="46"/>
      <c r="I2981" s="46"/>
      <c r="J2981" s="43"/>
      <c r="K2981" s="43"/>
      <c r="L2981" s="43"/>
    </row>
    <row r="2982">
      <c r="G2982" s="46"/>
      <c r="H2982" s="46"/>
      <c r="I2982" s="46"/>
      <c r="J2982" s="43"/>
      <c r="K2982" s="43"/>
      <c r="L2982" s="43"/>
    </row>
    <row r="2983">
      <c r="G2983" s="46"/>
      <c r="H2983" s="46"/>
      <c r="I2983" s="46"/>
      <c r="J2983" s="43"/>
      <c r="K2983" s="43"/>
      <c r="L2983" s="43"/>
    </row>
    <row r="2984">
      <c r="G2984" s="46"/>
      <c r="H2984" s="46"/>
      <c r="I2984" s="46"/>
      <c r="J2984" s="43"/>
      <c r="K2984" s="43"/>
      <c r="L2984" s="43"/>
    </row>
    <row r="2985">
      <c r="G2985" s="46"/>
      <c r="H2985" s="46"/>
      <c r="I2985" s="46"/>
      <c r="J2985" s="43"/>
      <c r="K2985" s="43"/>
      <c r="L2985" s="43"/>
    </row>
    <row r="2986">
      <c r="G2986" s="46"/>
      <c r="H2986" s="46"/>
      <c r="I2986" s="46"/>
      <c r="J2986" s="43"/>
      <c r="K2986" s="43"/>
      <c r="L2986" s="43"/>
    </row>
    <row r="2987">
      <c r="G2987" s="46"/>
      <c r="H2987" s="46"/>
      <c r="I2987" s="46"/>
      <c r="J2987" s="43"/>
      <c r="K2987" s="43"/>
      <c r="L2987" s="43"/>
    </row>
    <row r="2988">
      <c r="G2988" s="46"/>
      <c r="H2988" s="46"/>
      <c r="I2988" s="46"/>
      <c r="J2988" s="43"/>
      <c r="K2988" s="43"/>
      <c r="L2988" s="43"/>
    </row>
    <row r="2989">
      <c r="G2989" s="46"/>
      <c r="H2989" s="46"/>
      <c r="I2989" s="46"/>
      <c r="J2989" s="43"/>
      <c r="K2989" s="43"/>
      <c r="L2989" s="43"/>
    </row>
    <row r="2990">
      <c r="G2990" s="46"/>
      <c r="H2990" s="46"/>
      <c r="I2990" s="46"/>
      <c r="J2990" s="43"/>
      <c r="K2990" s="43"/>
      <c r="L2990" s="43"/>
    </row>
    <row r="2991">
      <c r="G2991" s="46"/>
      <c r="H2991" s="46"/>
      <c r="I2991" s="46"/>
      <c r="J2991" s="43"/>
      <c r="K2991" s="43"/>
      <c r="L2991" s="43"/>
    </row>
    <row r="2992">
      <c r="G2992" s="46"/>
      <c r="H2992" s="46"/>
      <c r="I2992" s="46"/>
      <c r="J2992" s="43"/>
      <c r="K2992" s="43"/>
      <c r="L2992" s="43"/>
    </row>
    <row r="2993">
      <c r="G2993" s="46"/>
      <c r="H2993" s="46"/>
      <c r="I2993" s="46"/>
      <c r="J2993" s="43"/>
      <c r="K2993" s="43"/>
      <c r="L2993" s="43"/>
    </row>
    <row r="2994">
      <c r="G2994" s="46"/>
      <c r="H2994" s="46"/>
      <c r="I2994" s="46"/>
      <c r="J2994" s="43"/>
      <c r="K2994" s="43"/>
      <c r="L2994" s="43"/>
    </row>
    <row r="2995">
      <c r="G2995" s="46"/>
      <c r="H2995" s="46"/>
      <c r="I2995" s="46"/>
      <c r="J2995" s="43"/>
      <c r="K2995" s="43"/>
      <c r="L2995" s="43"/>
    </row>
    <row r="2996">
      <c r="G2996" s="46"/>
      <c r="H2996" s="46"/>
      <c r="I2996" s="46"/>
      <c r="J2996" s="43"/>
      <c r="K2996" s="43"/>
      <c r="L2996" s="43"/>
    </row>
    <row r="2997">
      <c r="G2997" s="46"/>
      <c r="H2997" s="46"/>
      <c r="I2997" s="46"/>
      <c r="J2997" s="43"/>
      <c r="K2997" s="43"/>
      <c r="L2997" s="43"/>
    </row>
    <row r="2998">
      <c r="G2998" s="46"/>
      <c r="H2998" s="46"/>
      <c r="I2998" s="46"/>
      <c r="J2998" s="43"/>
      <c r="K2998" s="43"/>
      <c r="L2998" s="43"/>
    </row>
    <row r="2999">
      <c r="G2999" s="46"/>
      <c r="H2999" s="46"/>
      <c r="I2999" s="46"/>
      <c r="J2999" s="43"/>
      <c r="K2999" s="43"/>
      <c r="L2999" s="4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5" max="5" width="24.0"/>
  </cols>
  <sheetData>
    <row r="1">
      <c r="A1" s="1" t="s">
        <v>0</v>
      </c>
      <c r="B1" s="47" t="s">
        <v>18</v>
      </c>
      <c r="C1" s="47" t="s">
        <v>19</v>
      </c>
      <c r="F1" s="48" t="s">
        <v>23</v>
      </c>
      <c r="G1" s="49" t="s">
        <v>24</v>
      </c>
      <c r="H1" s="50"/>
      <c r="I1" s="50"/>
    </row>
    <row r="2">
      <c r="A2" s="16">
        <v>46090.0</v>
      </c>
      <c r="B2" s="44">
        <f>VLOOKUP(A2, 'Data preparation'!A:I,7,0)</f>
        <v>-0.01779448622</v>
      </c>
      <c r="C2" s="44">
        <f>VLOOKUP(A2,'Data preparation'!A:I,8,0)</f>
        <v>-0.0147864184</v>
      </c>
      <c r="E2" s="51" t="s">
        <v>25</v>
      </c>
      <c r="F2" s="52">
        <f t="shared" ref="F2:G2" si="1">MAX(B:B)</f>
        <v>0.09943473792</v>
      </c>
      <c r="G2" s="52">
        <f t="shared" si="1"/>
        <v>0.09943473792</v>
      </c>
      <c r="H2" s="50"/>
      <c r="I2" s="53" t="s">
        <v>26</v>
      </c>
      <c r="J2" s="53" t="s">
        <v>27</v>
      </c>
    </row>
    <row r="3">
      <c r="A3" s="16">
        <v>46083.0</v>
      </c>
      <c r="B3" s="44">
        <f>VLOOKUP(A3, 'Data preparation'!A:I,7,0)</f>
        <v>-0.1079812207</v>
      </c>
      <c r="C3" s="44">
        <f>VLOOKUP(A3,'Data preparation'!A:I,8,0)</f>
        <v>-0.07152542373</v>
      </c>
      <c r="E3" s="51" t="s">
        <v>28</v>
      </c>
      <c r="F3" s="52">
        <f t="shared" ref="F3:G3" si="2">MIN(B:B)</f>
        <v>-0.1079812207</v>
      </c>
      <c r="G3" s="52">
        <f t="shared" si="2"/>
        <v>-0.1045107564</v>
      </c>
      <c r="H3" s="50"/>
      <c r="I3" s="50"/>
    </row>
    <row r="4">
      <c r="A4" s="16">
        <v>46076.0</v>
      </c>
      <c r="B4" s="44">
        <f>VLOOKUP(A4, 'Data preparation'!A:I,7,0)</f>
        <v>-0.00952170062</v>
      </c>
      <c r="C4" s="44">
        <f>VLOOKUP(A4,'Data preparation'!A:I,7,0)</f>
        <v>-0.00952170062</v>
      </c>
      <c r="E4" s="51" t="s">
        <v>29</v>
      </c>
      <c r="F4" s="52">
        <f t="shared" ref="F4:G4" si="3">F2-F3</f>
        <v>0.2074159586</v>
      </c>
      <c r="G4" s="52">
        <f t="shared" si="3"/>
        <v>0.2039454943</v>
      </c>
      <c r="H4" s="50"/>
      <c r="I4" s="50"/>
    </row>
    <row r="5">
      <c r="A5" s="16">
        <v>46069.0</v>
      </c>
      <c r="B5" s="44">
        <f>VLOOKUP(A5, 'Data preparation'!A:I,7,0)</f>
        <v>0.01597300337</v>
      </c>
      <c r="C5" s="44">
        <f>VLOOKUP(A5,'Data preparation'!A:I,7,0)</f>
        <v>0.01597300337</v>
      </c>
      <c r="E5" s="54" t="s">
        <v>30</v>
      </c>
      <c r="F5" s="55">
        <f t="shared" ref="F5:G5" si="4">_xlfn.PERCENTILE.INC(B:B,0.75)</f>
        <v>0.03212877329</v>
      </c>
      <c r="G5" s="55">
        <f t="shared" si="4"/>
        <v>0.03212877329</v>
      </c>
      <c r="H5" s="50"/>
      <c r="I5" s="50"/>
    </row>
    <row r="6">
      <c r="A6" s="16">
        <v>46062.0</v>
      </c>
      <c r="B6" s="44">
        <f>VLOOKUP(A6, 'Data preparation'!A:I,7,0)</f>
        <v>0.005201266395</v>
      </c>
      <c r="C6" s="44">
        <f>VLOOKUP(A6,'Data preparation'!A:I,7,0)</f>
        <v>0.005201266395</v>
      </c>
      <c r="E6" s="56" t="s">
        <v>31</v>
      </c>
      <c r="F6" s="55">
        <f t="shared" ref="F6:G6" si="5">_xlfn.PERCENTILE.INC(B:B,0.25)</f>
        <v>-0.02468685559</v>
      </c>
      <c r="G6" s="55">
        <f t="shared" si="5"/>
        <v>-0.02468685559</v>
      </c>
      <c r="H6" s="50"/>
      <c r="I6" s="50"/>
    </row>
    <row r="7">
      <c r="A7" s="16">
        <v>46055.0</v>
      </c>
      <c r="B7" s="44">
        <f>VLOOKUP(A7, 'Data preparation'!A:I,7,0)</f>
        <v>0.01166781057</v>
      </c>
      <c r="C7" s="44">
        <f>VLOOKUP(A7,'Data preparation'!A:I,7,0)</f>
        <v>0.01166781057</v>
      </c>
      <c r="E7" s="56" t="s">
        <v>32</v>
      </c>
      <c r="F7" s="55">
        <f t="shared" ref="F7:G7" si="6">F5-F6</f>
        <v>0.05681562888</v>
      </c>
      <c r="G7" s="55">
        <f t="shared" si="6"/>
        <v>0.05681562888</v>
      </c>
      <c r="H7" s="50"/>
      <c r="I7" s="50"/>
    </row>
    <row r="8">
      <c r="A8" s="16">
        <v>46048.0</v>
      </c>
      <c r="B8" s="44">
        <f>VLOOKUP(A8, 'Data preparation'!A:I,7,0)</f>
        <v>-0.002282583885</v>
      </c>
      <c r="C8" s="44">
        <f>VLOOKUP(A8,'Data preparation'!A:I,7,0)</f>
        <v>-0.002282583885</v>
      </c>
      <c r="E8" s="57" t="s">
        <v>33</v>
      </c>
      <c r="F8" s="55">
        <f t="shared" ref="F8:G8" si="7">F7*1.5</f>
        <v>0.08522344332</v>
      </c>
      <c r="G8" s="55">
        <f t="shared" si="7"/>
        <v>0.08522344332</v>
      </c>
      <c r="H8" s="50"/>
      <c r="I8" s="50"/>
    </row>
    <row r="9">
      <c r="A9" s="16">
        <v>46041.0</v>
      </c>
      <c r="B9" s="44">
        <f>VLOOKUP(A9, 'Data preparation'!A:I,7,0)</f>
        <v>-0.01239855726</v>
      </c>
      <c r="C9" s="44">
        <f>VLOOKUP(A9,'Data preparation'!A:I,7,0)</f>
        <v>-0.01239855726</v>
      </c>
      <c r="E9" s="57" t="s">
        <v>34</v>
      </c>
      <c r="F9" s="55">
        <f t="shared" ref="F9:G9" si="8">F5+F8</f>
        <v>0.1173522166</v>
      </c>
      <c r="G9" s="55">
        <f t="shared" si="8"/>
        <v>0.1173522166</v>
      </c>
      <c r="H9" s="50"/>
      <c r="I9" s="50"/>
    </row>
    <row r="10">
      <c r="A10" s="16">
        <v>46034.0</v>
      </c>
      <c r="B10" s="44">
        <f>VLOOKUP(A10, 'Data preparation'!A:I,7,0)</f>
        <v>-0.03586176918</v>
      </c>
      <c r="C10" s="44">
        <f>VLOOKUP(A10,'Data preparation'!A:I,7,0)</f>
        <v>-0.03586176918</v>
      </c>
      <c r="E10" s="57" t="s">
        <v>35</v>
      </c>
      <c r="F10" s="55">
        <f t="shared" ref="F10:G10" si="9">F6-F8</f>
        <v>-0.1099102989</v>
      </c>
      <c r="G10" s="55">
        <f t="shared" si="9"/>
        <v>-0.1099102989</v>
      </c>
      <c r="H10" s="50"/>
      <c r="I10" s="50"/>
    </row>
    <row r="11">
      <c r="A11" s="16">
        <v>46027.0</v>
      </c>
      <c r="B11" s="44">
        <f>VLOOKUP(A11, 'Data preparation'!A:I,7,0)</f>
        <v>-0.04464285714</v>
      </c>
      <c r="C11" s="44">
        <f>VLOOKUP(A11,'Data preparation'!A:I,7,0)</f>
        <v>-0.04464285714</v>
      </c>
      <c r="E11" s="58" t="s">
        <v>36</v>
      </c>
      <c r="F11" s="59">
        <f t="shared" ref="F11:G11" si="10">AVERAGE(B:B)</f>
        <v>0.00123254062</v>
      </c>
      <c r="G11" s="59">
        <f t="shared" si="10"/>
        <v>0.001991461096</v>
      </c>
      <c r="H11" s="50"/>
      <c r="I11" s="50"/>
    </row>
    <row r="12">
      <c r="A12" s="16">
        <v>46020.0</v>
      </c>
      <c r="B12" s="44">
        <f>VLOOKUP(A12, 'Data preparation'!A:I,7,0)</f>
        <v>0.03949924455</v>
      </c>
      <c r="C12" s="44">
        <f>VLOOKUP(A12,'Data preparation'!A:I,7,0)</f>
        <v>0.03949924455</v>
      </c>
      <c r="E12" s="58" t="s">
        <v>37</v>
      </c>
      <c r="F12" s="59">
        <f t="shared" ref="F12:G12" si="11">AVEDEV(B:B)*52/51</f>
        <v>0.03829028436</v>
      </c>
      <c r="G12" s="59">
        <f t="shared" si="11"/>
        <v>0.03757600627</v>
      </c>
      <c r="H12" s="50"/>
      <c r="I12" s="50"/>
    </row>
    <row r="13">
      <c r="A13" s="16">
        <v>46013.0</v>
      </c>
      <c r="B13" s="44">
        <f>VLOOKUP(A13, 'Data preparation'!A:I,7,0)</f>
        <v>-0.01025421918</v>
      </c>
      <c r="C13" s="44">
        <f>VLOOKUP(A13,'Data preparation'!A:I,7,0)</f>
        <v>-0.01025421918</v>
      </c>
      <c r="E13" s="58" t="s">
        <v>38</v>
      </c>
      <c r="F13" s="59">
        <f t="shared" ref="F13:G13" si="12">_xlfn.VAR.S(B:B)</f>
        <v>0.002263950143</v>
      </c>
      <c r="G13" s="59">
        <f t="shared" si="12"/>
        <v>0.00213121887</v>
      </c>
      <c r="H13" s="50"/>
      <c r="I13" s="50"/>
    </row>
    <row r="14">
      <c r="A14" s="16">
        <v>46006.0</v>
      </c>
      <c r="B14" s="44">
        <f>VLOOKUP(A14, 'Data preparation'!A:I,7,0)</f>
        <v>-0.0262117745</v>
      </c>
      <c r="C14" s="44">
        <f>VLOOKUP(A14,'Data preparation'!A:I,7,0)</f>
        <v>-0.0262117745</v>
      </c>
      <c r="E14" s="58" t="s">
        <v>39</v>
      </c>
      <c r="F14" s="59">
        <f t="shared" ref="F14:G14" si="13">_xlfn.STDEV.S(B:B)</f>
        <v>0.0475809851</v>
      </c>
      <c r="G14" s="59">
        <f t="shared" si="13"/>
        <v>0.04616512612</v>
      </c>
      <c r="H14" s="50"/>
      <c r="I14" s="50"/>
    </row>
    <row r="15">
      <c r="A15" s="16">
        <v>45999.0</v>
      </c>
      <c r="B15" s="44">
        <f>VLOOKUP(A15, 'Data preparation'!A:I,7,0)</f>
        <v>-0.00331743728</v>
      </c>
      <c r="C15" s="44">
        <f>VLOOKUP(A15,'Data preparation'!A:I,7,0)</f>
        <v>-0.00331743728</v>
      </c>
      <c r="E15" s="60"/>
      <c r="F15" s="43"/>
      <c r="G15" s="43"/>
      <c r="H15" s="50"/>
      <c r="I15" s="50"/>
    </row>
    <row r="16">
      <c r="A16" s="16">
        <v>45992.0</v>
      </c>
      <c r="B16" s="44">
        <f>VLOOKUP(A16, 'Data preparation'!A:I,7,0)</f>
        <v>0.09563834621</v>
      </c>
      <c r="C16" s="44">
        <f>VLOOKUP(A16,'Data preparation'!A:I,7,0)</f>
        <v>0.09563834621</v>
      </c>
      <c r="E16" s="61" t="s">
        <v>40</v>
      </c>
      <c r="F16" s="62">
        <f t="shared" ref="F16:G16" si="14">F14/F11</f>
        <v>38.60398945</v>
      </c>
      <c r="G16" s="62">
        <f t="shared" si="14"/>
        <v>23.18153552</v>
      </c>
      <c r="H16" s="50"/>
      <c r="I16" s="50"/>
    </row>
    <row r="17">
      <c r="A17" s="16">
        <v>45985.0</v>
      </c>
      <c r="B17" s="44">
        <f>VLOOKUP(A17, 'Data preparation'!A:I,7,0)</f>
        <v>0.03479078514</v>
      </c>
      <c r="C17" s="44">
        <f>VLOOKUP(A17,'Data preparation'!A:I,7,0)</f>
        <v>0.03479078514</v>
      </c>
      <c r="E17" s="61" t="s">
        <v>41</v>
      </c>
      <c r="F17" s="63">
        <f>3.96/54</f>
        <v>0.07333333333</v>
      </c>
      <c r="G17" s="62"/>
      <c r="H17" s="50"/>
      <c r="I17" s="50"/>
    </row>
    <row r="18">
      <c r="A18" s="16">
        <v>45978.0</v>
      </c>
      <c r="B18" s="44">
        <f>VLOOKUP(A18, 'Data preparation'!A:I,7,0)</f>
        <v>-0.04124408384</v>
      </c>
      <c r="C18" s="44">
        <f>VLOOKUP(A18,'Data preparation'!A:I,7,0)</f>
        <v>-0.04124408384</v>
      </c>
      <c r="E18" s="61" t="s">
        <v>42</v>
      </c>
      <c r="F18" s="62">
        <f>(F11-F17)/F14</f>
        <v>-1.515327868</v>
      </c>
      <c r="G18" s="62">
        <f>(G11-F17)/G14</f>
        <v>-1.545362879</v>
      </c>
      <c r="H18" s="50"/>
      <c r="I18" s="50"/>
    </row>
    <row r="19">
      <c r="A19" s="16">
        <v>45971.0</v>
      </c>
      <c r="B19" s="44">
        <f>VLOOKUP(A19, 'Data preparation'!A:I,7,0)</f>
        <v>0.05266903915</v>
      </c>
      <c r="C19" s="44">
        <f>VLOOKUP(A19,'Data preparation'!A:I,7,0)</f>
        <v>0.05266903915</v>
      </c>
      <c r="F19" s="50"/>
      <c r="G19" s="50"/>
      <c r="H19" s="50"/>
      <c r="I19" s="50"/>
    </row>
    <row r="20">
      <c r="A20" s="16">
        <v>45964.0</v>
      </c>
      <c r="B20" s="44">
        <f>VLOOKUP(A20, 'Data preparation'!A:I,7,0)</f>
        <v>0.04435084242</v>
      </c>
      <c r="C20" s="44">
        <f>VLOOKUP(A20,'Data preparation'!A:I,7,0)</f>
        <v>0.04435084242</v>
      </c>
      <c r="F20" s="50"/>
      <c r="G20" s="50"/>
      <c r="H20" s="50"/>
      <c r="I20" s="50"/>
    </row>
    <row r="21">
      <c r="A21" s="16">
        <v>45957.0</v>
      </c>
      <c r="B21" s="44">
        <f>VLOOKUP(A21, 'Data preparation'!A:I,7,0)</f>
        <v>-0.005421389847</v>
      </c>
      <c r="C21" s="44">
        <f>VLOOKUP(A21,'Data preparation'!A:I,7,0)</f>
        <v>-0.005421389847</v>
      </c>
      <c r="F21" s="50"/>
      <c r="G21" s="50"/>
      <c r="H21" s="50"/>
      <c r="I21" s="50"/>
    </row>
    <row r="22">
      <c r="A22" s="16">
        <v>45950.0</v>
      </c>
      <c r="B22" s="44">
        <f>VLOOKUP(A22, 'Data preparation'!A:I,7,0)</f>
        <v>0.01171777612</v>
      </c>
      <c r="C22" s="44">
        <f>VLOOKUP(A22,'Data preparation'!A:I,7,0)</f>
        <v>0.01171777612</v>
      </c>
      <c r="F22" s="50"/>
      <c r="G22" s="50"/>
      <c r="H22" s="50"/>
      <c r="I22" s="50"/>
    </row>
    <row r="23">
      <c r="A23" s="16">
        <v>45943.0</v>
      </c>
      <c r="B23" s="44">
        <f>VLOOKUP(A23, 'Data preparation'!A:I,7,0)</f>
        <v>0.02217125382</v>
      </c>
      <c r="C23" s="44">
        <f>VLOOKUP(A23,'Data preparation'!A:I,7,0)</f>
        <v>0.02217125382</v>
      </c>
      <c r="F23" s="50"/>
      <c r="G23" s="50"/>
      <c r="H23" s="50"/>
      <c r="I23" s="50"/>
    </row>
    <row r="24">
      <c r="A24" s="16">
        <v>45936.0</v>
      </c>
      <c r="B24" s="44">
        <f>VLOOKUP(A24, 'Data preparation'!A:I,7,0)</f>
        <v>-0.09187688035</v>
      </c>
      <c r="C24" s="44">
        <f>VLOOKUP(A24,'Data preparation'!A:I,7,0)</f>
        <v>-0.09187688035</v>
      </c>
      <c r="F24" s="50"/>
      <c r="G24" s="50"/>
      <c r="H24" s="50"/>
      <c r="I24" s="50"/>
    </row>
    <row r="25">
      <c r="A25" s="16">
        <v>45929.0</v>
      </c>
      <c r="B25" s="44">
        <f>VLOOKUP(A25, 'Data preparation'!A:I,7,0)</f>
        <v>0.007930954047</v>
      </c>
      <c r="C25" s="44">
        <f>VLOOKUP(A25,'Data preparation'!A:I,7,0)</f>
        <v>0.007930954047</v>
      </c>
      <c r="F25" s="50"/>
      <c r="G25" s="50"/>
      <c r="H25" s="50"/>
      <c r="I25" s="50"/>
    </row>
    <row r="26">
      <c r="A26" s="16">
        <v>45922.0</v>
      </c>
      <c r="B26" s="44">
        <f>VLOOKUP(A26, 'Data preparation'!A:I,7,0)</f>
        <v>0.02978621187</v>
      </c>
      <c r="C26" s="44">
        <f>VLOOKUP(A26,'Data preparation'!A:I,7,0)</f>
        <v>0.02978621187</v>
      </c>
      <c r="F26" s="50"/>
      <c r="G26" s="50"/>
      <c r="H26" s="50"/>
      <c r="I26" s="50"/>
    </row>
    <row r="27">
      <c r="A27" s="16">
        <v>45915.0</v>
      </c>
      <c r="B27" s="44">
        <f>VLOOKUP(A27, 'Data preparation'!A:I,7,0)</f>
        <v>-0.006680983059</v>
      </c>
      <c r="C27" s="44">
        <f>VLOOKUP(A27,'Data preparation'!A:I,7,0)</f>
        <v>-0.006680983059</v>
      </c>
      <c r="F27" s="50"/>
      <c r="G27" s="50"/>
      <c r="H27" s="50"/>
      <c r="I27" s="50"/>
    </row>
    <row r="28">
      <c r="A28" s="16">
        <v>45908.0</v>
      </c>
      <c r="B28" s="44">
        <f>VLOOKUP(A28, 'Data preparation'!A:I,7,0)</f>
        <v>-0.05223880597</v>
      </c>
      <c r="C28" s="44">
        <f>VLOOKUP(A28,'Data preparation'!A:I,7,0)</f>
        <v>-0.05223880597</v>
      </c>
      <c r="F28" s="50"/>
      <c r="G28" s="50"/>
      <c r="H28" s="50"/>
      <c r="I28" s="50"/>
    </row>
    <row r="29">
      <c r="A29" s="16">
        <v>45901.0</v>
      </c>
      <c r="B29" s="44">
        <f>VLOOKUP(A29, 'Data preparation'!A:I,7,0)</f>
        <v>-0.0114017438</v>
      </c>
      <c r="C29" s="44">
        <f>VLOOKUP(A29,'Data preparation'!A:I,7,0)</f>
        <v>-0.0114017438</v>
      </c>
      <c r="F29" s="50"/>
      <c r="G29" s="50"/>
      <c r="H29" s="50"/>
      <c r="I29" s="50"/>
    </row>
    <row r="30">
      <c r="A30" s="16">
        <v>45894.0</v>
      </c>
      <c r="B30" s="44">
        <f>VLOOKUP(A30, 'Data preparation'!A:I,7,0)</f>
        <v>-0.02143950995</v>
      </c>
      <c r="C30" s="44">
        <f>VLOOKUP(A30,'Data preparation'!A:I,7,0)</f>
        <v>-0.02143950995</v>
      </c>
      <c r="F30" s="50"/>
      <c r="G30" s="50"/>
      <c r="H30" s="50"/>
      <c r="I30" s="50"/>
    </row>
    <row r="31">
      <c r="A31" s="16">
        <v>45887.0</v>
      </c>
      <c r="B31" s="44">
        <f>VLOOKUP(A31, 'Data preparation'!A:I,7,0)</f>
        <v>0.01420013313</v>
      </c>
      <c r="C31" s="44">
        <f>VLOOKUP(A31,'Data preparation'!A:I,7,0)</f>
        <v>0.01420013313</v>
      </c>
      <c r="F31" s="50"/>
      <c r="G31" s="50"/>
      <c r="H31" s="50"/>
      <c r="I31" s="50"/>
    </row>
    <row r="32">
      <c r="A32" s="16">
        <v>45880.0</v>
      </c>
      <c r="B32" s="44">
        <f>VLOOKUP(A32, 'Data preparation'!A:I,7,0)</f>
        <v>0.03087831656</v>
      </c>
      <c r="C32" s="44">
        <f>VLOOKUP(A32,'Data preparation'!A:I,7,0)</f>
        <v>0.03087831656</v>
      </c>
      <c r="F32" s="50"/>
      <c r="G32" s="50"/>
      <c r="H32" s="50"/>
      <c r="I32" s="50"/>
    </row>
    <row r="33">
      <c r="A33" s="16">
        <v>45873.0</v>
      </c>
      <c r="B33" s="44">
        <f>VLOOKUP(A33, 'Data preparation'!A:I,7,0)</f>
        <v>0.06504263094</v>
      </c>
      <c r="C33" s="44">
        <f>VLOOKUP(A33,'Data preparation'!A:I,7,0)</f>
        <v>0.06504263094</v>
      </c>
      <c r="F33" s="50"/>
      <c r="G33" s="50"/>
      <c r="H33" s="50"/>
      <c r="I33" s="50"/>
    </row>
    <row r="34">
      <c r="A34" s="16">
        <v>45866.0</v>
      </c>
      <c r="B34" s="44">
        <f>VLOOKUP(A34, 'Data preparation'!A:I,7,0)</f>
        <v>-0.07773534037</v>
      </c>
      <c r="C34" s="44">
        <f>VLOOKUP(A34,'Data preparation'!A:I,7,0)</f>
        <v>-0.07773534037</v>
      </c>
      <c r="F34" s="50"/>
      <c r="G34" s="50"/>
      <c r="H34" s="50"/>
      <c r="I34" s="50"/>
    </row>
    <row r="35">
      <c r="A35" s="16">
        <v>45859.0</v>
      </c>
      <c r="B35" s="44">
        <f>VLOOKUP(A35, 'Data preparation'!A:I,7,0)</f>
        <v>0.06585249042</v>
      </c>
      <c r="C35" s="44">
        <f>VLOOKUP(A35,'Data preparation'!A:I,7,0)</f>
        <v>0.06585249042</v>
      </c>
      <c r="F35" s="50"/>
      <c r="G35" s="50"/>
      <c r="H35" s="50"/>
      <c r="I35" s="50"/>
    </row>
    <row r="36">
      <c r="A36" s="16">
        <v>45852.0</v>
      </c>
      <c r="B36" s="44">
        <f>VLOOKUP(A36, 'Data preparation'!A:I,7,0)</f>
        <v>-0.02407104464</v>
      </c>
      <c r="C36" s="44">
        <f>VLOOKUP(A36,'Data preparation'!A:I,7,0)</f>
        <v>-0.02407104464</v>
      </c>
      <c r="F36" s="50"/>
      <c r="G36" s="50"/>
      <c r="H36" s="50"/>
      <c r="I36" s="50"/>
    </row>
    <row r="37">
      <c r="A37" s="16">
        <v>45845.0</v>
      </c>
      <c r="B37" s="44">
        <f>VLOOKUP(A37, 'Data preparation'!A:I,7,0)</f>
        <v>0.09943473792</v>
      </c>
      <c r="C37" s="44">
        <f>VLOOKUP(A37,'Data preparation'!A:I,7,0)</f>
        <v>0.09943473792</v>
      </c>
      <c r="F37" s="50"/>
      <c r="G37" s="50"/>
      <c r="H37" s="50"/>
      <c r="I37" s="50"/>
    </row>
    <row r="38">
      <c r="A38" s="16">
        <v>45838.0</v>
      </c>
      <c r="B38" s="44">
        <f>VLOOKUP(A38, 'Data preparation'!A:I,7,0)</f>
        <v>0.01301405518</v>
      </c>
      <c r="C38" s="44">
        <f>VLOOKUP(A38,'Data preparation'!A:I,7,0)</f>
        <v>0.01301405518</v>
      </c>
      <c r="F38" s="50"/>
      <c r="G38" s="50"/>
      <c r="H38" s="50"/>
      <c r="I38" s="50"/>
    </row>
    <row r="39">
      <c r="A39" s="16">
        <v>45831.0</v>
      </c>
      <c r="B39" s="44">
        <f>VLOOKUP(A39, 'Data preparation'!A:I,7,0)</f>
        <v>0.06722222222</v>
      </c>
      <c r="C39" s="44">
        <f>VLOOKUP(A39,'Data preparation'!A:I,7,0)</f>
        <v>0.06722222222</v>
      </c>
      <c r="F39" s="50"/>
      <c r="G39" s="50"/>
      <c r="H39" s="50"/>
      <c r="I39" s="50"/>
    </row>
    <row r="40">
      <c r="A40" s="16">
        <v>45824.0</v>
      </c>
      <c r="B40" s="44">
        <f>VLOOKUP(A40, 'Data preparation'!A:I,7,0)</f>
        <v>-0.0438247012</v>
      </c>
      <c r="C40" s="44">
        <f>VLOOKUP(A40,'Data preparation'!A:I,7,0)</f>
        <v>-0.0438247012</v>
      </c>
      <c r="F40" s="50"/>
      <c r="G40" s="50"/>
      <c r="H40" s="50"/>
      <c r="I40" s="50"/>
    </row>
    <row r="41">
      <c r="A41" s="16">
        <v>45817.0</v>
      </c>
      <c r="B41" s="44">
        <f>VLOOKUP(A41, 'Data preparation'!A:I,7,0)</f>
        <v>-0.01799687011</v>
      </c>
      <c r="C41" s="44">
        <f>VLOOKUP(A41,'Data preparation'!A:I,7,0)</f>
        <v>-0.01799687011</v>
      </c>
      <c r="F41" s="50"/>
      <c r="G41" s="50"/>
      <c r="H41" s="50"/>
      <c r="I41" s="50"/>
    </row>
    <row r="42">
      <c r="A42" s="16">
        <v>45810.0</v>
      </c>
      <c r="B42" s="44">
        <f>VLOOKUP(A42, 'Data preparation'!A:I,7,0)</f>
        <v>-0.01818181818</v>
      </c>
      <c r="C42" s="44">
        <f>VLOOKUP(A42,'Data preparation'!A:I,7,0)</f>
        <v>-0.01818181818</v>
      </c>
      <c r="F42" s="50"/>
      <c r="G42" s="50"/>
      <c r="H42" s="50"/>
      <c r="I42" s="50"/>
    </row>
    <row r="43">
      <c r="A43" s="16">
        <v>45803.0</v>
      </c>
      <c r="B43" s="44">
        <f>VLOOKUP(A43, 'Data preparation'!A:I,7,0)</f>
        <v>0.03773584906</v>
      </c>
      <c r="C43" s="44">
        <f>VLOOKUP(A43,'Data preparation'!A:I,7,0)</f>
        <v>0.03773584906</v>
      </c>
      <c r="F43" s="50"/>
      <c r="G43" s="50"/>
      <c r="H43" s="50"/>
      <c r="I43" s="50"/>
    </row>
    <row r="44">
      <c r="A44" s="16">
        <v>45796.0</v>
      </c>
      <c r="B44" s="44">
        <f>VLOOKUP(A44, 'Data preparation'!A:I,7,0)</f>
        <v>0.03124143601</v>
      </c>
      <c r="C44" s="44">
        <f>VLOOKUP(A44,'Data preparation'!A:I,7,0)</f>
        <v>0.03124143601</v>
      </c>
      <c r="F44" s="50"/>
      <c r="G44" s="50"/>
      <c r="H44" s="50"/>
      <c r="I44" s="50"/>
    </row>
    <row r="45">
      <c r="A45" s="16">
        <v>45789.0</v>
      </c>
      <c r="B45" s="44">
        <f>VLOOKUP(A45, 'Data preparation'!A:I,7,0)</f>
        <v>-0.03465608466</v>
      </c>
      <c r="C45" s="44">
        <f>VLOOKUP(A45,'Data preparation'!A:I,7,0)</f>
        <v>-0.03465608466</v>
      </c>
      <c r="F45" s="50"/>
      <c r="G45" s="50"/>
      <c r="H45" s="50"/>
      <c r="I45" s="50"/>
    </row>
    <row r="46">
      <c r="A46" s="16">
        <v>45782.0</v>
      </c>
      <c r="B46" s="44">
        <f>VLOOKUP(A46, 'Data preparation'!A:I,7,0)</f>
        <v>0.06493872376</v>
      </c>
      <c r="C46" s="44">
        <f>VLOOKUP(A46,'Data preparation'!A:I,7,0)</f>
        <v>0.06493872376</v>
      </c>
      <c r="F46" s="50"/>
      <c r="G46" s="50"/>
      <c r="H46" s="50"/>
      <c r="I46" s="50"/>
    </row>
    <row r="47">
      <c r="A47" s="16">
        <v>45775.0</v>
      </c>
      <c r="B47" s="44">
        <f>VLOOKUP(A47, 'Data preparation'!A:I,7,0)</f>
        <v>-0.01961055103</v>
      </c>
      <c r="C47" s="44">
        <f>VLOOKUP(A47,'Data preparation'!A:I,7,0)</f>
        <v>-0.01961055103</v>
      </c>
      <c r="F47" s="50"/>
      <c r="G47" s="50"/>
      <c r="H47" s="50"/>
      <c r="I47" s="50"/>
    </row>
    <row r="48">
      <c r="A48" s="16">
        <v>45768.0</v>
      </c>
      <c r="B48" s="44">
        <f>VLOOKUP(A48, 'Data preparation'!A:I,7,0)</f>
        <v>0.08625862586</v>
      </c>
      <c r="C48" s="44">
        <f>VLOOKUP(A48,'Data preparation'!A:I,7,0)</f>
        <v>0.08625862586</v>
      </c>
      <c r="F48" s="50"/>
      <c r="G48" s="50"/>
      <c r="H48" s="50"/>
      <c r="I48" s="50"/>
    </row>
    <row r="49">
      <c r="A49" s="16">
        <v>45761.0</v>
      </c>
      <c r="B49" s="44">
        <f>VLOOKUP(A49, 'Data preparation'!A:I,7,0)</f>
        <v>0.05876747141</v>
      </c>
      <c r="C49" s="44">
        <f>VLOOKUP(A49,'Data preparation'!A:I,7,0)</f>
        <v>0.05876747141</v>
      </c>
      <c r="F49" s="50"/>
      <c r="G49" s="50"/>
      <c r="H49" s="50"/>
      <c r="I49" s="50"/>
    </row>
    <row r="50">
      <c r="A50" s="16">
        <v>45754.0</v>
      </c>
      <c r="B50" s="44">
        <f>VLOOKUP(A50, 'Data preparation'!A:I,7,0)</f>
        <v>-0.02417854929</v>
      </c>
      <c r="C50" s="44">
        <f>VLOOKUP(A50,'Data preparation'!A:I,7,0)</f>
        <v>-0.02417854929</v>
      </c>
      <c r="F50" s="50"/>
      <c r="G50" s="50"/>
      <c r="H50" s="50"/>
      <c r="I50" s="50"/>
    </row>
    <row r="51">
      <c r="A51" s="16">
        <v>45747.0</v>
      </c>
      <c r="B51" s="44">
        <f>VLOOKUP(A51, 'Data preparation'!A:I,7,0)</f>
        <v>-0.1045107564</v>
      </c>
      <c r="C51" s="44">
        <f>VLOOKUP(A51,'Data preparation'!A:I,7,0)</f>
        <v>-0.1045107564</v>
      </c>
      <c r="F51" s="50"/>
      <c r="G51" s="50"/>
      <c r="H51" s="50"/>
      <c r="I51" s="50"/>
    </row>
    <row r="52">
      <c r="A52" s="16">
        <v>45740.0</v>
      </c>
      <c r="B52" s="44">
        <f>VLOOKUP(A52, 'Data preparation'!A:I,7,0)</f>
        <v>-0.04074024764</v>
      </c>
      <c r="C52" s="44">
        <f>VLOOKUP(A52,'Data preparation'!A:I,7,0)</f>
        <v>-0.04074024764</v>
      </c>
      <c r="F52" s="50"/>
      <c r="G52" s="50"/>
      <c r="H52" s="50"/>
      <c r="I52" s="50"/>
    </row>
    <row r="53">
      <c r="A53" s="16">
        <v>45733.0</v>
      </c>
      <c r="B53" s="44">
        <f>VLOOKUP(A53, 'Data preparation'!A:I,7,0)</f>
        <v>-0.03581514763</v>
      </c>
      <c r="C53" s="44">
        <f>VLOOKUP(A53,'Data preparation'!A:I,7,0)</f>
        <v>-0.03581514763</v>
      </c>
      <c r="F53" s="50"/>
      <c r="G53" s="50"/>
      <c r="H53" s="50"/>
      <c r="I53" s="50"/>
    </row>
    <row r="54">
      <c r="A54" s="16">
        <v>45726.0</v>
      </c>
      <c r="B54" s="44" t="str">
        <f>VLOOKUP(A54, 'Data preparation'!A:I,7,0)</f>
        <v/>
      </c>
      <c r="C54" s="44" t="str">
        <f>VLOOKUP(A54,'Data preparation'!A:I,7,0)</f>
        <v/>
      </c>
      <c r="F54" s="50"/>
      <c r="G54" s="50"/>
      <c r="H54" s="50"/>
      <c r="I54" s="50"/>
    </row>
    <row r="55">
      <c r="A55" s="30"/>
      <c r="F55" s="50"/>
      <c r="G55" s="50"/>
      <c r="H55" s="50"/>
      <c r="I55" s="50"/>
    </row>
    <row r="56">
      <c r="A56" s="30"/>
      <c r="F56" s="50"/>
      <c r="G56" s="50"/>
      <c r="H56" s="50"/>
      <c r="I56" s="50"/>
    </row>
    <row r="57">
      <c r="A57" s="30"/>
      <c r="F57" s="50"/>
      <c r="G57" s="50"/>
      <c r="H57" s="50"/>
      <c r="I57" s="50"/>
    </row>
    <row r="58">
      <c r="A58" s="30"/>
      <c r="F58" s="50"/>
      <c r="G58" s="50"/>
      <c r="H58" s="50"/>
      <c r="I58" s="50"/>
    </row>
    <row r="59">
      <c r="A59" s="34"/>
      <c r="F59" s="50"/>
      <c r="G59" s="50"/>
      <c r="H59" s="50"/>
      <c r="I59" s="50"/>
    </row>
    <row r="60">
      <c r="A60" s="34"/>
      <c r="F60" s="50"/>
      <c r="G60" s="50"/>
      <c r="H60" s="50"/>
      <c r="I60" s="50"/>
    </row>
    <row r="61">
      <c r="A61" s="34"/>
      <c r="F61" s="50"/>
      <c r="G61" s="50"/>
      <c r="H61" s="50"/>
      <c r="I61" s="50"/>
    </row>
    <row r="62">
      <c r="A62" s="34"/>
      <c r="F62" s="50"/>
      <c r="G62" s="50"/>
      <c r="H62" s="50"/>
      <c r="I62" s="50"/>
    </row>
    <row r="63">
      <c r="A63" s="34"/>
      <c r="F63" s="50"/>
      <c r="G63" s="50"/>
      <c r="H63" s="50"/>
      <c r="I63" s="50"/>
    </row>
    <row r="64">
      <c r="A64" s="34"/>
      <c r="F64" s="50"/>
      <c r="G64" s="50"/>
      <c r="H64" s="50"/>
      <c r="I64" s="50"/>
    </row>
    <row r="65">
      <c r="A65" s="34"/>
      <c r="F65" s="50"/>
      <c r="G65" s="50"/>
      <c r="H65" s="50"/>
      <c r="I65" s="50"/>
    </row>
    <row r="66">
      <c r="A66" s="34"/>
      <c r="F66" s="50"/>
      <c r="G66" s="50"/>
      <c r="H66" s="50"/>
      <c r="I66" s="50"/>
    </row>
    <row r="67">
      <c r="A67" s="34"/>
      <c r="F67" s="50"/>
      <c r="G67" s="50"/>
      <c r="H67" s="50"/>
      <c r="I67" s="50"/>
    </row>
    <row r="68">
      <c r="A68" s="34"/>
      <c r="F68" s="50"/>
      <c r="G68" s="50"/>
      <c r="H68" s="50"/>
      <c r="I68" s="50"/>
    </row>
    <row r="69">
      <c r="A69" s="34"/>
      <c r="F69" s="50"/>
      <c r="G69" s="50"/>
      <c r="H69" s="50"/>
      <c r="I69" s="50"/>
    </row>
    <row r="70">
      <c r="A70" s="34"/>
      <c r="F70" s="50"/>
      <c r="G70" s="50"/>
      <c r="H70" s="50"/>
      <c r="I70" s="50"/>
    </row>
    <row r="71">
      <c r="A71" s="34"/>
      <c r="F71" s="50"/>
      <c r="G71" s="50"/>
      <c r="H71" s="50"/>
      <c r="I71" s="50"/>
    </row>
    <row r="72">
      <c r="A72" s="34"/>
      <c r="F72" s="50"/>
      <c r="G72" s="50"/>
      <c r="H72" s="50"/>
      <c r="I72" s="50"/>
    </row>
    <row r="73">
      <c r="A73" s="34"/>
      <c r="F73" s="50"/>
      <c r="G73" s="50"/>
      <c r="H73" s="50"/>
      <c r="I73" s="50"/>
    </row>
    <row r="74">
      <c r="A74" s="34"/>
      <c r="F74" s="50"/>
      <c r="G74" s="50"/>
      <c r="H74" s="50"/>
      <c r="I74" s="50"/>
    </row>
    <row r="75">
      <c r="A75" s="34"/>
      <c r="F75" s="50"/>
      <c r="G75" s="50"/>
      <c r="H75" s="50"/>
      <c r="I75" s="50"/>
    </row>
    <row r="76">
      <c r="A76" s="34"/>
      <c r="F76" s="50"/>
      <c r="G76" s="50"/>
      <c r="H76" s="50"/>
      <c r="I76" s="50"/>
    </row>
    <row r="77">
      <c r="A77" s="34"/>
      <c r="F77" s="50"/>
      <c r="G77" s="50"/>
      <c r="H77" s="50"/>
      <c r="I77" s="50"/>
    </row>
    <row r="78">
      <c r="A78" s="34"/>
      <c r="F78" s="50"/>
      <c r="G78" s="50"/>
      <c r="H78" s="50"/>
      <c r="I78" s="50"/>
    </row>
    <row r="79">
      <c r="A79" s="34"/>
      <c r="F79" s="50"/>
      <c r="G79" s="50"/>
      <c r="H79" s="50"/>
      <c r="I79" s="50"/>
    </row>
    <row r="80">
      <c r="A80" s="34"/>
      <c r="F80" s="50"/>
      <c r="G80" s="50"/>
      <c r="H80" s="50"/>
      <c r="I80" s="50"/>
    </row>
    <row r="81">
      <c r="A81" s="34"/>
      <c r="F81" s="50"/>
      <c r="G81" s="50"/>
      <c r="H81" s="50"/>
      <c r="I81" s="50"/>
    </row>
    <row r="82">
      <c r="A82" s="34"/>
      <c r="F82" s="50"/>
      <c r="G82" s="50"/>
      <c r="H82" s="50"/>
      <c r="I82" s="50"/>
    </row>
    <row r="83">
      <c r="A83" s="34"/>
      <c r="F83" s="50"/>
      <c r="G83" s="50"/>
      <c r="H83" s="50"/>
      <c r="I83" s="50"/>
    </row>
    <row r="84">
      <c r="A84" s="34"/>
      <c r="F84" s="50"/>
      <c r="G84" s="50"/>
      <c r="H84" s="50"/>
      <c r="I84" s="50"/>
    </row>
    <row r="85">
      <c r="A85" s="34"/>
      <c r="F85" s="50"/>
      <c r="G85" s="50"/>
      <c r="H85" s="50"/>
      <c r="I85" s="50"/>
    </row>
    <row r="86">
      <c r="A86" s="34"/>
      <c r="F86" s="50"/>
      <c r="G86" s="50"/>
      <c r="H86" s="50"/>
      <c r="I86" s="50"/>
    </row>
    <row r="87">
      <c r="A87" s="34"/>
      <c r="F87" s="50"/>
      <c r="G87" s="50"/>
      <c r="H87" s="50"/>
      <c r="I87" s="50"/>
    </row>
    <row r="88">
      <c r="A88" s="34"/>
      <c r="F88" s="50"/>
      <c r="G88" s="50"/>
      <c r="H88" s="50"/>
      <c r="I88" s="50"/>
    </row>
    <row r="89">
      <c r="A89" s="34"/>
      <c r="F89" s="50"/>
      <c r="G89" s="50"/>
      <c r="H89" s="50"/>
      <c r="I89" s="50"/>
    </row>
    <row r="90">
      <c r="A90" s="34"/>
      <c r="F90" s="50"/>
      <c r="G90" s="50"/>
      <c r="H90" s="50"/>
      <c r="I90" s="50"/>
    </row>
    <row r="91">
      <c r="A91" s="34"/>
      <c r="F91" s="50"/>
      <c r="G91" s="50"/>
      <c r="H91" s="50"/>
      <c r="I91" s="50"/>
    </row>
    <row r="92">
      <c r="A92" s="34"/>
      <c r="F92" s="50"/>
      <c r="G92" s="50"/>
      <c r="H92" s="50"/>
      <c r="I92" s="50"/>
    </row>
    <row r="93">
      <c r="A93" s="34"/>
      <c r="F93" s="50"/>
      <c r="G93" s="50"/>
      <c r="H93" s="50"/>
      <c r="I93" s="50"/>
    </row>
    <row r="94">
      <c r="A94" s="34"/>
      <c r="F94" s="50"/>
      <c r="G94" s="50"/>
      <c r="H94" s="50"/>
      <c r="I94" s="50"/>
    </row>
    <row r="95">
      <c r="A95" s="34"/>
      <c r="F95" s="50"/>
      <c r="G95" s="50"/>
      <c r="H95" s="50"/>
      <c r="I95" s="50"/>
    </row>
    <row r="96">
      <c r="A96" s="34"/>
      <c r="F96" s="50"/>
      <c r="G96" s="50"/>
      <c r="H96" s="50"/>
      <c r="I96" s="50"/>
    </row>
    <row r="97">
      <c r="A97" s="34"/>
      <c r="F97" s="50"/>
      <c r="G97" s="50"/>
      <c r="H97" s="50"/>
      <c r="I97" s="50"/>
    </row>
    <row r="98">
      <c r="A98" s="34"/>
      <c r="F98" s="50"/>
      <c r="G98" s="50"/>
      <c r="H98" s="50"/>
      <c r="I98" s="50"/>
    </row>
    <row r="99">
      <c r="A99" s="34"/>
      <c r="F99" s="50"/>
      <c r="G99" s="50"/>
      <c r="H99" s="50"/>
      <c r="I99" s="50"/>
    </row>
    <row r="100">
      <c r="A100" s="34"/>
      <c r="F100" s="50"/>
      <c r="G100" s="50"/>
      <c r="H100" s="50"/>
      <c r="I100" s="50"/>
    </row>
    <row r="101">
      <c r="A101" s="34"/>
      <c r="F101" s="50"/>
      <c r="G101" s="50"/>
      <c r="H101" s="50"/>
      <c r="I101" s="50"/>
    </row>
    <row r="102">
      <c r="A102" s="34"/>
      <c r="F102" s="50"/>
      <c r="G102" s="50"/>
      <c r="H102" s="50"/>
      <c r="I102" s="50"/>
    </row>
    <row r="103">
      <c r="A103" s="34"/>
      <c r="F103" s="50"/>
      <c r="G103" s="50"/>
      <c r="H103" s="50"/>
      <c r="I103" s="50"/>
    </row>
    <row r="104">
      <c r="A104" s="34"/>
      <c r="F104" s="50"/>
      <c r="G104" s="50"/>
      <c r="H104" s="50"/>
      <c r="I104" s="50"/>
    </row>
    <row r="105">
      <c r="A105" s="34"/>
      <c r="F105" s="50"/>
      <c r="G105" s="50"/>
      <c r="H105" s="50"/>
      <c r="I105" s="50"/>
    </row>
    <row r="106">
      <c r="A106" s="34"/>
      <c r="F106" s="50"/>
      <c r="G106" s="50"/>
      <c r="H106" s="50"/>
      <c r="I106" s="50"/>
    </row>
    <row r="107">
      <c r="A107" s="34"/>
      <c r="F107" s="50"/>
      <c r="G107" s="50"/>
      <c r="H107" s="50"/>
      <c r="I107" s="50"/>
    </row>
    <row r="108">
      <c r="A108" s="34"/>
      <c r="F108" s="50"/>
      <c r="G108" s="50"/>
      <c r="H108" s="50"/>
      <c r="I108" s="50"/>
    </row>
    <row r="109">
      <c r="A109" s="34"/>
      <c r="F109" s="50"/>
      <c r="G109" s="50"/>
      <c r="H109" s="50"/>
      <c r="I109" s="50"/>
    </row>
    <row r="110">
      <c r="A110" s="34"/>
      <c r="F110" s="50"/>
      <c r="G110" s="50"/>
      <c r="H110" s="50"/>
      <c r="I110" s="50"/>
    </row>
    <row r="111">
      <c r="A111" s="34"/>
      <c r="F111" s="50"/>
      <c r="G111" s="50"/>
      <c r="H111" s="50"/>
      <c r="I111" s="50"/>
    </row>
    <row r="112">
      <c r="A112" s="34"/>
      <c r="F112" s="50"/>
      <c r="G112" s="50"/>
      <c r="H112" s="50"/>
      <c r="I112" s="50"/>
    </row>
    <row r="113">
      <c r="A113" s="34"/>
      <c r="F113" s="50"/>
      <c r="G113" s="50"/>
      <c r="H113" s="50"/>
      <c r="I113" s="50"/>
    </row>
    <row r="114">
      <c r="A114" s="34"/>
      <c r="F114" s="50"/>
      <c r="G114" s="50"/>
      <c r="H114" s="50"/>
      <c r="I114" s="50"/>
    </row>
    <row r="115">
      <c r="A115" s="34"/>
      <c r="F115" s="50"/>
      <c r="G115" s="50"/>
      <c r="H115" s="50"/>
      <c r="I115" s="50"/>
    </row>
    <row r="116">
      <c r="A116" s="34"/>
      <c r="F116" s="50"/>
      <c r="G116" s="50"/>
      <c r="H116" s="50"/>
      <c r="I116" s="50"/>
    </row>
    <row r="117">
      <c r="A117" s="34"/>
      <c r="F117" s="50"/>
      <c r="G117" s="50"/>
      <c r="H117" s="50"/>
      <c r="I117" s="50"/>
    </row>
    <row r="118">
      <c r="A118" s="34"/>
      <c r="F118" s="50"/>
      <c r="G118" s="50"/>
      <c r="H118" s="50"/>
      <c r="I118" s="50"/>
    </row>
    <row r="119">
      <c r="A119" s="34"/>
      <c r="F119" s="50"/>
      <c r="G119" s="50"/>
      <c r="H119" s="50"/>
      <c r="I119" s="50"/>
    </row>
    <row r="120">
      <c r="A120" s="34"/>
      <c r="F120" s="50"/>
      <c r="G120" s="50"/>
      <c r="H120" s="50"/>
      <c r="I120" s="50"/>
    </row>
    <row r="121">
      <c r="A121" s="34"/>
      <c r="F121" s="50"/>
      <c r="G121" s="50"/>
      <c r="H121" s="50"/>
      <c r="I121" s="50"/>
    </row>
    <row r="122">
      <c r="A122" s="34"/>
      <c r="F122" s="50"/>
      <c r="G122" s="50"/>
      <c r="H122" s="50"/>
      <c r="I122" s="50"/>
    </row>
    <row r="123">
      <c r="A123" s="34"/>
      <c r="F123" s="50"/>
      <c r="G123" s="50"/>
      <c r="H123" s="50"/>
      <c r="I123" s="50"/>
    </row>
    <row r="124">
      <c r="A124" s="34"/>
      <c r="F124" s="50"/>
      <c r="G124" s="50"/>
      <c r="H124" s="50"/>
      <c r="I124" s="50"/>
    </row>
    <row r="125">
      <c r="A125" s="34"/>
      <c r="F125" s="50"/>
      <c r="G125" s="50"/>
      <c r="H125" s="50"/>
      <c r="I125" s="50"/>
    </row>
    <row r="126">
      <c r="A126" s="34"/>
      <c r="F126" s="50"/>
      <c r="G126" s="50"/>
      <c r="H126" s="50"/>
      <c r="I126" s="50"/>
    </row>
    <row r="127">
      <c r="A127" s="34"/>
      <c r="F127" s="50"/>
      <c r="G127" s="50"/>
      <c r="H127" s="50"/>
      <c r="I127" s="50"/>
    </row>
    <row r="128">
      <c r="A128" s="34"/>
      <c r="F128" s="50"/>
      <c r="G128" s="50"/>
      <c r="H128" s="50"/>
      <c r="I128" s="50"/>
    </row>
    <row r="129">
      <c r="A129" s="34"/>
      <c r="F129" s="50"/>
      <c r="G129" s="50"/>
      <c r="H129" s="50"/>
      <c r="I129" s="50"/>
    </row>
    <row r="130">
      <c r="A130" s="34"/>
      <c r="F130" s="50"/>
      <c r="G130" s="50"/>
      <c r="H130" s="50"/>
      <c r="I130" s="50"/>
    </row>
    <row r="131">
      <c r="A131" s="34"/>
      <c r="F131" s="50"/>
      <c r="G131" s="50"/>
      <c r="H131" s="50"/>
      <c r="I131" s="50"/>
    </row>
    <row r="132">
      <c r="A132" s="34"/>
      <c r="F132" s="50"/>
      <c r="G132" s="50"/>
      <c r="H132" s="50"/>
      <c r="I132" s="50"/>
    </row>
    <row r="133">
      <c r="A133" s="34"/>
      <c r="F133" s="50"/>
      <c r="G133" s="50"/>
      <c r="H133" s="50"/>
      <c r="I133" s="50"/>
    </row>
    <row r="134">
      <c r="A134" s="34"/>
      <c r="F134" s="50"/>
      <c r="G134" s="50"/>
      <c r="H134" s="50"/>
      <c r="I134" s="50"/>
    </row>
    <row r="135">
      <c r="A135" s="34"/>
      <c r="F135" s="50"/>
      <c r="G135" s="50"/>
      <c r="H135" s="50"/>
      <c r="I135" s="50"/>
    </row>
    <row r="136">
      <c r="A136" s="34"/>
      <c r="F136" s="50"/>
      <c r="G136" s="50"/>
      <c r="H136" s="50"/>
      <c r="I136" s="50"/>
    </row>
    <row r="137">
      <c r="A137" s="34"/>
      <c r="F137" s="50"/>
      <c r="G137" s="50"/>
      <c r="H137" s="50"/>
      <c r="I137" s="50"/>
    </row>
    <row r="138">
      <c r="A138" s="34"/>
      <c r="F138" s="50"/>
      <c r="G138" s="50"/>
      <c r="H138" s="50"/>
      <c r="I138" s="50"/>
    </row>
    <row r="139">
      <c r="A139" s="34"/>
      <c r="F139" s="50"/>
      <c r="G139" s="50"/>
      <c r="H139" s="50"/>
      <c r="I139" s="50"/>
    </row>
    <row r="140">
      <c r="A140" s="34"/>
      <c r="F140" s="50"/>
      <c r="G140" s="50"/>
      <c r="H140" s="50"/>
      <c r="I140" s="50"/>
    </row>
    <row r="141">
      <c r="A141" s="34"/>
      <c r="F141" s="50"/>
      <c r="G141" s="50"/>
      <c r="H141" s="50"/>
      <c r="I141" s="50"/>
    </row>
    <row r="142">
      <c r="A142" s="34"/>
      <c r="F142" s="50"/>
      <c r="G142" s="50"/>
      <c r="H142" s="50"/>
      <c r="I142" s="50"/>
    </row>
    <row r="143">
      <c r="A143" s="34"/>
      <c r="F143" s="50"/>
      <c r="G143" s="50"/>
      <c r="H143" s="50"/>
      <c r="I143" s="50"/>
    </row>
    <row r="144">
      <c r="A144" s="34"/>
      <c r="F144" s="50"/>
      <c r="G144" s="50"/>
      <c r="H144" s="50"/>
      <c r="I144" s="50"/>
    </row>
    <row r="145">
      <c r="A145" s="34"/>
      <c r="F145" s="50"/>
      <c r="G145" s="50"/>
      <c r="H145" s="50"/>
      <c r="I145" s="50"/>
    </row>
    <row r="146">
      <c r="A146" s="34"/>
      <c r="F146" s="50"/>
      <c r="G146" s="50"/>
      <c r="H146" s="50"/>
      <c r="I146" s="50"/>
    </row>
    <row r="147">
      <c r="A147" s="34"/>
      <c r="F147" s="50"/>
      <c r="G147" s="50"/>
      <c r="H147" s="50"/>
      <c r="I147" s="50"/>
    </row>
    <row r="148">
      <c r="A148" s="34"/>
      <c r="F148" s="50"/>
      <c r="G148" s="50"/>
      <c r="H148" s="50"/>
      <c r="I148" s="50"/>
    </row>
    <row r="149">
      <c r="A149" s="34"/>
      <c r="F149" s="50"/>
      <c r="G149" s="50"/>
      <c r="H149" s="50"/>
      <c r="I149" s="50"/>
    </row>
    <row r="150">
      <c r="A150" s="34"/>
      <c r="F150" s="50"/>
      <c r="G150" s="50"/>
      <c r="H150" s="50"/>
      <c r="I150" s="50"/>
    </row>
    <row r="151">
      <c r="A151" s="34"/>
      <c r="F151" s="50"/>
      <c r="G151" s="50"/>
      <c r="H151" s="50"/>
      <c r="I151" s="50"/>
    </row>
    <row r="152">
      <c r="A152" s="34"/>
      <c r="F152" s="50"/>
      <c r="G152" s="50"/>
      <c r="H152" s="50"/>
      <c r="I152" s="50"/>
    </row>
    <row r="153">
      <c r="A153" s="34"/>
      <c r="F153" s="50"/>
      <c r="G153" s="50"/>
      <c r="H153" s="50"/>
      <c r="I153" s="50"/>
    </row>
    <row r="154">
      <c r="A154" s="34"/>
      <c r="F154" s="50"/>
      <c r="G154" s="50"/>
      <c r="H154" s="50"/>
      <c r="I154" s="50"/>
    </row>
    <row r="155">
      <c r="A155" s="34"/>
      <c r="F155" s="50"/>
      <c r="G155" s="50"/>
      <c r="H155" s="50"/>
      <c r="I155" s="50"/>
    </row>
    <row r="156">
      <c r="A156" s="34"/>
      <c r="F156" s="50"/>
      <c r="G156" s="50"/>
      <c r="H156" s="50"/>
      <c r="I156" s="50"/>
    </row>
    <row r="157">
      <c r="A157" s="34"/>
      <c r="F157" s="50"/>
      <c r="G157" s="50"/>
      <c r="H157" s="50"/>
      <c r="I157" s="50"/>
    </row>
    <row r="158">
      <c r="A158" s="34"/>
      <c r="F158" s="50"/>
      <c r="G158" s="50"/>
      <c r="H158" s="50"/>
      <c r="I158" s="50"/>
    </row>
    <row r="159">
      <c r="A159" s="34"/>
      <c r="F159" s="50"/>
      <c r="G159" s="50"/>
      <c r="H159" s="50"/>
      <c r="I159" s="50"/>
    </row>
    <row r="160">
      <c r="A160" s="34"/>
      <c r="F160" s="50"/>
      <c r="G160" s="50"/>
      <c r="H160" s="50"/>
      <c r="I160" s="50"/>
    </row>
    <row r="161">
      <c r="A161" s="34"/>
      <c r="F161" s="50"/>
      <c r="G161" s="50"/>
      <c r="H161" s="50"/>
      <c r="I161" s="50"/>
    </row>
    <row r="162">
      <c r="A162" s="34"/>
      <c r="F162" s="50"/>
      <c r="G162" s="50"/>
      <c r="H162" s="50"/>
      <c r="I162" s="50"/>
    </row>
    <row r="163">
      <c r="A163" s="34"/>
      <c r="F163" s="50"/>
      <c r="G163" s="50"/>
      <c r="H163" s="50"/>
      <c r="I163" s="50"/>
    </row>
    <row r="164">
      <c r="A164" s="34"/>
      <c r="F164" s="50"/>
      <c r="G164" s="50"/>
      <c r="H164" s="50"/>
      <c r="I164" s="50"/>
    </row>
    <row r="165">
      <c r="A165" s="34"/>
      <c r="F165" s="50"/>
      <c r="G165" s="50"/>
      <c r="H165" s="50"/>
      <c r="I165" s="50"/>
    </row>
    <row r="166">
      <c r="A166" s="34"/>
      <c r="F166" s="50"/>
      <c r="G166" s="50"/>
      <c r="H166" s="50"/>
      <c r="I166" s="50"/>
    </row>
    <row r="167">
      <c r="A167" s="34"/>
      <c r="F167" s="50"/>
      <c r="G167" s="50"/>
      <c r="H167" s="50"/>
      <c r="I167" s="50"/>
    </row>
    <row r="168">
      <c r="A168" s="34"/>
      <c r="F168" s="50"/>
      <c r="G168" s="50"/>
      <c r="H168" s="50"/>
      <c r="I168" s="50"/>
    </row>
    <row r="169">
      <c r="A169" s="34"/>
      <c r="F169" s="50"/>
      <c r="G169" s="50"/>
      <c r="H169" s="50"/>
      <c r="I169" s="50"/>
    </row>
    <row r="170">
      <c r="A170" s="34"/>
      <c r="F170" s="50"/>
      <c r="G170" s="50"/>
      <c r="H170" s="50"/>
      <c r="I170" s="50"/>
    </row>
    <row r="171">
      <c r="A171" s="34"/>
      <c r="F171" s="50"/>
      <c r="G171" s="50"/>
      <c r="H171" s="50"/>
      <c r="I171" s="50"/>
    </row>
    <row r="172">
      <c r="A172" s="34"/>
      <c r="F172" s="50"/>
      <c r="G172" s="50"/>
      <c r="H172" s="50"/>
      <c r="I172" s="50"/>
    </row>
    <row r="173">
      <c r="A173" s="34"/>
      <c r="F173" s="50"/>
      <c r="G173" s="50"/>
      <c r="H173" s="50"/>
      <c r="I173" s="50"/>
    </row>
    <row r="174">
      <c r="A174" s="34"/>
      <c r="F174" s="50"/>
      <c r="G174" s="50"/>
      <c r="H174" s="50"/>
      <c r="I174" s="50"/>
    </row>
    <row r="175">
      <c r="A175" s="34"/>
      <c r="F175" s="50"/>
      <c r="G175" s="50"/>
      <c r="H175" s="50"/>
      <c r="I175" s="50"/>
    </row>
    <row r="176">
      <c r="A176" s="34"/>
      <c r="F176" s="50"/>
      <c r="G176" s="50"/>
      <c r="H176" s="50"/>
      <c r="I176" s="50"/>
    </row>
    <row r="177">
      <c r="A177" s="34"/>
      <c r="F177" s="50"/>
      <c r="G177" s="50"/>
      <c r="H177" s="50"/>
      <c r="I177" s="50"/>
    </row>
    <row r="178">
      <c r="A178" s="34"/>
      <c r="F178" s="50"/>
      <c r="G178" s="50"/>
      <c r="H178" s="50"/>
      <c r="I178" s="50"/>
    </row>
    <row r="179">
      <c r="A179" s="34"/>
      <c r="F179" s="50"/>
      <c r="G179" s="50"/>
      <c r="H179" s="50"/>
      <c r="I179" s="50"/>
    </row>
    <row r="180">
      <c r="A180" s="34"/>
      <c r="F180" s="50"/>
      <c r="G180" s="50"/>
      <c r="H180" s="50"/>
      <c r="I180" s="50"/>
    </row>
    <row r="181">
      <c r="A181" s="34"/>
      <c r="F181" s="50"/>
      <c r="G181" s="50"/>
      <c r="H181" s="50"/>
      <c r="I181" s="50"/>
    </row>
    <row r="182">
      <c r="A182" s="34"/>
      <c r="F182" s="50"/>
      <c r="G182" s="50"/>
      <c r="H182" s="50"/>
      <c r="I182" s="50"/>
    </row>
    <row r="183">
      <c r="A183" s="34"/>
      <c r="F183" s="50"/>
      <c r="G183" s="50"/>
      <c r="H183" s="50"/>
      <c r="I183" s="50"/>
    </row>
    <row r="184">
      <c r="A184" s="34"/>
      <c r="F184" s="50"/>
      <c r="G184" s="50"/>
      <c r="H184" s="50"/>
      <c r="I184" s="50"/>
    </row>
    <row r="185">
      <c r="A185" s="34"/>
      <c r="F185" s="50"/>
      <c r="G185" s="50"/>
      <c r="H185" s="50"/>
      <c r="I185" s="50"/>
    </row>
    <row r="186">
      <c r="A186" s="34"/>
      <c r="F186" s="50"/>
      <c r="G186" s="50"/>
      <c r="H186" s="50"/>
      <c r="I186" s="50"/>
    </row>
    <row r="187">
      <c r="A187" s="34"/>
      <c r="F187" s="50"/>
      <c r="G187" s="50"/>
      <c r="H187" s="50"/>
      <c r="I187" s="50"/>
    </row>
    <row r="188">
      <c r="A188" s="34"/>
      <c r="F188" s="50"/>
      <c r="G188" s="50"/>
      <c r="H188" s="50"/>
      <c r="I188" s="50"/>
    </row>
    <row r="189">
      <c r="A189" s="34"/>
      <c r="F189" s="50"/>
      <c r="G189" s="50"/>
      <c r="H189" s="50"/>
      <c r="I189" s="50"/>
    </row>
    <row r="190">
      <c r="A190" s="34"/>
      <c r="F190" s="50"/>
      <c r="G190" s="50"/>
      <c r="H190" s="50"/>
      <c r="I190" s="50"/>
    </row>
    <row r="191">
      <c r="A191" s="34"/>
      <c r="F191" s="50"/>
      <c r="G191" s="50"/>
      <c r="H191" s="50"/>
      <c r="I191" s="50"/>
    </row>
    <row r="192">
      <c r="A192" s="34"/>
      <c r="F192" s="50"/>
      <c r="G192" s="50"/>
      <c r="H192" s="50"/>
      <c r="I192" s="50"/>
    </row>
    <row r="193">
      <c r="A193" s="34"/>
      <c r="F193" s="50"/>
      <c r="G193" s="50"/>
      <c r="H193" s="50"/>
      <c r="I193" s="50"/>
    </row>
    <row r="194">
      <c r="A194" s="34"/>
      <c r="F194" s="50"/>
      <c r="G194" s="50"/>
      <c r="H194" s="50"/>
      <c r="I194" s="50"/>
    </row>
    <row r="195">
      <c r="A195" s="34"/>
      <c r="F195" s="50"/>
      <c r="G195" s="50"/>
      <c r="H195" s="50"/>
      <c r="I195" s="50"/>
    </row>
    <row r="196">
      <c r="A196" s="34"/>
      <c r="F196" s="50"/>
      <c r="G196" s="50"/>
      <c r="H196" s="50"/>
      <c r="I196" s="50"/>
    </row>
    <row r="197">
      <c r="A197" s="34"/>
      <c r="F197" s="50"/>
      <c r="G197" s="50"/>
      <c r="H197" s="50"/>
      <c r="I197" s="50"/>
    </row>
    <row r="198">
      <c r="A198" s="34"/>
      <c r="F198" s="50"/>
      <c r="G198" s="50"/>
      <c r="H198" s="50"/>
      <c r="I198" s="50"/>
    </row>
    <row r="199">
      <c r="A199" s="34"/>
      <c r="F199" s="50"/>
      <c r="G199" s="50"/>
      <c r="H199" s="50"/>
      <c r="I199" s="50"/>
    </row>
    <row r="200">
      <c r="A200" s="34"/>
      <c r="F200" s="50"/>
      <c r="G200" s="50"/>
      <c r="H200" s="50"/>
      <c r="I200" s="50"/>
    </row>
    <row r="201">
      <c r="A201" s="34"/>
      <c r="F201" s="50"/>
      <c r="G201" s="50"/>
      <c r="H201" s="50"/>
      <c r="I201" s="50"/>
    </row>
    <row r="202">
      <c r="A202" s="34"/>
      <c r="F202" s="50"/>
      <c r="G202" s="50"/>
      <c r="H202" s="50"/>
      <c r="I202" s="50"/>
    </row>
    <row r="203">
      <c r="A203" s="34"/>
      <c r="F203" s="50"/>
      <c r="G203" s="50"/>
      <c r="H203" s="50"/>
      <c r="I203" s="50"/>
    </row>
    <row r="204">
      <c r="A204" s="34"/>
      <c r="F204" s="50"/>
      <c r="G204" s="50"/>
      <c r="H204" s="50"/>
      <c r="I204" s="50"/>
    </row>
    <row r="205">
      <c r="A205" s="34"/>
      <c r="F205" s="50"/>
      <c r="G205" s="50"/>
      <c r="H205" s="50"/>
      <c r="I205" s="50"/>
    </row>
    <row r="206">
      <c r="A206" s="34"/>
      <c r="F206" s="50"/>
      <c r="G206" s="50"/>
      <c r="H206" s="50"/>
      <c r="I206" s="50"/>
    </row>
    <row r="207">
      <c r="A207" s="34"/>
      <c r="F207" s="50"/>
      <c r="G207" s="50"/>
      <c r="H207" s="50"/>
      <c r="I207" s="50"/>
    </row>
    <row r="208">
      <c r="A208" s="34"/>
      <c r="F208" s="50"/>
      <c r="G208" s="50"/>
      <c r="H208" s="50"/>
      <c r="I208" s="50"/>
    </row>
    <row r="209">
      <c r="A209" s="34"/>
      <c r="F209" s="50"/>
      <c r="G209" s="50"/>
      <c r="H209" s="50"/>
      <c r="I209" s="50"/>
    </row>
    <row r="210">
      <c r="A210" s="34"/>
      <c r="F210" s="50"/>
      <c r="G210" s="50"/>
      <c r="H210" s="50"/>
      <c r="I210" s="50"/>
    </row>
    <row r="211">
      <c r="A211" s="34"/>
      <c r="F211" s="50"/>
      <c r="G211" s="50"/>
      <c r="H211" s="50"/>
      <c r="I211" s="50"/>
    </row>
    <row r="212">
      <c r="A212" s="34"/>
      <c r="F212" s="50"/>
      <c r="G212" s="50"/>
      <c r="H212" s="50"/>
      <c r="I212" s="50"/>
    </row>
    <row r="213">
      <c r="A213" s="34"/>
      <c r="F213" s="50"/>
      <c r="G213" s="50"/>
      <c r="H213" s="50"/>
      <c r="I213" s="50"/>
    </row>
    <row r="214">
      <c r="A214" s="34"/>
      <c r="F214" s="50"/>
      <c r="G214" s="50"/>
      <c r="H214" s="50"/>
      <c r="I214" s="50"/>
    </row>
    <row r="215">
      <c r="A215" s="34"/>
      <c r="F215" s="50"/>
      <c r="G215" s="50"/>
      <c r="H215" s="50"/>
      <c r="I215" s="50"/>
    </row>
    <row r="216">
      <c r="A216" s="34"/>
      <c r="F216" s="50"/>
      <c r="G216" s="50"/>
      <c r="H216" s="50"/>
      <c r="I216" s="50"/>
    </row>
    <row r="217">
      <c r="A217" s="34"/>
      <c r="F217" s="50"/>
      <c r="G217" s="50"/>
      <c r="H217" s="50"/>
      <c r="I217" s="50"/>
    </row>
    <row r="218">
      <c r="A218" s="34"/>
      <c r="F218" s="50"/>
      <c r="G218" s="50"/>
      <c r="H218" s="50"/>
      <c r="I218" s="50"/>
    </row>
    <row r="219">
      <c r="A219" s="34"/>
      <c r="F219" s="50"/>
      <c r="G219" s="50"/>
      <c r="H219" s="50"/>
      <c r="I219" s="50"/>
    </row>
    <row r="220">
      <c r="A220" s="34"/>
      <c r="F220" s="50"/>
      <c r="G220" s="50"/>
      <c r="H220" s="50"/>
      <c r="I220" s="50"/>
    </row>
    <row r="221">
      <c r="A221" s="34"/>
      <c r="F221" s="50"/>
      <c r="G221" s="50"/>
      <c r="H221" s="50"/>
      <c r="I221" s="50"/>
    </row>
    <row r="222">
      <c r="A222" s="34"/>
      <c r="F222" s="50"/>
      <c r="G222" s="50"/>
      <c r="H222" s="50"/>
      <c r="I222" s="50"/>
    </row>
    <row r="223">
      <c r="A223" s="34"/>
      <c r="F223" s="50"/>
      <c r="G223" s="50"/>
      <c r="H223" s="50"/>
      <c r="I223" s="50"/>
    </row>
    <row r="224">
      <c r="A224" s="34"/>
      <c r="F224" s="50"/>
      <c r="G224" s="50"/>
      <c r="H224" s="50"/>
      <c r="I224" s="50"/>
    </row>
    <row r="225">
      <c r="A225" s="34"/>
      <c r="F225" s="50"/>
      <c r="G225" s="50"/>
      <c r="H225" s="50"/>
      <c r="I225" s="50"/>
    </row>
    <row r="226">
      <c r="A226" s="34"/>
      <c r="F226" s="50"/>
      <c r="G226" s="50"/>
      <c r="H226" s="50"/>
      <c r="I226" s="50"/>
    </row>
    <row r="227">
      <c r="A227" s="34"/>
      <c r="F227" s="50"/>
      <c r="G227" s="50"/>
      <c r="H227" s="50"/>
      <c r="I227" s="50"/>
    </row>
    <row r="228">
      <c r="A228" s="34"/>
      <c r="F228" s="50"/>
      <c r="G228" s="50"/>
      <c r="H228" s="50"/>
      <c r="I228" s="50"/>
    </row>
    <row r="229">
      <c r="A229" s="34"/>
      <c r="F229" s="50"/>
      <c r="G229" s="50"/>
      <c r="H229" s="50"/>
      <c r="I229" s="50"/>
    </row>
    <row r="230">
      <c r="A230" s="34"/>
      <c r="F230" s="50"/>
      <c r="G230" s="50"/>
      <c r="H230" s="50"/>
      <c r="I230" s="50"/>
    </row>
    <row r="231">
      <c r="A231" s="34"/>
      <c r="F231" s="50"/>
      <c r="G231" s="50"/>
      <c r="H231" s="50"/>
      <c r="I231" s="50"/>
    </row>
    <row r="232">
      <c r="A232" s="34"/>
      <c r="F232" s="50"/>
      <c r="G232" s="50"/>
      <c r="H232" s="50"/>
      <c r="I232" s="50"/>
    </row>
    <row r="233">
      <c r="A233" s="34"/>
      <c r="F233" s="50"/>
      <c r="G233" s="50"/>
      <c r="H233" s="50"/>
      <c r="I233" s="50"/>
    </row>
    <row r="234">
      <c r="A234" s="34"/>
      <c r="F234" s="50"/>
      <c r="G234" s="50"/>
      <c r="H234" s="50"/>
      <c r="I234" s="50"/>
    </row>
    <row r="235">
      <c r="A235" s="34"/>
      <c r="F235" s="50"/>
      <c r="G235" s="50"/>
      <c r="H235" s="50"/>
      <c r="I235" s="50"/>
    </row>
    <row r="236">
      <c r="A236" s="34"/>
      <c r="F236" s="50"/>
      <c r="G236" s="50"/>
      <c r="H236" s="50"/>
      <c r="I236" s="50"/>
    </row>
    <row r="237">
      <c r="A237" s="34"/>
      <c r="F237" s="50"/>
      <c r="G237" s="50"/>
      <c r="H237" s="50"/>
      <c r="I237" s="50"/>
    </row>
    <row r="238">
      <c r="A238" s="34"/>
      <c r="F238" s="50"/>
      <c r="G238" s="50"/>
      <c r="H238" s="50"/>
      <c r="I238" s="50"/>
    </row>
    <row r="239">
      <c r="A239" s="34"/>
      <c r="F239" s="50"/>
      <c r="G239" s="50"/>
      <c r="H239" s="50"/>
      <c r="I239" s="50"/>
    </row>
    <row r="240">
      <c r="A240" s="34"/>
      <c r="F240" s="50"/>
      <c r="G240" s="50"/>
      <c r="H240" s="50"/>
      <c r="I240" s="50"/>
    </row>
    <row r="241">
      <c r="A241" s="34"/>
      <c r="F241" s="50"/>
      <c r="G241" s="50"/>
      <c r="H241" s="50"/>
      <c r="I241" s="50"/>
    </row>
    <row r="242">
      <c r="A242" s="34"/>
      <c r="F242" s="50"/>
      <c r="G242" s="50"/>
      <c r="H242" s="50"/>
      <c r="I242" s="50"/>
    </row>
    <row r="243">
      <c r="A243" s="34"/>
      <c r="F243" s="50"/>
      <c r="G243" s="50"/>
      <c r="H243" s="50"/>
      <c r="I243" s="50"/>
    </row>
    <row r="244">
      <c r="A244" s="34"/>
      <c r="F244" s="50"/>
      <c r="G244" s="50"/>
      <c r="H244" s="50"/>
      <c r="I244" s="50"/>
    </row>
    <row r="245">
      <c r="A245" s="34"/>
      <c r="F245" s="50"/>
      <c r="G245" s="50"/>
      <c r="H245" s="50"/>
      <c r="I245" s="50"/>
    </row>
    <row r="246">
      <c r="A246" s="34"/>
      <c r="F246" s="50"/>
      <c r="G246" s="50"/>
      <c r="H246" s="50"/>
      <c r="I246" s="50"/>
    </row>
    <row r="247">
      <c r="A247" s="34"/>
      <c r="F247" s="50"/>
      <c r="G247" s="50"/>
      <c r="H247" s="50"/>
      <c r="I247" s="50"/>
    </row>
    <row r="248">
      <c r="A248" s="34"/>
      <c r="F248" s="50"/>
      <c r="G248" s="50"/>
      <c r="H248" s="50"/>
      <c r="I248" s="50"/>
    </row>
    <row r="249">
      <c r="A249" s="34"/>
      <c r="F249" s="50"/>
      <c r="G249" s="50"/>
      <c r="H249" s="50"/>
      <c r="I249" s="50"/>
    </row>
    <row r="250">
      <c r="A250" s="34"/>
      <c r="F250" s="50"/>
      <c r="G250" s="50"/>
      <c r="H250" s="50"/>
      <c r="I250" s="50"/>
    </row>
    <row r="251">
      <c r="A251" s="34"/>
      <c r="F251" s="50"/>
      <c r="G251" s="50"/>
      <c r="H251" s="50"/>
      <c r="I251" s="50"/>
    </row>
    <row r="252">
      <c r="A252" s="34"/>
      <c r="F252" s="50"/>
      <c r="G252" s="50"/>
      <c r="H252" s="50"/>
      <c r="I252" s="50"/>
    </row>
    <row r="253">
      <c r="A253" s="34"/>
      <c r="F253" s="50"/>
      <c r="G253" s="50"/>
      <c r="H253" s="50"/>
      <c r="I253" s="50"/>
    </row>
    <row r="254">
      <c r="A254" s="34"/>
      <c r="F254" s="50"/>
      <c r="G254" s="50"/>
      <c r="H254" s="50"/>
      <c r="I254" s="50"/>
    </row>
    <row r="255">
      <c r="A255" s="34"/>
      <c r="F255" s="50"/>
      <c r="G255" s="50"/>
      <c r="H255" s="50"/>
      <c r="I255" s="50"/>
    </row>
    <row r="256">
      <c r="A256" s="34"/>
      <c r="F256" s="50"/>
      <c r="G256" s="50"/>
      <c r="H256" s="50"/>
      <c r="I256" s="50"/>
    </row>
    <row r="257">
      <c r="A257" s="34"/>
      <c r="F257" s="50"/>
      <c r="G257" s="50"/>
      <c r="H257" s="50"/>
      <c r="I257" s="50"/>
    </row>
    <row r="258">
      <c r="A258" s="34"/>
      <c r="F258" s="50"/>
      <c r="G258" s="50"/>
      <c r="H258" s="50"/>
      <c r="I258" s="50"/>
    </row>
    <row r="259">
      <c r="A259" s="34"/>
      <c r="F259" s="50"/>
      <c r="G259" s="50"/>
      <c r="H259" s="50"/>
      <c r="I259" s="50"/>
    </row>
    <row r="260">
      <c r="A260" s="34"/>
      <c r="F260" s="50"/>
      <c r="G260" s="50"/>
      <c r="H260" s="50"/>
      <c r="I260" s="50"/>
    </row>
    <row r="261">
      <c r="A261" s="34"/>
      <c r="F261" s="50"/>
      <c r="G261" s="50"/>
      <c r="H261" s="50"/>
      <c r="I261" s="50"/>
    </row>
    <row r="262">
      <c r="A262" s="34"/>
      <c r="F262" s="50"/>
      <c r="G262" s="50"/>
      <c r="H262" s="50"/>
      <c r="I262" s="50"/>
    </row>
    <row r="263">
      <c r="A263" s="34"/>
      <c r="F263" s="50"/>
      <c r="G263" s="50"/>
      <c r="H263" s="50"/>
      <c r="I263" s="50"/>
    </row>
    <row r="264">
      <c r="A264" s="34"/>
      <c r="F264" s="50"/>
      <c r="G264" s="50"/>
      <c r="H264" s="50"/>
      <c r="I264" s="50"/>
    </row>
    <row r="265">
      <c r="A265" s="34"/>
      <c r="F265" s="50"/>
      <c r="G265" s="50"/>
      <c r="H265" s="50"/>
      <c r="I265" s="50"/>
    </row>
    <row r="266">
      <c r="A266" s="34"/>
      <c r="F266" s="50"/>
      <c r="G266" s="50"/>
      <c r="H266" s="50"/>
      <c r="I266" s="50"/>
    </row>
    <row r="267">
      <c r="A267" s="34"/>
      <c r="F267" s="50"/>
      <c r="G267" s="50"/>
      <c r="H267" s="50"/>
      <c r="I267" s="50"/>
    </row>
    <row r="268">
      <c r="A268" s="34"/>
      <c r="F268" s="50"/>
      <c r="G268" s="50"/>
      <c r="H268" s="50"/>
      <c r="I268" s="50"/>
    </row>
    <row r="269">
      <c r="A269" s="34"/>
      <c r="F269" s="50"/>
      <c r="G269" s="50"/>
      <c r="H269" s="50"/>
      <c r="I269" s="50"/>
    </row>
    <row r="270">
      <c r="A270" s="34"/>
      <c r="F270" s="50"/>
      <c r="G270" s="50"/>
      <c r="H270" s="50"/>
      <c r="I270" s="50"/>
    </row>
    <row r="271">
      <c r="A271" s="34"/>
      <c r="F271" s="50"/>
      <c r="G271" s="50"/>
      <c r="H271" s="50"/>
      <c r="I271" s="50"/>
    </row>
    <row r="272">
      <c r="A272" s="34"/>
      <c r="F272" s="50"/>
      <c r="G272" s="50"/>
      <c r="H272" s="50"/>
      <c r="I272" s="50"/>
    </row>
    <row r="273">
      <c r="A273" s="34"/>
      <c r="F273" s="50"/>
      <c r="G273" s="50"/>
      <c r="H273" s="50"/>
      <c r="I273" s="50"/>
    </row>
    <row r="274">
      <c r="A274" s="34"/>
      <c r="F274" s="50"/>
      <c r="G274" s="50"/>
      <c r="H274" s="50"/>
      <c r="I274" s="50"/>
    </row>
    <row r="275">
      <c r="A275" s="34"/>
      <c r="F275" s="50"/>
      <c r="G275" s="50"/>
      <c r="H275" s="50"/>
      <c r="I275" s="50"/>
    </row>
    <row r="276">
      <c r="A276" s="34"/>
      <c r="F276" s="50"/>
      <c r="G276" s="50"/>
      <c r="H276" s="50"/>
      <c r="I276" s="50"/>
    </row>
    <row r="277">
      <c r="A277" s="34"/>
      <c r="F277" s="50"/>
      <c r="G277" s="50"/>
      <c r="H277" s="50"/>
      <c r="I277" s="50"/>
    </row>
    <row r="278">
      <c r="A278" s="34"/>
      <c r="F278" s="50"/>
      <c r="G278" s="50"/>
      <c r="H278" s="50"/>
      <c r="I278" s="50"/>
    </row>
    <row r="279">
      <c r="A279" s="34"/>
      <c r="F279" s="50"/>
      <c r="G279" s="50"/>
      <c r="H279" s="50"/>
      <c r="I279" s="50"/>
    </row>
    <row r="280">
      <c r="A280" s="34"/>
      <c r="F280" s="50"/>
      <c r="G280" s="50"/>
      <c r="H280" s="50"/>
      <c r="I280" s="50"/>
    </row>
    <row r="281">
      <c r="A281" s="34"/>
      <c r="F281" s="50"/>
      <c r="G281" s="50"/>
      <c r="H281" s="50"/>
      <c r="I281" s="50"/>
    </row>
    <row r="282">
      <c r="A282" s="34"/>
      <c r="F282" s="50"/>
      <c r="G282" s="50"/>
      <c r="H282" s="50"/>
      <c r="I282" s="50"/>
    </row>
    <row r="283">
      <c r="A283" s="34"/>
      <c r="F283" s="50"/>
      <c r="G283" s="50"/>
      <c r="H283" s="50"/>
      <c r="I283" s="50"/>
    </row>
    <row r="284">
      <c r="A284" s="34"/>
      <c r="F284" s="50"/>
      <c r="G284" s="50"/>
      <c r="H284" s="50"/>
      <c r="I284" s="50"/>
    </row>
    <row r="285">
      <c r="A285" s="34"/>
      <c r="F285" s="50"/>
      <c r="G285" s="50"/>
      <c r="H285" s="50"/>
      <c r="I285" s="50"/>
    </row>
    <row r="286">
      <c r="A286" s="34"/>
      <c r="F286" s="50"/>
      <c r="G286" s="50"/>
      <c r="H286" s="50"/>
      <c r="I286" s="50"/>
    </row>
    <row r="287">
      <c r="A287" s="34"/>
      <c r="F287" s="50"/>
      <c r="G287" s="50"/>
      <c r="H287" s="50"/>
      <c r="I287" s="50"/>
    </row>
    <row r="288">
      <c r="A288" s="34"/>
      <c r="F288" s="50"/>
      <c r="G288" s="50"/>
      <c r="H288" s="50"/>
      <c r="I288" s="50"/>
    </row>
    <row r="289">
      <c r="A289" s="34"/>
      <c r="F289" s="50"/>
      <c r="G289" s="50"/>
      <c r="H289" s="50"/>
      <c r="I289" s="50"/>
    </row>
    <row r="290">
      <c r="A290" s="34"/>
      <c r="F290" s="50"/>
      <c r="G290" s="50"/>
      <c r="H290" s="50"/>
      <c r="I290" s="50"/>
    </row>
    <row r="291">
      <c r="A291" s="34"/>
      <c r="F291" s="50"/>
      <c r="G291" s="50"/>
      <c r="H291" s="50"/>
      <c r="I291" s="50"/>
    </row>
    <row r="292">
      <c r="A292" s="34"/>
      <c r="F292" s="50"/>
      <c r="G292" s="50"/>
      <c r="H292" s="50"/>
      <c r="I292" s="50"/>
    </row>
    <row r="293">
      <c r="A293" s="34"/>
      <c r="F293" s="50"/>
      <c r="G293" s="50"/>
      <c r="H293" s="50"/>
      <c r="I293" s="50"/>
    </row>
    <row r="294">
      <c r="A294" s="34"/>
      <c r="F294" s="50"/>
      <c r="G294" s="50"/>
      <c r="H294" s="50"/>
      <c r="I294" s="50"/>
    </row>
    <row r="295">
      <c r="A295" s="34"/>
      <c r="F295" s="50"/>
      <c r="G295" s="50"/>
      <c r="H295" s="50"/>
      <c r="I295" s="50"/>
    </row>
    <row r="296">
      <c r="A296" s="34"/>
      <c r="F296" s="50"/>
      <c r="G296" s="50"/>
      <c r="H296" s="50"/>
      <c r="I296" s="50"/>
    </row>
    <row r="297">
      <c r="A297" s="34"/>
      <c r="F297" s="50"/>
      <c r="G297" s="50"/>
      <c r="H297" s="50"/>
      <c r="I297" s="50"/>
    </row>
    <row r="298">
      <c r="A298" s="34"/>
      <c r="F298" s="50"/>
      <c r="G298" s="50"/>
      <c r="H298" s="50"/>
      <c r="I298" s="50"/>
    </row>
    <row r="299">
      <c r="A299" s="34"/>
      <c r="F299" s="50"/>
      <c r="G299" s="50"/>
      <c r="H299" s="50"/>
      <c r="I299" s="50"/>
    </row>
    <row r="300">
      <c r="A300" s="34"/>
      <c r="F300" s="50"/>
      <c r="G300" s="50"/>
      <c r="H300" s="50"/>
      <c r="I300" s="50"/>
    </row>
    <row r="301">
      <c r="A301" s="34"/>
      <c r="F301" s="50"/>
      <c r="G301" s="50"/>
      <c r="H301" s="50"/>
      <c r="I301" s="50"/>
    </row>
    <row r="302">
      <c r="A302" s="34"/>
      <c r="F302" s="50"/>
      <c r="G302" s="50"/>
      <c r="H302" s="50"/>
      <c r="I302" s="50"/>
    </row>
    <row r="303">
      <c r="A303" s="34"/>
      <c r="F303" s="50"/>
      <c r="G303" s="50"/>
      <c r="H303" s="50"/>
      <c r="I303" s="50"/>
    </row>
    <row r="304">
      <c r="A304" s="34"/>
      <c r="F304" s="50"/>
      <c r="G304" s="50"/>
      <c r="H304" s="50"/>
      <c r="I304" s="50"/>
    </row>
    <row r="305">
      <c r="A305" s="34"/>
      <c r="F305" s="50"/>
      <c r="G305" s="50"/>
      <c r="H305" s="50"/>
      <c r="I305" s="50"/>
    </row>
    <row r="306">
      <c r="A306" s="34"/>
      <c r="F306" s="50"/>
      <c r="G306" s="50"/>
      <c r="H306" s="50"/>
      <c r="I306" s="50"/>
    </row>
    <row r="307">
      <c r="A307" s="34"/>
      <c r="F307" s="50"/>
      <c r="G307" s="50"/>
      <c r="H307" s="50"/>
      <c r="I307" s="50"/>
    </row>
    <row r="308">
      <c r="A308" s="34"/>
      <c r="F308" s="50"/>
      <c r="G308" s="50"/>
      <c r="H308" s="50"/>
      <c r="I308" s="50"/>
    </row>
    <row r="309">
      <c r="A309" s="34"/>
      <c r="F309" s="50"/>
      <c r="G309" s="50"/>
      <c r="H309" s="50"/>
      <c r="I309" s="50"/>
    </row>
    <row r="310">
      <c r="A310" s="34"/>
      <c r="F310" s="50"/>
      <c r="G310" s="50"/>
      <c r="H310" s="50"/>
      <c r="I310" s="50"/>
    </row>
    <row r="311">
      <c r="A311" s="34"/>
      <c r="F311" s="50"/>
      <c r="G311" s="50"/>
      <c r="H311" s="50"/>
      <c r="I311" s="50"/>
    </row>
    <row r="312">
      <c r="A312" s="34"/>
      <c r="F312" s="50"/>
      <c r="G312" s="50"/>
      <c r="H312" s="50"/>
      <c r="I312" s="50"/>
    </row>
    <row r="313">
      <c r="A313" s="34"/>
      <c r="F313" s="50"/>
      <c r="G313" s="50"/>
      <c r="H313" s="50"/>
      <c r="I313" s="50"/>
    </row>
    <row r="314">
      <c r="A314" s="34"/>
      <c r="F314" s="50"/>
      <c r="G314" s="50"/>
      <c r="H314" s="50"/>
      <c r="I314" s="50"/>
    </row>
    <row r="315">
      <c r="A315" s="34"/>
      <c r="F315" s="50"/>
      <c r="G315" s="50"/>
      <c r="H315" s="50"/>
      <c r="I315" s="50"/>
    </row>
    <row r="316">
      <c r="A316" s="34"/>
      <c r="F316" s="50"/>
      <c r="G316" s="50"/>
      <c r="H316" s="50"/>
      <c r="I316" s="50"/>
    </row>
    <row r="317">
      <c r="A317" s="34"/>
      <c r="F317" s="50"/>
      <c r="G317" s="50"/>
      <c r="H317" s="50"/>
      <c r="I317" s="50"/>
    </row>
    <row r="318">
      <c r="A318" s="34"/>
      <c r="F318" s="50"/>
      <c r="G318" s="50"/>
      <c r="H318" s="50"/>
      <c r="I318" s="50"/>
    </row>
    <row r="319">
      <c r="A319" s="34"/>
      <c r="F319" s="50"/>
      <c r="G319" s="50"/>
      <c r="H319" s="50"/>
      <c r="I319" s="50"/>
    </row>
    <row r="320">
      <c r="A320" s="34"/>
      <c r="F320" s="50"/>
      <c r="G320" s="50"/>
      <c r="H320" s="50"/>
      <c r="I320" s="50"/>
    </row>
    <row r="321">
      <c r="A321" s="34"/>
      <c r="F321" s="50"/>
      <c r="G321" s="50"/>
      <c r="H321" s="50"/>
      <c r="I321" s="50"/>
    </row>
    <row r="322">
      <c r="A322" s="34"/>
      <c r="F322" s="50"/>
      <c r="G322" s="50"/>
      <c r="H322" s="50"/>
      <c r="I322" s="50"/>
    </row>
    <row r="323">
      <c r="A323" s="34"/>
      <c r="F323" s="50"/>
      <c r="G323" s="50"/>
      <c r="H323" s="50"/>
      <c r="I323" s="50"/>
    </row>
    <row r="324">
      <c r="A324" s="34"/>
      <c r="F324" s="50"/>
      <c r="G324" s="50"/>
      <c r="H324" s="50"/>
      <c r="I324" s="50"/>
    </row>
    <row r="325">
      <c r="A325" s="34"/>
      <c r="F325" s="50"/>
      <c r="G325" s="50"/>
      <c r="H325" s="50"/>
      <c r="I325" s="50"/>
    </row>
    <row r="326">
      <c r="A326" s="34"/>
      <c r="F326" s="50"/>
      <c r="G326" s="50"/>
      <c r="H326" s="50"/>
      <c r="I326" s="50"/>
    </row>
    <row r="327">
      <c r="A327" s="34"/>
      <c r="F327" s="50"/>
      <c r="G327" s="50"/>
      <c r="H327" s="50"/>
      <c r="I327" s="50"/>
    </row>
    <row r="328">
      <c r="A328" s="34"/>
      <c r="F328" s="50"/>
      <c r="G328" s="50"/>
      <c r="H328" s="50"/>
      <c r="I328" s="50"/>
    </row>
    <row r="329">
      <c r="A329" s="34"/>
      <c r="F329" s="50"/>
      <c r="G329" s="50"/>
      <c r="H329" s="50"/>
      <c r="I329" s="50"/>
    </row>
    <row r="330">
      <c r="A330" s="34"/>
      <c r="F330" s="50"/>
      <c r="G330" s="50"/>
      <c r="H330" s="50"/>
      <c r="I330" s="50"/>
    </row>
    <row r="331">
      <c r="A331" s="34"/>
      <c r="F331" s="50"/>
      <c r="G331" s="50"/>
      <c r="H331" s="50"/>
      <c r="I331" s="50"/>
    </row>
    <row r="332">
      <c r="A332" s="34"/>
      <c r="F332" s="50"/>
      <c r="G332" s="50"/>
      <c r="H332" s="50"/>
      <c r="I332" s="50"/>
    </row>
    <row r="333">
      <c r="A333" s="34"/>
      <c r="F333" s="50"/>
      <c r="G333" s="50"/>
      <c r="H333" s="50"/>
      <c r="I333" s="50"/>
    </row>
    <row r="334">
      <c r="A334" s="34"/>
      <c r="F334" s="50"/>
      <c r="G334" s="50"/>
      <c r="H334" s="50"/>
      <c r="I334" s="50"/>
    </row>
    <row r="335">
      <c r="A335" s="34"/>
      <c r="F335" s="50"/>
      <c r="G335" s="50"/>
      <c r="H335" s="50"/>
      <c r="I335" s="50"/>
    </row>
    <row r="336">
      <c r="A336" s="34"/>
      <c r="F336" s="50"/>
      <c r="G336" s="50"/>
      <c r="H336" s="50"/>
      <c r="I336" s="50"/>
    </row>
    <row r="337">
      <c r="A337" s="34"/>
      <c r="F337" s="50"/>
      <c r="G337" s="50"/>
      <c r="H337" s="50"/>
      <c r="I337" s="50"/>
    </row>
    <row r="338">
      <c r="A338" s="34"/>
      <c r="F338" s="50"/>
      <c r="G338" s="50"/>
      <c r="H338" s="50"/>
      <c r="I338" s="50"/>
    </row>
    <row r="339">
      <c r="A339" s="34"/>
      <c r="F339" s="50"/>
      <c r="G339" s="50"/>
      <c r="H339" s="50"/>
      <c r="I339" s="50"/>
    </row>
    <row r="340">
      <c r="A340" s="34"/>
      <c r="F340" s="50"/>
      <c r="G340" s="50"/>
      <c r="H340" s="50"/>
      <c r="I340" s="50"/>
    </row>
    <row r="341">
      <c r="A341" s="34"/>
      <c r="F341" s="50"/>
      <c r="G341" s="50"/>
      <c r="H341" s="50"/>
      <c r="I341" s="50"/>
    </row>
    <row r="342">
      <c r="A342" s="34"/>
      <c r="F342" s="50"/>
      <c r="G342" s="50"/>
      <c r="H342" s="50"/>
      <c r="I342" s="50"/>
    </row>
    <row r="343">
      <c r="A343" s="34"/>
      <c r="F343" s="50"/>
      <c r="G343" s="50"/>
      <c r="H343" s="50"/>
      <c r="I343" s="50"/>
    </row>
    <row r="344">
      <c r="A344" s="34"/>
      <c r="F344" s="50"/>
      <c r="G344" s="50"/>
      <c r="H344" s="50"/>
      <c r="I344" s="50"/>
    </row>
    <row r="345">
      <c r="A345" s="34"/>
      <c r="F345" s="50"/>
      <c r="G345" s="50"/>
      <c r="H345" s="50"/>
      <c r="I345" s="50"/>
    </row>
    <row r="346">
      <c r="A346" s="34"/>
      <c r="F346" s="50"/>
      <c r="G346" s="50"/>
      <c r="H346" s="50"/>
      <c r="I346" s="50"/>
    </row>
    <row r="347">
      <c r="A347" s="34"/>
      <c r="F347" s="50"/>
      <c r="G347" s="50"/>
      <c r="H347" s="50"/>
      <c r="I347" s="50"/>
    </row>
    <row r="348">
      <c r="A348" s="34"/>
      <c r="F348" s="50"/>
      <c r="G348" s="50"/>
      <c r="H348" s="50"/>
      <c r="I348" s="50"/>
    </row>
    <row r="349">
      <c r="A349" s="34"/>
      <c r="F349" s="50"/>
      <c r="G349" s="50"/>
      <c r="H349" s="50"/>
      <c r="I349" s="50"/>
    </row>
    <row r="350">
      <c r="A350" s="34"/>
      <c r="F350" s="50"/>
      <c r="G350" s="50"/>
      <c r="H350" s="50"/>
      <c r="I350" s="50"/>
    </row>
    <row r="351">
      <c r="A351" s="34"/>
      <c r="F351" s="50"/>
      <c r="G351" s="50"/>
      <c r="H351" s="50"/>
      <c r="I351" s="50"/>
    </row>
    <row r="352">
      <c r="A352" s="34"/>
      <c r="F352" s="50"/>
      <c r="G352" s="50"/>
      <c r="H352" s="50"/>
      <c r="I352" s="50"/>
    </row>
    <row r="353">
      <c r="A353" s="34"/>
      <c r="F353" s="50"/>
      <c r="G353" s="50"/>
      <c r="H353" s="50"/>
      <c r="I353" s="50"/>
    </row>
    <row r="354">
      <c r="A354" s="34"/>
      <c r="F354" s="50"/>
      <c r="G354" s="50"/>
      <c r="H354" s="50"/>
      <c r="I354" s="50"/>
    </row>
    <row r="355">
      <c r="A355" s="34"/>
      <c r="F355" s="50"/>
      <c r="G355" s="50"/>
      <c r="H355" s="50"/>
      <c r="I355" s="50"/>
    </row>
    <row r="356">
      <c r="A356" s="34"/>
      <c r="F356" s="50"/>
      <c r="G356" s="50"/>
      <c r="H356" s="50"/>
      <c r="I356" s="50"/>
    </row>
    <row r="357">
      <c r="A357" s="34"/>
      <c r="F357" s="50"/>
      <c r="G357" s="50"/>
      <c r="H357" s="50"/>
      <c r="I357" s="50"/>
    </row>
    <row r="358">
      <c r="A358" s="34"/>
      <c r="F358" s="50"/>
      <c r="G358" s="50"/>
      <c r="H358" s="50"/>
      <c r="I358" s="50"/>
    </row>
    <row r="359">
      <c r="A359" s="34"/>
      <c r="F359" s="50"/>
      <c r="G359" s="50"/>
      <c r="H359" s="50"/>
      <c r="I359" s="50"/>
    </row>
    <row r="360">
      <c r="A360" s="34"/>
      <c r="F360" s="50"/>
      <c r="G360" s="50"/>
      <c r="H360" s="50"/>
      <c r="I360" s="50"/>
    </row>
    <row r="361">
      <c r="A361" s="34"/>
      <c r="F361" s="50"/>
      <c r="G361" s="50"/>
      <c r="H361" s="50"/>
      <c r="I361" s="50"/>
    </row>
    <row r="362">
      <c r="A362" s="34"/>
      <c r="F362" s="50"/>
      <c r="G362" s="50"/>
      <c r="H362" s="50"/>
      <c r="I362" s="50"/>
    </row>
    <row r="363">
      <c r="A363" s="34"/>
      <c r="F363" s="50"/>
      <c r="G363" s="50"/>
      <c r="H363" s="50"/>
      <c r="I363" s="50"/>
    </row>
    <row r="364">
      <c r="A364" s="34"/>
      <c r="F364" s="50"/>
      <c r="G364" s="50"/>
      <c r="H364" s="50"/>
      <c r="I364" s="50"/>
    </row>
    <row r="365">
      <c r="A365" s="34"/>
      <c r="F365" s="50"/>
      <c r="G365" s="50"/>
      <c r="H365" s="50"/>
      <c r="I365" s="50"/>
    </row>
    <row r="366">
      <c r="A366" s="34"/>
      <c r="F366" s="50"/>
      <c r="G366" s="50"/>
      <c r="H366" s="50"/>
      <c r="I366" s="50"/>
    </row>
    <row r="367">
      <c r="A367" s="34"/>
      <c r="F367" s="50"/>
      <c r="G367" s="50"/>
      <c r="H367" s="50"/>
      <c r="I367" s="50"/>
    </row>
    <row r="368">
      <c r="A368" s="34"/>
      <c r="F368" s="50"/>
      <c r="G368" s="50"/>
      <c r="H368" s="50"/>
      <c r="I368" s="50"/>
    </row>
    <row r="369">
      <c r="A369" s="34"/>
      <c r="F369" s="50"/>
      <c r="G369" s="50"/>
      <c r="H369" s="50"/>
      <c r="I369" s="50"/>
    </row>
    <row r="370">
      <c r="A370" s="34"/>
      <c r="F370" s="50"/>
      <c r="G370" s="50"/>
      <c r="H370" s="50"/>
      <c r="I370" s="50"/>
    </row>
    <row r="371">
      <c r="A371" s="34"/>
      <c r="F371" s="50"/>
      <c r="G371" s="50"/>
      <c r="H371" s="50"/>
      <c r="I371" s="50"/>
    </row>
    <row r="372">
      <c r="A372" s="34"/>
      <c r="F372" s="50"/>
      <c r="G372" s="50"/>
      <c r="H372" s="50"/>
      <c r="I372" s="50"/>
    </row>
    <row r="373">
      <c r="A373" s="34"/>
      <c r="F373" s="50"/>
      <c r="G373" s="50"/>
      <c r="H373" s="50"/>
      <c r="I373" s="50"/>
    </row>
    <row r="374">
      <c r="A374" s="34"/>
      <c r="F374" s="50"/>
      <c r="G374" s="50"/>
      <c r="H374" s="50"/>
      <c r="I374" s="50"/>
    </row>
    <row r="375">
      <c r="A375" s="34"/>
      <c r="F375" s="50"/>
      <c r="G375" s="50"/>
      <c r="H375" s="50"/>
      <c r="I375" s="50"/>
    </row>
    <row r="376">
      <c r="A376" s="34"/>
      <c r="F376" s="50"/>
      <c r="G376" s="50"/>
      <c r="H376" s="50"/>
      <c r="I376" s="50"/>
    </row>
    <row r="377">
      <c r="A377" s="34"/>
      <c r="F377" s="50"/>
      <c r="G377" s="50"/>
      <c r="H377" s="50"/>
      <c r="I377" s="50"/>
    </row>
    <row r="378">
      <c r="A378" s="34"/>
      <c r="F378" s="50"/>
      <c r="G378" s="50"/>
      <c r="H378" s="50"/>
      <c r="I378" s="50"/>
    </row>
    <row r="379">
      <c r="A379" s="34"/>
      <c r="F379" s="50"/>
      <c r="G379" s="50"/>
      <c r="H379" s="50"/>
      <c r="I379" s="50"/>
    </row>
    <row r="380">
      <c r="A380" s="34"/>
      <c r="F380" s="50"/>
      <c r="G380" s="50"/>
      <c r="H380" s="50"/>
      <c r="I380" s="50"/>
    </row>
    <row r="381">
      <c r="A381" s="34"/>
      <c r="F381" s="50"/>
      <c r="G381" s="50"/>
      <c r="H381" s="50"/>
      <c r="I381" s="50"/>
    </row>
    <row r="382">
      <c r="A382" s="34"/>
      <c r="F382" s="50"/>
      <c r="G382" s="50"/>
      <c r="H382" s="50"/>
      <c r="I382" s="50"/>
    </row>
    <row r="383">
      <c r="A383" s="34"/>
      <c r="F383" s="50"/>
      <c r="G383" s="50"/>
      <c r="H383" s="50"/>
      <c r="I383" s="50"/>
    </row>
    <row r="384">
      <c r="A384" s="34"/>
      <c r="F384" s="50"/>
      <c r="G384" s="50"/>
      <c r="H384" s="50"/>
      <c r="I384" s="50"/>
    </row>
    <row r="385">
      <c r="A385" s="34"/>
      <c r="F385" s="50"/>
      <c r="G385" s="50"/>
      <c r="H385" s="50"/>
      <c r="I385" s="50"/>
    </row>
    <row r="386">
      <c r="A386" s="34"/>
      <c r="F386" s="50"/>
      <c r="G386" s="50"/>
      <c r="H386" s="50"/>
      <c r="I386" s="50"/>
    </row>
    <row r="387">
      <c r="A387" s="34"/>
      <c r="F387" s="50"/>
      <c r="G387" s="50"/>
      <c r="H387" s="50"/>
      <c r="I387" s="50"/>
    </row>
    <row r="388">
      <c r="A388" s="34"/>
      <c r="F388" s="50"/>
      <c r="G388" s="50"/>
      <c r="H388" s="50"/>
      <c r="I388" s="50"/>
    </row>
    <row r="389">
      <c r="A389" s="34"/>
      <c r="F389" s="50"/>
      <c r="G389" s="50"/>
      <c r="H389" s="50"/>
      <c r="I389" s="50"/>
    </row>
    <row r="390">
      <c r="A390" s="34"/>
      <c r="F390" s="50"/>
      <c r="G390" s="50"/>
      <c r="H390" s="50"/>
      <c r="I390" s="50"/>
    </row>
    <row r="391">
      <c r="A391" s="34"/>
      <c r="F391" s="50"/>
      <c r="G391" s="50"/>
      <c r="H391" s="50"/>
      <c r="I391" s="50"/>
    </row>
    <row r="392">
      <c r="A392" s="34"/>
      <c r="F392" s="50"/>
      <c r="G392" s="50"/>
      <c r="H392" s="50"/>
      <c r="I392" s="50"/>
    </row>
    <row r="393">
      <c r="A393" s="34"/>
      <c r="F393" s="50"/>
      <c r="G393" s="50"/>
      <c r="H393" s="50"/>
      <c r="I393" s="50"/>
    </row>
    <row r="394">
      <c r="A394" s="34"/>
      <c r="F394" s="50"/>
      <c r="G394" s="50"/>
      <c r="H394" s="50"/>
      <c r="I394" s="50"/>
    </row>
    <row r="395">
      <c r="A395" s="34"/>
      <c r="F395" s="50"/>
      <c r="G395" s="50"/>
      <c r="H395" s="50"/>
      <c r="I395" s="50"/>
    </row>
    <row r="396">
      <c r="A396" s="34"/>
      <c r="F396" s="50"/>
      <c r="G396" s="50"/>
      <c r="H396" s="50"/>
      <c r="I396" s="50"/>
    </row>
    <row r="397">
      <c r="A397" s="34"/>
      <c r="F397" s="50"/>
      <c r="G397" s="50"/>
      <c r="H397" s="50"/>
      <c r="I397" s="50"/>
    </row>
    <row r="398">
      <c r="A398" s="34"/>
      <c r="F398" s="50"/>
      <c r="G398" s="50"/>
      <c r="H398" s="50"/>
      <c r="I398" s="50"/>
    </row>
    <row r="399">
      <c r="A399" s="34"/>
      <c r="F399" s="50"/>
      <c r="G399" s="50"/>
      <c r="H399" s="50"/>
      <c r="I399" s="50"/>
    </row>
    <row r="400">
      <c r="A400" s="34"/>
      <c r="F400" s="50"/>
      <c r="G400" s="50"/>
      <c r="H400" s="50"/>
      <c r="I400" s="50"/>
    </row>
    <row r="401">
      <c r="A401" s="34"/>
      <c r="F401" s="50"/>
      <c r="G401" s="50"/>
      <c r="H401" s="50"/>
      <c r="I401" s="50"/>
    </row>
    <row r="402">
      <c r="A402" s="34"/>
      <c r="F402" s="50"/>
      <c r="G402" s="50"/>
      <c r="H402" s="50"/>
      <c r="I402" s="50"/>
    </row>
    <row r="403">
      <c r="A403" s="34"/>
      <c r="F403" s="50"/>
      <c r="G403" s="50"/>
      <c r="H403" s="50"/>
      <c r="I403" s="50"/>
    </row>
    <row r="404">
      <c r="A404" s="34"/>
      <c r="F404" s="50"/>
      <c r="G404" s="50"/>
      <c r="H404" s="50"/>
      <c r="I404" s="50"/>
    </row>
    <row r="405">
      <c r="A405" s="34"/>
      <c r="F405" s="50"/>
      <c r="G405" s="50"/>
      <c r="H405" s="50"/>
      <c r="I405" s="50"/>
    </row>
    <row r="406">
      <c r="A406" s="34"/>
      <c r="F406" s="50"/>
      <c r="G406" s="50"/>
      <c r="H406" s="50"/>
      <c r="I406" s="50"/>
    </row>
    <row r="407">
      <c r="A407" s="34"/>
      <c r="F407" s="50"/>
      <c r="G407" s="50"/>
      <c r="H407" s="50"/>
      <c r="I407" s="50"/>
    </row>
    <row r="408">
      <c r="A408" s="34"/>
      <c r="F408" s="50"/>
      <c r="G408" s="50"/>
      <c r="H408" s="50"/>
      <c r="I408" s="50"/>
    </row>
    <row r="409">
      <c r="A409" s="34"/>
      <c r="F409" s="50"/>
      <c r="G409" s="50"/>
      <c r="H409" s="50"/>
      <c r="I409" s="50"/>
    </row>
    <row r="410">
      <c r="A410" s="34"/>
      <c r="F410" s="50"/>
      <c r="G410" s="50"/>
      <c r="H410" s="50"/>
      <c r="I410" s="50"/>
    </row>
    <row r="411">
      <c r="A411" s="34"/>
      <c r="F411" s="50"/>
      <c r="G411" s="50"/>
      <c r="H411" s="50"/>
      <c r="I411" s="50"/>
    </row>
    <row r="412">
      <c r="A412" s="34"/>
      <c r="F412" s="50"/>
      <c r="G412" s="50"/>
      <c r="H412" s="50"/>
      <c r="I412" s="50"/>
    </row>
    <row r="413">
      <c r="A413" s="34"/>
      <c r="F413" s="50"/>
      <c r="G413" s="50"/>
      <c r="H413" s="50"/>
      <c r="I413" s="50"/>
    </row>
    <row r="414">
      <c r="A414" s="34"/>
      <c r="F414" s="50"/>
      <c r="G414" s="50"/>
      <c r="H414" s="50"/>
      <c r="I414" s="50"/>
    </row>
    <row r="415">
      <c r="A415" s="34"/>
      <c r="F415" s="50"/>
      <c r="G415" s="50"/>
      <c r="H415" s="50"/>
      <c r="I415" s="50"/>
    </row>
    <row r="416">
      <c r="A416" s="34"/>
      <c r="F416" s="50"/>
      <c r="G416" s="50"/>
      <c r="H416" s="50"/>
      <c r="I416" s="50"/>
    </row>
    <row r="417">
      <c r="A417" s="34"/>
      <c r="F417" s="50"/>
      <c r="G417" s="50"/>
      <c r="H417" s="50"/>
      <c r="I417" s="50"/>
    </row>
    <row r="418">
      <c r="A418" s="34"/>
      <c r="F418" s="50"/>
      <c r="G418" s="50"/>
      <c r="H418" s="50"/>
      <c r="I418" s="50"/>
    </row>
    <row r="419">
      <c r="A419" s="34"/>
      <c r="F419" s="50"/>
      <c r="G419" s="50"/>
      <c r="H419" s="50"/>
      <c r="I419" s="50"/>
    </row>
    <row r="420">
      <c r="A420" s="34"/>
      <c r="F420" s="50"/>
      <c r="G420" s="50"/>
      <c r="H420" s="50"/>
      <c r="I420" s="50"/>
    </row>
    <row r="421">
      <c r="A421" s="34"/>
      <c r="F421" s="50"/>
      <c r="G421" s="50"/>
      <c r="H421" s="50"/>
      <c r="I421" s="50"/>
    </row>
    <row r="422">
      <c r="A422" s="34"/>
      <c r="F422" s="50"/>
      <c r="G422" s="50"/>
      <c r="H422" s="50"/>
      <c r="I422" s="50"/>
    </row>
    <row r="423">
      <c r="A423" s="34"/>
      <c r="F423" s="50"/>
      <c r="G423" s="50"/>
      <c r="H423" s="50"/>
      <c r="I423" s="50"/>
    </row>
    <row r="424">
      <c r="A424" s="34"/>
      <c r="F424" s="50"/>
      <c r="G424" s="50"/>
      <c r="H424" s="50"/>
      <c r="I424" s="50"/>
    </row>
    <row r="425">
      <c r="A425" s="34"/>
      <c r="F425" s="50"/>
      <c r="G425" s="50"/>
      <c r="H425" s="50"/>
      <c r="I425" s="50"/>
    </row>
    <row r="426">
      <c r="A426" s="34"/>
      <c r="F426" s="50"/>
      <c r="G426" s="50"/>
      <c r="H426" s="50"/>
      <c r="I426" s="50"/>
    </row>
    <row r="427">
      <c r="A427" s="34"/>
      <c r="F427" s="50"/>
      <c r="G427" s="50"/>
      <c r="H427" s="50"/>
      <c r="I427" s="50"/>
    </row>
    <row r="428">
      <c r="A428" s="34"/>
      <c r="F428" s="50"/>
      <c r="G428" s="50"/>
      <c r="H428" s="50"/>
      <c r="I428" s="50"/>
    </row>
    <row r="429">
      <c r="A429" s="34"/>
      <c r="F429" s="50"/>
      <c r="G429" s="50"/>
      <c r="H429" s="50"/>
      <c r="I429" s="50"/>
    </row>
    <row r="430">
      <c r="A430" s="34"/>
      <c r="F430" s="50"/>
      <c r="G430" s="50"/>
      <c r="H430" s="50"/>
      <c r="I430" s="50"/>
    </row>
    <row r="431">
      <c r="A431" s="34"/>
      <c r="F431" s="50"/>
      <c r="G431" s="50"/>
      <c r="H431" s="50"/>
      <c r="I431" s="50"/>
    </row>
    <row r="432">
      <c r="A432" s="34"/>
      <c r="F432" s="50"/>
      <c r="G432" s="50"/>
      <c r="H432" s="50"/>
      <c r="I432" s="50"/>
    </row>
    <row r="433">
      <c r="A433" s="34"/>
      <c r="F433" s="50"/>
      <c r="G433" s="50"/>
      <c r="H433" s="50"/>
      <c r="I433" s="50"/>
    </row>
    <row r="434">
      <c r="A434" s="34"/>
      <c r="F434" s="50"/>
      <c r="G434" s="50"/>
      <c r="H434" s="50"/>
      <c r="I434" s="50"/>
    </row>
    <row r="435">
      <c r="A435" s="34"/>
      <c r="F435" s="50"/>
      <c r="G435" s="50"/>
      <c r="H435" s="50"/>
      <c r="I435" s="50"/>
    </row>
    <row r="436">
      <c r="A436" s="34"/>
      <c r="F436" s="50"/>
      <c r="G436" s="50"/>
      <c r="H436" s="50"/>
      <c r="I436" s="50"/>
    </row>
    <row r="437">
      <c r="A437" s="34"/>
      <c r="F437" s="50"/>
      <c r="G437" s="50"/>
      <c r="H437" s="50"/>
      <c r="I437" s="50"/>
    </row>
    <row r="438">
      <c r="A438" s="34"/>
      <c r="F438" s="50"/>
      <c r="G438" s="50"/>
      <c r="H438" s="50"/>
      <c r="I438" s="50"/>
    </row>
    <row r="439">
      <c r="A439" s="34"/>
      <c r="F439" s="50"/>
      <c r="G439" s="50"/>
      <c r="H439" s="50"/>
      <c r="I439" s="50"/>
    </row>
    <row r="440">
      <c r="A440" s="34"/>
      <c r="F440" s="50"/>
      <c r="G440" s="50"/>
      <c r="H440" s="50"/>
      <c r="I440" s="50"/>
    </row>
    <row r="441">
      <c r="A441" s="34"/>
      <c r="F441" s="50"/>
      <c r="G441" s="50"/>
      <c r="H441" s="50"/>
      <c r="I441" s="50"/>
    </row>
    <row r="442">
      <c r="A442" s="34"/>
      <c r="F442" s="50"/>
      <c r="G442" s="50"/>
      <c r="H442" s="50"/>
      <c r="I442" s="50"/>
    </row>
    <row r="443">
      <c r="A443" s="34"/>
      <c r="F443" s="50"/>
      <c r="G443" s="50"/>
      <c r="H443" s="50"/>
      <c r="I443" s="50"/>
    </row>
    <row r="444">
      <c r="A444" s="34"/>
      <c r="F444" s="50"/>
      <c r="G444" s="50"/>
      <c r="H444" s="50"/>
      <c r="I444" s="50"/>
    </row>
    <row r="445">
      <c r="A445" s="34"/>
      <c r="F445" s="50"/>
      <c r="G445" s="50"/>
      <c r="H445" s="50"/>
      <c r="I445" s="50"/>
    </row>
    <row r="446">
      <c r="A446" s="34"/>
      <c r="F446" s="50"/>
      <c r="G446" s="50"/>
      <c r="H446" s="50"/>
      <c r="I446" s="50"/>
    </row>
    <row r="447">
      <c r="A447" s="34"/>
      <c r="F447" s="50"/>
      <c r="G447" s="50"/>
      <c r="H447" s="50"/>
      <c r="I447" s="50"/>
    </row>
    <row r="448">
      <c r="A448" s="34"/>
      <c r="F448" s="50"/>
      <c r="G448" s="50"/>
      <c r="H448" s="50"/>
      <c r="I448" s="50"/>
    </row>
    <row r="449">
      <c r="A449" s="34"/>
      <c r="F449" s="50"/>
      <c r="G449" s="50"/>
      <c r="H449" s="50"/>
      <c r="I449" s="50"/>
    </row>
    <row r="450">
      <c r="A450" s="34"/>
      <c r="F450" s="50"/>
      <c r="G450" s="50"/>
      <c r="H450" s="50"/>
      <c r="I450" s="50"/>
    </row>
    <row r="451">
      <c r="A451" s="34"/>
      <c r="F451" s="50"/>
      <c r="G451" s="50"/>
      <c r="H451" s="50"/>
      <c r="I451" s="50"/>
    </row>
    <row r="452">
      <c r="A452" s="34"/>
      <c r="F452" s="50"/>
      <c r="G452" s="50"/>
      <c r="H452" s="50"/>
      <c r="I452" s="50"/>
    </row>
    <row r="453">
      <c r="A453" s="34"/>
      <c r="F453" s="50"/>
      <c r="G453" s="50"/>
      <c r="H453" s="50"/>
      <c r="I453" s="50"/>
    </row>
    <row r="454">
      <c r="A454" s="34"/>
      <c r="F454" s="50"/>
      <c r="G454" s="50"/>
      <c r="H454" s="50"/>
      <c r="I454" s="50"/>
    </row>
    <row r="455">
      <c r="A455" s="34"/>
      <c r="F455" s="50"/>
      <c r="G455" s="50"/>
      <c r="H455" s="50"/>
      <c r="I455" s="50"/>
    </row>
    <row r="456">
      <c r="A456" s="34"/>
      <c r="F456" s="50"/>
      <c r="G456" s="50"/>
      <c r="H456" s="50"/>
      <c r="I456" s="50"/>
    </row>
    <row r="457">
      <c r="A457" s="34"/>
      <c r="F457" s="50"/>
      <c r="G457" s="50"/>
      <c r="H457" s="50"/>
      <c r="I457" s="50"/>
    </row>
    <row r="458">
      <c r="A458" s="34"/>
      <c r="F458" s="50"/>
      <c r="G458" s="50"/>
      <c r="H458" s="50"/>
      <c r="I458" s="50"/>
    </row>
    <row r="459">
      <c r="A459" s="34"/>
      <c r="F459" s="50"/>
      <c r="G459" s="50"/>
      <c r="H459" s="50"/>
      <c r="I459" s="50"/>
    </row>
    <row r="460">
      <c r="A460" s="34"/>
      <c r="F460" s="50"/>
      <c r="G460" s="50"/>
      <c r="H460" s="50"/>
      <c r="I460" s="50"/>
    </row>
    <row r="461">
      <c r="A461" s="34"/>
      <c r="F461" s="50"/>
      <c r="G461" s="50"/>
      <c r="H461" s="50"/>
      <c r="I461" s="50"/>
    </row>
    <row r="462">
      <c r="A462" s="34"/>
      <c r="F462" s="50"/>
      <c r="G462" s="50"/>
      <c r="H462" s="50"/>
      <c r="I462" s="50"/>
    </row>
    <row r="463">
      <c r="A463" s="34"/>
      <c r="F463" s="50"/>
      <c r="G463" s="50"/>
      <c r="H463" s="50"/>
      <c r="I463" s="50"/>
    </row>
    <row r="464">
      <c r="A464" s="34"/>
      <c r="F464" s="50"/>
      <c r="G464" s="50"/>
      <c r="H464" s="50"/>
      <c r="I464" s="50"/>
    </row>
    <row r="465">
      <c r="A465" s="34"/>
      <c r="F465" s="50"/>
      <c r="G465" s="50"/>
      <c r="H465" s="50"/>
      <c r="I465" s="50"/>
    </row>
    <row r="466">
      <c r="A466" s="34"/>
      <c r="F466" s="50"/>
      <c r="G466" s="50"/>
      <c r="H466" s="50"/>
      <c r="I466" s="50"/>
    </row>
    <row r="467">
      <c r="A467" s="34"/>
      <c r="F467" s="50"/>
      <c r="G467" s="50"/>
      <c r="H467" s="50"/>
      <c r="I467" s="50"/>
    </row>
    <row r="468">
      <c r="A468" s="34"/>
      <c r="F468" s="50"/>
      <c r="G468" s="50"/>
      <c r="H468" s="50"/>
      <c r="I468" s="50"/>
    </row>
    <row r="469">
      <c r="A469" s="34"/>
      <c r="F469" s="50"/>
      <c r="G469" s="50"/>
      <c r="H469" s="50"/>
      <c r="I469" s="50"/>
    </row>
    <row r="470">
      <c r="A470" s="34"/>
      <c r="F470" s="50"/>
      <c r="G470" s="50"/>
      <c r="H470" s="50"/>
      <c r="I470" s="50"/>
    </row>
    <row r="471">
      <c r="A471" s="34"/>
      <c r="F471" s="50"/>
      <c r="G471" s="50"/>
      <c r="H471" s="50"/>
      <c r="I471" s="50"/>
    </row>
    <row r="472">
      <c r="A472" s="34"/>
      <c r="F472" s="50"/>
      <c r="G472" s="50"/>
      <c r="H472" s="50"/>
      <c r="I472" s="50"/>
    </row>
    <row r="473">
      <c r="A473" s="34"/>
      <c r="F473" s="50"/>
      <c r="G473" s="50"/>
      <c r="H473" s="50"/>
      <c r="I473" s="50"/>
    </row>
    <row r="474">
      <c r="A474" s="34"/>
      <c r="F474" s="50"/>
      <c r="G474" s="50"/>
      <c r="H474" s="50"/>
      <c r="I474" s="50"/>
    </row>
    <row r="475">
      <c r="A475" s="34"/>
      <c r="F475" s="50"/>
      <c r="G475" s="50"/>
      <c r="H475" s="50"/>
      <c r="I475" s="50"/>
    </row>
    <row r="476">
      <c r="A476" s="34"/>
      <c r="F476" s="50"/>
      <c r="G476" s="50"/>
      <c r="H476" s="50"/>
      <c r="I476" s="50"/>
    </row>
    <row r="477">
      <c r="A477" s="34"/>
      <c r="F477" s="50"/>
      <c r="G477" s="50"/>
      <c r="H477" s="50"/>
      <c r="I477" s="50"/>
    </row>
    <row r="478">
      <c r="A478" s="34"/>
      <c r="F478" s="50"/>
      <c r="G478" s="50"/>
      <c r="H478" s="50"/>
      <c r="I478" s="50"/>
    </row>
    <row r="479">
      <c r="A479" s="34"/>
      <c r="F479" s="50"/>
      <c r="G479" s="50"/>
      <c r="H479" s="50"/>
      <c r="I479" s="50"/>
    </row>
    <row r="480">
      <c r="A480" s="34"/>
      <c r="F480" s="50"/>
      <c r="G480" s="50"/>
      <c r="H480" s="50"/>
      <c r="I480" s="50"/>
    </row>
    <row r="481">
      <c r="A481" s="34"/>
      <c r="F481" s="50"/>
      <c r="G481" s="50"/>
      <c r="H481" s="50"/>
      <c r="I481" s="50"/>
    </row>
    <row r="482">
      <c r="A482" s="34"/>
      <c r="F482" s="50"/>
      <c r="G482" s="50"/>
      <c r="H482" s="50"/>
      <c r="I482" s="50"/>
    </row>
    <row r="483">
      <c r="A483" s="34"/>
      <c r="F483" s="50"/>
      <c r="G483" s="50"/>
      <c r="H483" s="50"/>
      <c r="I483" s="50"/>
    </row>
    <row r="484">
      <c r="A484" s="34"/>
      <c r="F484" s="50"/>
      <c r="G484" s="50"/>
      <c r="H484" s="50"/>
      <c r="I484" s="50"/>
    </row>
    <row r="485">
      <c r="A485" s="34"/>
      <c r="F485" s="50"/>
      <c r="G485" s="50"/>
      <c r="H485" s="50"/>
      <c r="I485" s="50"/>
    </row>
    <row r="486">
      <c r="A486" s="34"/>
      <c r="F486" s="50"/>
      <c r="G486" s="50"/>
      <c r="H486" s="50"/>
      <c r="I486" s="50"/>
    </row>
    <row r="487">
      <c r="A487" s="34"/>
      <c r="F487" s="50"/>
      <c r="G487" s="50"/>
      <c r="H487" s="50"/>
      <c r="I487" s="50"/>
    </row>
    <row r="488">
      <c r="A488" s="34"/>
      <c r="F488" s="50"/>
      <c r="G488" s="50"/>
      <c r="H488" s="50"/>
      <c r="I488" s="50"/>
    </row>
    <row r="489">
      <c r="A489" s="34"/>
      <c r="F489" s="50"/>
      <c r="G489" s="50"/>
      <c r="H489" s="50"/>
      <c r="I489" s="50"/>
    </row>
    <row r="490">
      <c r="A490" s="34"/>
      <c r="F490" s="50"/>
      <c r="G490" s="50"/>
      <c r="H490" s="50"/>
      <c r="I490" s="50"/>
    </row>
    <row r="491">
      <c r="A491" s="34"/>
      <c r="F491" s="50"/>
      <c r="G491" s="50"/>
      <c r="H491" s="50"/>
      <c r="I491" s="50"/>
    </row>
    <row r="492">
      <c r="A492" s="34"/>
      <c r="F492" s="50"/>
      <c r="G492" s="50"/>
      <c r="H492" s="50"/>
      <c r="I492" s="50"/>
    </row>
    <row r="493">
      <c r="A493" s="34"/>
      <c r="F493" s="50"/>
      <c r="G493" s="50"/>
      <c r="H493" s="50"/>
      <c r="I493" s="50"/>
    </row>
    <row r="494">
      <c r="A494" s="34"/>
      <c r="F494" s="50"/>
      <c r="G494" s="50"/>
      <c r="H494" s="50"/>
      <c r="I494" s="50"/>
    </row>
    <row r="495">
      <c r="A495" s="34"/>
      <c r="F495" s="50"/>
      <c r="G495" s="50"/>
      <c r="H495" s="50"/>
      <c r="I495" s="50"/>
    </row>
    <row r="496">
      <c r="A496" s="34"/>
      <c r="F496" s="50"/>
      <c r="G496" s="50"/>
      <c r="H496" s="50"/>
      <c r="I496" s="50"/>
    </row>
    <row r="497">
      <c r="A497" s="34"/>
      <c r="F497" s="50"/>
      <c r="G497" s="50"/>
      <c r="H497" s="50"/>
      <c r="I497" s="50"/>
    </row>
    <row r="498">
      <c r="A498" s="34"/>
      <c r="F498" s="50"/>
      <c r="G498" s="50"/>
      <c r="H498" s="50"/>
      <c r="I498" s="50"/>
    </row>
    <row r="499">
      <c r="A499" s="34"/>
      <c r="F499" s="50"/>
      <c r="G499" s="50"/>
      <c r="H499" s="50"/>
      <c r="I499" s="50"/>
    </row>
    <row r="500">
      <c r="A500" s="34"/>
      <c r="F500" s="50"/>
      <c r="G500" s="50"/>
      <c r="H500" s="50"/>
      <c r="I500" s="50"/>
    </row>
    <row r="501">
      <c r="A501" s="34"/>
      <c r="F501" s="50"/>
      <c r="G501" s="50"/>
      <c r="H501" s="50"/>
      <c r="I501" s="50"/>
    </row>
    <row r="502">
      <c r="A502" s="34"/>
      <c r="F502" s="50"/>
      <c r="G502" s="50"/>
      <c r="H502" s="50"/>
      <c r="I502" s="50"/>
    </row>
    <row r="503">
      <c r="A503" s="34"/>
      <c r="F503" s="50"/>
      <c r="G503" s="50"/>
      <c r="H503" s="50"/>
      <c r="I503" s="50"/>
    </row>
    <row r="504">
      <c r="A504" s="34"/>
      <c r="F504" s="50"/>
      <c r="G504" s="50"/>
      <c r="H504" s="50"/>
      <c r="I504" s="50"/>
    </row>
    <row r="505">
      <c r="A505" s="34"/>
      <c r="F505" s="50"/>
      <c r="G505" s="50"/>
      <c r="H505" s="50"/>
      <c r="I505" s="50"/>
    </row>
    <row r="506">
      <c r="A506" s="34"/>
      <c r="F506" s="50"/>
      <c r="G506" s="50"/>
      <c r="H506" s="50"/>
      <c r="I506" s="50"/>
    </row>
    <row r="507">
      <c r="A507" s="34"/>
      <c r="F507" s="50"/>
      <c r="G507" s="50"/>
      <c r="H507" s="50"/>
      <c r="I507" s="50"/>
    </row>
    <row r="508">
      <c r="A508" s="34"/>
      <c r="F508" s="50"/>
      <c r="G508" s="50"/>
      <c r="H508" s="50"/>
      <c r="I508" s="50"/>
    </row>
    <row r="509">
      <c r="A509" s="34"/>
      <c r="F509" s="50"/>
      <c r="G509" s="50"/>
      <c r="H509" s="50"/>
      <c r="I509" s="50"/>
    </row>
    <row r="510">
      <c r="A510" s="34"/>
      <c r="F510" s="50"/>
      <c r="G510" s="50"/>
      <c r="H510" s="50"/>
      <c r="I510" s="50"/>
    </row>
    <row r="511">
      <c r="A511" s="34"/>
      <c r="F511" s="50"/>
      <c r="G511" s="50"/>
      <c r="H511" s="50"/>
      <c r="I511" s="50"/>
    </row>
    <row r="512">
      <c r="A512" s="34"/>
      <c r="F512" s="50"/>
      <c r="G512" s="50"/>
      <c r="H512" s="50"/>
      <c r="I512" s="50"/>
    </row>
    <row r="513">
      <c r="A513" s="34"/>
      <c r="F513" s="50"/>
      <c r="G513" s="50"/>
      <c r="H513" s="50"/>
      <c r="I513" s="50"/>
    </row>
    <row r="514">
      <c r="A514" s="34"/>
      <c r="F514" s="50"/>
      <c r="G514" s="50"/>
      <c r="H514" s="50"/>
      <c r="I514" s="50"/>
    </row>
    <row r="515">
      <c r="A515" s="34"/>
      <c r="F515" s="50"/>
      <c r="G515" s="50"/>
      <c r="H515" s="50"/>
      <c r="I515" s="50"/>
    </row>
    <row r="516">
      <c r="A516" s="34"/>
      <c r="F516" s="50"/>
      <c r="G516" s="50"/>
      <c r="H516" s="50"/>
      <c r="I516" s="50"/>
    </row>
    <row r="517">
      <c r="A517" s="34"/>
      <c r="F517" s="50"/>
      <c r="G517" s="50"/>
      <c r="H517" s="50"/>
      <c r="I517" s="50"/>
    </row>
    <row r="518">
      <c r="A518" s="34"/>
      <c r="F518" s="50"/>
      <c r="G518" s="50"/>
      <c r="H518" s="50"/>
      <c r="I518" s="50"/>
    </row>
    <row r="519">
      <c r="A519" s="34"/>
      <c r="F519" s="50"/>
      <c r="G519" s="50"/>
      <c r="H519" s="50"/>
      <c r="I519" s="50"/>
    </row>
    <row r="520">
      <c r="A520" s="34"/>
      <c r="F520" s="50"/>
      <c r="G520" s="50"/>
      <c r="H520" s="50"/>
      <c r="I520" s="50"/>
    </row>
    <row r="521">
      <c r="A521" s="34"/>
      <c r="F521" s="50"/>
      <c r="G521" s="50"/>
      <c r="H521" s="50"/>
      <c r="I521" s="50"/>
    </row>
    <row r="522">
      <c r="A522" s="34"/>
      <c r="F522" s="50"/>
      <c r="G522" s="50"/>
      <c r="H522" s="50"/>
      <c r="I522" s="50"/>
    </row>
    <row r="523">
      <c r="A523" s="34"/>
      <c r="F523" s="50"/>
      <c r="G523" s="50"/>
      <c r="H523" s="50"/>
      <c r="I523" s="50"/>
    </row>
    <row r="524">
      <c r="A524" s="34"/>
      <c r="F524" s="50"/>
      <c r="G524" s="50"/>
      <c r="H524" s="50"/>
      <c r="I524" s="50"/>
    </row>
    <row r="525">
      <c r="A525" s="34"/>
      <c r="F525" s="50"/>
      <c r="G525" s="50"/>
      <c r="H525" s="50"/>
      <c r="I525" s="50"/>
    </row>
    <row r="526">
      <c r="A526" s="34"/>
      <c r="F526" s="50"/>
      <c r="G526" s="50"/>
      <c r="H526" s="50"/>
      <c r="I526" s="50"/>
    </row>
    <row r="527">
      <c r="A527" s="34"/>
      <c r="F527" s="50"/>
      <c r="G527" s="50"/>
      <c r="H527" s="50"/>
      <c r="I527" s="50"/>
    </row>
    <row r="528">
      <c r="A528" s="34"/>
      <c r="F528" s="50"/>
      <c r="G528" s="50"/>
      <c r="H528" s="50"/>
      <c r="I528" s="50"/>
    </row>
    <row r="529">
      <c r="A529" s="34"/>
      <c r="F529" s="50"/>
      <c r="G529" s="50"/>
      <c r="H529" s="50"/>
      <c r="I529" s="50"/>
    </row>
    <row r="530">
      <c r="A530" s="34"/>
      <c r="F530" s="50"/>
      <c r="G530" s="50"/>
      <c r="H530" s="50"/>
      <c r="I530" s="50"/>
    </row>
    <row r="531">
      <c r="A531" s="34"/>
      <c r="F531" s="50"/>
      <c r="G531" s="50"/>
      <c r="H531" s="50"/>
      <c r="I531" s="50"/>
    </row>
    <row r="532">
      <c r="A532" s="34"/>
      <c r="F532" s="50"/>
      <c r="G532" s="50"/>
      <c r="H532" s="50"/>
      <c r="I532" s="50"/>
    </row>
    <row r="533">
      <c r="A533" s="34"/>
      <c r="F533" s="50"/>
      <c r="G533" s="50"/>
      <c r="H533" s="50"/>
      <c r="I533" s="50"/>
    </row>
    <row r="534">
      <c r="A534" s="34"/>
      <c r="F534" s="50"/>
      <c r="G534" s="50"/>
      <c r="H534" s="50"/>
      <c r="I534" s="50"/>
    </row>
    <row r="535">
      <c r="A535" s="34"/>
      <c r="F535" s="50"/>
      <c r="G535" s="50"/>
      <c r="H535" s="50"/>
      <c r="I535" s="50"/>
    </row>
    <row r="536">
      <c r="A536" s="34"/>
      <c r="F536" s="50"/>
      <c r="G536" s="50"/>
      <c r="H536" s="50"/>
      <c r="I536" s="50"/>
    </row>
    <row r="537">
      <c r="A537" s="34"/>
      <c r="F537" s="50"/>
      <c r="G537" s="50"/>
      <c r="H537" s="50"/>
      <c r="I537" s="50"/>
    </row>
    <row r="538">
      <c r="A538" s="34"/>
      <c r="F538" s="50"/>
      <c r="G538" s="50"/>
      <c r="H538" s="50"/>
      <c r="I538" s="50"/>
    </row>
    <row r="539">
      <c r="A539" s="34"/>
      <c r="F539" s="50"/>
      <c r="G539" s="50"/>
      <c r="H539" s="50"/>
      <c r="I539" s="50"/>
    </row>
    <row r="540">
      <c r="A540" s="34"/>
      <c r="F540" s="50"/>
      <c r="G540" s="50"/>
      <c r="H540" s="50"/>
      <c r="I540" s="50"/>
    </row>
    <row r="541">
      <c r="A541" s="34"/>
      <c r="F541" s="50"/>
      <c r="G541" s="50"/>
      <c r="H541" s="50"/>
      <c r="I541" s="50"/>
    </row>
    <row r="542">
      <c r="A542" s="34"/>
      <c r="F542" s="50"/>
      <c r="G542" s="50"/>
      <c r="H542" s="50"/>
      <c r="I542" s="50"/>
    </row>
    <row r="543">
      <c r="A543" s="34"/>
      <c r="F543" s="50"/>
      <c r="G543" s="50"/>
      <c r="H543" s="50"/>
      <c r="I543" s="50"/>
    </row>
    <row r="544">
      <c r="A544" s="34"/>
      <c r="F544" s="50"/>
      <c r="G544" s="50"/>
      <c r="H544" s="50"/>
      <c r="I544" s="50"/>
    </row>
    <row r="545">
      <c r="A545" s="34"/>
      <c r="F545" s="50"/>
      <c r="G545" s="50"/>
      <c r="H545" s="50"/>
      <c r="I545" s="50"/>
    </row>
    <row r="546">
      <c r="A546" s="34"/>
      <c r="F546" s="50"/>
      <c r="G546" s="50"/>
      <c r="H546" s="50"/>
      <c r="I546" s="50"/>
    </row>
    <row r="547">
      <c r="A547" s="34"/>
      <c r="F547" s="50"/>
      <c r="G547" s="50"/>
      <c r="H547" s="50"/>
      <c r="I547" s="50"/>
    </row>
    <row r="548">
      <c r="A548" s="34"/>
      <c r="F548" s="50"/>
      <c r="G548" s="50"/>
      <c r="H548" s="50"/>
      <c r="I548" s="50"/>
    </row>
    <row r="549">
      <c r="A549" s="34"/>
      <c r="F549" s="50"/>
      <c r="G549" s="50"/>
      <c r="H549" s="50"/>
      <c r="I549" s="50"/>
    </row>
    <row r="550">
      <c r="A550" s="34"/>
      <c r="F550" s="50"/>
      <c r="G550" s="50"/>
      <c r="H550" s="50"/>
      <c r="I550" s="50"/>
    </row>
    <row r="551">
      <c r="A551" s="34"/>
      <c r="F551" s="50"/>
      <c r="G551" s="50"/>
      <c r="H551" s="50"/>
      <c r="I551" s="50"/>
    </row>
    <row r="552">
      <c r="A552" s="34"/>
      <c r="F552" s="50"/>
      <c r="G552" s="50"/>
      <c r="H552" s="50"/>
      <c r="I552" s="50"/>
    </row>
    <row r="553">
      <c r="A553" s="34"/>
      <c r="F553" s="50"/>
      <c r="G553" s="50"/>
      <c r="H553" s="50"/>
      <c r="I553" s="50"/>
    </row>
    <row r="554">
      <c r="A554" s="34"/>
      <c r="F554" s="50"/>
      <c r="G554" s="50"/>
      <c r="H554" s="50"/>
      <c r="I554" s="50"/>
    </row>
    <row r="555">
      <c r="A555" s="34"/>
      <c r="F555" s="50"/>
      <c r="G555" s="50"/>
      <c r="H555" s="50"/>
      <c r="I555" s="50"/>
    </row>
    <row r="556">
      <c r="A556" s="34"/>
      <c r="F556" s="50"/>
      <c r="G556" s="50"/>
      <c r="H556" s="50"/>
      <c r="I556" s="50"/>
    </row>
    <row r="557">
      <c r="A557" s="34"/>
      <c r="F557" s="50"/>
      <c r="G557" s="50"/>
      <c r="H557" s="50"/>
      <c r="I557" s="50"/>
    </row>
    <row r="558">
      <c r="A558" s="34"/>
      <c r="F558" s="50"/>
      <c r="G558" s="50"/>
      <c r="H558" s="50"/>
      <c r="I558" s="50"/>
    </row>
    <row r="559">
      <c r="A559" s="34"/>
      <c r="F559" s="50"/>
      <c r="G559" s="50"/>
      <c r="H559" s="50"/>
      <c r="I559" s="50"/>
    </row>
    <row r="560">
      <c r="A560" s="34"/>
      <c r="F560" s="50"/>
      <c r="G560" s="50"/>
      <c r="H560" s="50"/>
      <c r="I560" s="50"/>
    </row>
    <row r="561">
      <c r="A561" s="34"/>
      <c r="F561" s="50"/>
      <c r="G561" s="50"/>
      <c r="H561" s="50"/>
      <c r="I561" s="50"/>
    </row>
    <row r="562">
      <c r="A562" s="34"/>
      <c r="F562" s="50"/>
      <c r="G562" s="50"/>
      <c r="H562" s="50"/>
      <c r="I562" s="50"/>
    </row>
    <row r="563">
      <c r="A563" s="34"/>
      <c r="F563" s="50"/>
      <c r="G563" s="50"/>
      <c r="H563" s="50"/>
      <c r="I563" s="50"/>
    </row>
    <row r="564">
      <c r="A564" s="34"/>
      <c r="F564" s="50"/>
      <c r="G564" s="50"/>
      <c r="H564" s="50"/>
      <c r="I564" s="50"/>
    </row>
    <row r="565">
      <c r="A565" s="34"/>
      <c r="F565" s="50"/>
      <c r="G565" s="50"/>
      <c r="H565" s="50"/>
      <c r="I565" s="50"/>
    </row>
    <row r="566">
      <c r="A566" s="34"/>
      <c r="F566" s="50"/>
      <c r="G566" s="50"/>
      <c r="H566" s="50"/>
      <c r="I566" s="50"/>
    </row>
    <row r="567">
      <c r="A567" s="34"/>
      <c r="F567" s="50"/>
      <c r="G567" s="50"/>
      <c r="H567" s="50"/>
      <c r="I567" s="50"/>
    </row>
    <row r="568">
      <c r="A568" s="34"/>
      <c r="F568" s="50"/>
      <c r="G568" s="50"/>
      <c r="H568" s="50"/>
      <c r="I568" s="50"/>
    </row>
    <row r="569">
      <c r="A569" s="34"/>
      <c r="F569" s="50"/>
      <c r="G569" s="50"/>
      <c r="H569" s="50"/>
      <c r="I569" s="50"/>
    </row>
    <row r="570">
      <c r="A570" s="34"/>
      <c r="F570" s="50"/>
      <c r="G570" s="50"/>
      <c r="H570" s="50"/>
      <c r="I570" s="50"/>
    </row>
    <row r="571">
      <c r="A571" s="34"/>
      <c r="F571" s="50"/>
      <c r="G571" s="50"/>
      <c r="H571" s="50"/>
      <c r="I571" s="50"/>
    </row>
    <row r="572">
      <c r="A572" s="34"/>
      <c r="F572" s="50"/>
      <c r="G572" s="50"/>
      <c r="H572" s="50"/>
      <c r="I572" s="50"/>
    </row>
    <row r="573">
      <c r="A573" s="34"/>
      <c r="F573" s="50"/>
      <c r="G573" s="50"/>
      <c r="H573" s="50"/>
      <c r="I573" s="50"/>
    </row>
    <row r="574">
      <c r="A574" s="34"/>
      <c r="F574" s="50"/>
      <c r="G574" s="50"/>
      <c r="H574" s="50"/>
      <c r="I574" s="50"/>
    </row>
    <row r="575">
      <c r="A575" s="34"/>
      <c r="F575" s="50"/>
      <c r="G575" s="50"/>
      <c r="H575" s="50"/>
      <c r="I575" s="50"/>
    </row>
    <row r="576">
      <c r="A576" s="34"/>
      <c r="F576" s="50"/>
      <c r="G576" s="50"/>
      <c r="H576" s="50"/>
      <c r="I576" s="50"/>
    </row>
    <row r="577">
      <c r="A577" s="34"/>
      <c r="F577" s="50"/>
      <c r="G577" s="50"/>
      <c r="H577" s="50"/>
      <c r="I577" s="50"/>
    </row>
    <row r="578">
      <c r="A578" s="34"/>
      <c r="F578" s="50"/>
      <c r="G578" s="50"/>
      <c r="H578" s="50"/>
      <c r="I578" s="50"/>
    </row>
    <row r="579">
      <c r="A579" s="34"/>
      <c r="F579" s="50"/>
      <c r="G579" s="50"/>
      <c r="H579" s="50"/>
      <c r="I579" s="50"/>
    </row>
    <row r="580">
      <c r="A580" s="34"/>
      <c r="F580" s="50"/>
      <c r="G580" s="50"/>
      <c r="H580" s="50"/>
      <c r="I580" s="50"/>
    </row>
    <row r="581">
      <c r="A581" s="34"/>
      <c r="F581" s="50"/>
      <c r="G581" s="50"/>
      <c r="H581" s="50"/>
      <c r="I581" s="50"/>
    </row>
    <row r="582">
      <c r="A582" s="34"/>
      <c r="F582" s="50"/>
      <c r="G582" s="50"/>
      <c r="H582" s="50"/>
      <c r="I582" s="50"/>
    </row>
    <row r="583">
      <c r="A583" s="34"/>
      <c r="F583" s="50"/>
      <c r="G583" s="50"/>
      <c r="H583" s="50"/>
      <c r="I583" s="50"/>
    </row>
    <row r="584">
      <c r="A584" s="34"/>
      <c r="F584" s="50"/>
      <c r="G584" s="50"/>
      <c r="H584" s="50"/>
      <c r="I584" s="50"/>
    </row>
    <row r="585">
      <c r="A585" s="34"/>
      <c r="F585" s="50"/>
      <c r="G585" s="50"/>
      <c r="H585" s="50"/>
      <c r="I585" s="50"/>
    </row>
    <row r="586">
      <c r="A586" s="34"/>
      <c r="F586" s="50"/>
      <c r="G586" s="50"/>
      <c r="H586" s="50"/>
      <c r="I586" s="50"/>
    </row>
    <row r="587">
      <c r="A587" s="34"/>
      <c r="F587" s="50"/>
      <c r="G587" s="50"/>
      <c r="H587" s="50"/>
      <c r="I587" s="50"/>
    </row>
    <row r="588">
      <c r="A588" s="34"/>
      <c r="F588" s="50"/>
      <c r="G588" s="50"/>
      <c r="H588" s="50"/>
      <c r="I588" s="50"/>
    </row>
    <row r="589">
      <c r="A589" s="34"/>
      <c r="F589" s="50"/>
      <c r="G589" s="50"/>
      <c r="H589" s="50"/>
      <c r="I589" s="50"/>
    </row>
    <row r="590">
      <c r="A590" s="34"/>
      <c r="F590" s="50"/>
      <c r="G590" s="50"/>
      <c r="H590" s="50"/>
      <c r="I590" s="50"/>
    </row>
    <row r="591">
      <c r="A591" s="34"/>
      <c r="F591" s="50"/>
      <c r="G591" s="50"/>
      <c r="H591" s="50"/>
      <c r="I591" s="50"/>
    </row>
    <row r="592">
      <c r="A592" s="34"/>
      <c r="F592" s="50"/>
      <c r="G592" s="50"/>
      <c r="H592" s="50"/>
      <c r="I592" s="50"/>
    </row>
    <row r="593">
      <c r="A593" s="34"/>
      <c r="F593" s="50"/>
      <c r="G593" s="50"/>
      <c r="H593" s="50"/>
      <c r="I593" s="50"/>
    </row>
    <row r="594">
      <c r="A594" s="34"/>
      <c r="F594" s="50"/>
      <c r="G594" s="50"/>
      <c r="H594" s="50"/>
      <c r="I594" s="50"/>
    </row>
    <row r="595">
      <c r="A595" s="34"/>
      <c r="F595" s="50"/>
      <c r="G595" s="50"/>
      <c r="H595" s="50"/>
      <c r="I595" s="50"/>
    </row>
    <row r="596">
      <c r="A596" s="34"/>
      <c r="F596" s="50"/>
      <c r="G596" s="50"/>
      <c r="H596" s="50"/>
      <c r="I596" s="50"/>
    </row>
    <row r="597">
      <c r="A597" s="34"/>
      <c r="F597" s="50"/>
      <c r="G597" s="50"/>
      <c r="H597" s="50"/>
      <c r="I597" s="50"/>
    </row>
    <row r="598">
      <c r="A598" s="34"/>
      <c r="F598" s="50"/>
      <c r="G598" s="50"/>
      <c r="H598" s="50"/>
      <c r="I598" s="50"/>
    </row>
    <row r="599">
      <c r="A599" s="34"/>
      <c r="F599" s="50"/>
      <c r="G599" s="50"/>
      <c r="H599" s="50"/>
      <c r="I599" s="50"/>
    </row>
    <row r="600">
      <c r="A600" s="34"/>
      <c r="F600" s="50"/>
      <c r="G600" s="50"/>
      <c r="H600" s="50"/>
      <c r="I600" s="50"/>
    </row>
    <row r="601">
      <c r="A601" s="34"/>
      <c r="F601" s="50"/>
      <c r="G601" s="50"/>
      <c r="H601" s="50"/>
      <c r="I601" s="50"/>
    </row>
    <row r="602">
      <c r="A602" s="34"/>
      <c r="F602" s="50"/>
      <c r="G602" s="50"/>
      <c r="H602" s="50"/>
      <c r="I602" s="50"/>
    </row>
    <row r="603">
      <c r="A603" s="34"/>
      <c r="F603" s="50"/>
      <c r="G603" s="50"/>
      <c r="H603" s="50"/>
      <c r="I603" s="50"/>
    </row>
    <row r="604">
      <c r="A604" s="34"/>
      <c r="F604" s="50"/>
      <c r="G604" s="50"/>
      <c r="H604" s="50"/>
      <c r="I604" s="50"/>
    </row>
    <row r="605">
      <c r="A605" s="34"/>
      <c r="F605" s="50"/>
      <c r="G605" s="50"/>
      <c r="H605" s="50"/>
      <c r="I605" s="50"/>
    </row>
    <row r="606">
      <c r="A606" s="34"/>
      <c r="F606" s="50"/>
      <c r="G606" s="50"/>
      <c r="H606" s="50"/>
      <c r="I606" s="50"/>
    </row>
    <row r="607">
      <c r="A607" s="34"/>
      <c r="F607" s="50"/>
      <c r="G607" s="50"/>
      <c r="H607" s="50"/>
      <c r="I607" s="50"/>
    </row>
    <row r="608">
      <c r="A608" s="34"/>
      <c r="F608" s="50"/>
      <c r="G608" s="50"/>
      <c r="H608" s="50"/>
      <c r="I608" s="50"/>
    </row>
    <row r="609">
      <c r="A609" s="34"/>
      <c r="F609" s="50"/>
      <c r="G609" s="50"/>
      <c r="H609" s="50"/>
      <c r="I609" s="50"/>
    </row>
    <row r="610">
      <c r="A610" s="34"/>
      <c r="F610" s="50"/>
      <c r="G610" s="50"/>
      <c r="H610" s="50"/>
      <c r="I610" s="50"/>
    </row>
    <row r="611">
      <c r="A611" s="34"/>
      <c r="F611" s="50"/>
      <c r="G611" s="50"/>
      <c r="H611" s="50"/>
      <c r="I611" s="50"/>
    </row>
    <row r="612">
      <c r="A612" s="34"/>
      <c r="F612" s="50"/>
      <c r="G612" s="50"/>
      <c r="H612" s="50"/>
      <c r="I612" s="50"/>
    </row>
    <row r="613">
      <c r="A613" s="34"/>
      <c r="F613" s="50"/>
      <c r="G613" s="50"/>
      <c r="H613" s="50"/>
      <c r="I613" s="50"/>
    </row>
    <row r="614">
      <c r="A614" s="34"/>
      <c r="F614" s="50"/>
      <c r="G614" s="50"/>
      <c r="H614" s="50"/>
      <c r="I614" s="50"/>
    </row>
    <row r="615">
      <c r="A615" s="34"/>
      <c r="F615" s="50"/>
      <c r="G615" s="50"/>
      <c r="H615" s="50"/>
      <c r="I615" s="50"/>
    </row>
    <row r="616">
      <c r="A616" s="34"/>
      <c r="F616" s="50"/>
      <c r="G616" s="50"/>
      <c r="H616" s="50"/>
      <c r="I616" s="50"/>
    </row>
    <row r="617">
      <c r="A617" s="34"/>
      <c r="F617" s="50"/>
      <c r="G617" s="50"/>
      <c r="H617" s="50"/>
      <c r="I617" s="50"/>
    </row>
    <row r="618">
      <c r="A618" s="34"/>
      <c r="F618" s="50"/>
      <c r="G618" s="50"/>
      <c r="H618" s="50"/>
      <c r="I618" s="50"/>
    </row>
    <row r="619">
      <c r="A619" s="34"/>
      <c r="F619" s="50"/>
      <c r="G619" s="50"/>
      <c r="H619" s="50"/>
      <c r="I619" s="50"/>
    </row>
    <row r="620">
      <c r="A620" s="34"/>
      <c r="F620" s="50"/>
      <c r="G620" s="50"/>
      <c r="H620" s="50"/>
      <c r="I620" s="50"/>
    </row>
    <row r="621">
      <c r="A621" s="34"/>
      <c r="F621" s="50"/>
      <c r="G621" s="50"/>
      <c r="H621" s="50"/>
      <c r="I621" s="50"/>
    </row>
    <row r="622">
      <c r="A622" s="34"/>
      <c r="F622" s="50"/>
      <c r="G622" s="50"/>
      <c r="H622" s="50"/>
      <c r="I622" s="50"/>
    </row>
    <row r="623">
      <c r="A623" s="34"/>
      <c r="F623" s="50"/>
      <c r="G623" s="50"/>
      <c r="H623" s="50"/>
      <c r="I623" s="50"/>
    </row>
    <row r="624">
      <c r="A624" s="34"/>
      <c r="F624" s="50"/>
      <c r="G624" s="50"/>
      <c r="H624" s="50"/>
      <c r="I624" s="50"/>
    </row>
    <row r="625">
      <c r="A625" s="34"/>
      <c r="F625" s="50"/>
      <c r="G625" s="50"/>
      <c r="H625" s="50"/>
      <c r="I625" s="50"/>
    </row>
    <row r="626">
      <c r="A626" s="34"/>
      <c r="F626" s="50"/>
      <c r="G626" s="50"/>
      <c r="H626" s="50"/>
      <c r="I626" s="50"/>
    </row>
    <row r="627">
      <c r="A627" s="34"/>
      <c r="F627" s="50"/>
      <c r="G627" s="50"/>
      <c r="H627" s="50"/>
      <c r="I627" s="50"/>
    </row>
    <row r="628">
      <c r="A628" s="34"/>
      <c r="F628" s="50"/>
      <c r="G628" s="50"/>
      <c r="H628" s="50"/>
      <c r="I628" s="50"/>
    </row>
    <row r="629">
      <c r="A629" s="34"/>
      <c r="F629" s="50"/>
      <c r="G629" s="50"/>
      <c r="H629" s="50"/>
      <c r="I629" s="50"/>
    </row>
    <row r="630">
      <c r="A630" s="34"/>
      <c r="F630" s="50"/>
      <c r="G630" s="50"/>
      <c r="H630" s="50"/>
      <c r="I630" s="50"/>
    </row>
    <row r="631">
      <c r="A631" s="34"/>
      <c r="F631" s="50"/>
      <c r="G631" s="50"/>
      <c r="H631" s="50"/>
      <c r="I631" s="50"/>
    </row>
    <row r="632">
      <c r="A632" s="34"/>
      <c r="F632" s="50"/>
      <c r="G632" s="50"/>
      <c r="H632" s="50"/>
      <c r="I632" s="50"/>
    </row>
    <row r="633">
      <c r="A633" s="34"/>
      <c r="F633" s="50"/>
      <c r="G633" s="50"/>
      <c r="H633" s="50"/>
      <c r="I633" s="50"/>
    </row>
    <row r="634">
      <c r="A634" s="34"/>
      <c r="F634" s="50"/>
      <c r="G634" s="50"/>
      <c r="H634" s="50"/>
      <c r="I634" s="50"/>
    </row>
    <row r="635">
      <c r="A635" s="34"/>
      <c r="F635" s="50"/>
      <c r="G635" s="50"/>
      <c r="H635" s="50"/>
      <c r="I635" s="50"/>
    </row>
    <row r="636">
      <c r="A636" s="34"/>
      <c r="F636" s="50"/>
      <c r="G636" s="50"/>
      <c r="H636" s="50"/>
      <c r="I636" s="50"/>
    </row>
    <row r="637">
      <c r="A637" s="34"/>
      <c r="F637" s="50"/>
      <c r="G637" s="50"/>
      <c r="H637" s="50"/>
      <c r="I637" s="50"/>
    </row>
    <row r="638">
      <c r="A638" s="34"/>
      <c r="F638" s="50"/>
      <c r="G638" s="50"/>
      <c r="H638" s="50"/>
      <c r="I638" s="50"/>
    </row>
    <row r="639">
      <c r="A639" s="34"/>
      <c r="F639" s="50"/>
      <c r="G639" s="50"/>
      <c r="H639" s="50"/>
      <c r="I639" s="50"/>
    </row>
    <row r="640">
      <c r="A640" s="34"/>
      <c r="F640" s="50"/>
      <c r="G640" s="50"/>
      <c r="H640" s="50"/>
      <c r="I640" s="50"/>
    </row>
    <row r="641">
      <c r="A641" s="34"/>
      <c r="F641" s="50"/>
      <c r="G641" s="50"/>
      <c r="H641" s="50"/>
      <c r="I641" s="50"/>
    </row>
    <row r="642">
      <c r="A642" s="34"/>
      <c r="F642" s="50"/>
      <c r="G642" s="50"/>
      <c r="H642" s="50"/>
      <c r="I642" s="50"/>
    </row>
    <row r="643">
      <c r="A643" s="34"/>
      <c r="F643" s="50"/>
      <c r="G643" s="50"/>
      <c r="H643" s="50"/>
      <c r="I643" s="50"/>
    </row>
    <row r="644">
      <c r="A644" s="34"/>
      <c r="F644" s="50"/>
      <c r="G644" s="50"/>
      <c r="H644" s="50"/>
      <c r="I644" s="50"/>
    </row>
    <row r="645">
      <c r="A645" s="34"/>
      <c r="F645" s="50"/>
      <c r="G645" s="50"/>
      <c r="H645" s="50"/>
      <c r="I645" s="50"/>
    </row>
    <row r="646">
      <c r="A646" s="34"/>
      <c r="F646" s="50"/>
      <c r="G646" s="50"/>
      <c r="H646" s="50"/>
      <c r="I646" s="50"/>
    </row>
    <row r="647">
      <c r="A647" s="34"/>
      <c r="F647" s="50"/>
      <c r="G647" s="50"/>
      <c r="H647" s="50"/>
      <c r="I647" s="50"/>
    </row>
    <row r="648">
      <c r="A648" s="34"/>
      <c r="F648" s="50"/>
      <c r="G648" s="50"/>
      <c r="H648" s="50"/>
      <c r="I648" s="50"/>
    </row>
    <row r="649">
      <c r="A649" s="34"/>
      <c r="F649" s="50"/>
      <c r="G649" s="50"/>
      <c r="H649" s="50"/>
      <c r="I649" s="50"/>
    </row>
    <row r="650">
      <c r="A650" s="34"/>
      <c r="F650" s="50"/>
      <c r="G650" s="50"/>
      <c r="H650" s="50"/>
      <c r="I650" s="50"/>
    </row>
    <row r="651">
      <c r="A651" s="34"/>
      <c r="F651" s="50"/>
      <c r="G651" s="50"/>
      <c r="H651" s="50"/>
      <c r="I651" s="50"/>
    </row>
    <row r="652">
      <c r="A652" s="34"/>
      <c r="F652" s="50"/>
      <c r="G652" s="50"/>
      <c r="H652" s="50"/>
      <c r="I652" s="50"/>
    </row>
    <row r="653">
      <c r="A653" s="34"/>
      <c r="F653" s="50"/>
      <c r="G653" s="50"/>
      <c r="H653" s="50"/>
      <c r="I653" s="50"/>
    </row>
    <row r="654">
      <c r="A654" s="34"/>
      <c r="F654" s="50"/>
      <c r="G654" s="50"/>
      <c r="H654" s="50"/>
      <c r="I654" s="50"/>
    </row>
    <row r="655">
      <c r="A655" s="34"/>
      <c r="F655" s="50"/>
      <c r="G655" s="50"/>
      <c r="H655" s="50"/>
      <c r="I655" s="50"/>
    </row>
    <row r="656">
      <c r="A656" s="34"/>
      <c r="F656" s="50"/>
      <c r="G656" s="50"/>
      <c r="H656" s="50"/>
      <c r="I656" s="50"/>
    </row>
    <row r="657">
      <c r="A657" s="34"/>
      <c r="F657" s="50"/>
      <c r="G657" s="50"/>
      <c r="H657" s="50"/>
      <c r="I657" s="50"/>
    </row>
    <row r="658">
      <c r="A658" s="34"/>
      <c r="F658" s="50"/>
      <c r="G658" s="50"/>
      <c r="H658" s="50"/>
      <c r="I658" s="50"/>
    </row>
    <row r="659">
      <c r="A659" s="34"/>
      <c r="F659" s="50"/>
      <c r="G659" s="50"/>
      <c r="H659" s="50"/>
      <c r="I659" s="50"/>
    </row>
    <row r="660">
      <c r="A660" s="34"/>
      <c r="F660" s="50"/>
      <c r="G660" s="50"/>
      <c r="H660" s="50"/>
      <c r="I660" s="50"/>
    </row>
    <row r="661">
      <c r="A661" s="34"/>
      <c r="F661" s="50"/>
      <c r="G661" s="50"/>
      <c r="H661" s="50"/>
      <c r="I661" s="50"/>
    </row>
    <row r="662">
      <c r="A662" s="34"/>
      <c r="F662" s="50"/>
      <c r="G662" s="50"/>
      <c r="H662" s="50"/>
      <c r="I662" s="50"/>
    </row>
    <row r="663">
      <c r="A663" s="34"/>
      <c r="F663" s="50"/>
      <c r="G663" s="50"/>
      <c r="H663" s="50"/>
      <c r="I663" s="50"/>
    </row>
    <row r="664">
      <c r="A664" s="34"/>
      <c r="F664" s="50"/>
      <c r="G664" s="50"/>
      <c r="H664" s="50"/>
      <c r="I664" s="50"/>
    </row>
    <row r="665">
      <c r="A665" s="34"/>
      <c r="F665" s="50"/>
      <c r="G665" s="50"/>
      <c r="H665" s="50"/>
      <c r="I665" s="50"/>
    </row>
    <row r="666">
      <c r="A666" s="34"/>
      <c r="F666" s="50"/>
      <c r="G666" s="50"/>
      <c r="H666" s="50"/>
      <c r="I666" s="50"/>
    </row>
    <row r="667">
      <c r="A667" s="34"/>
      <c r="F667" s="50"/>
      <c r="G667" s="50"/>
      <c r="H667" s="50"/>
      <c r="I667" s="50"/>
    </row>
    <row r="668">
      <c r="A668" s="34"/>
      <c r="F668" s="50"/>
      <c r="G668" s="50"/>
      <c r="H668" s="50"/>
      <c r="I668" s="50"/>
    </row>
    <row r="669">
      <c r="A669" s="34"/>
      <c r="F669" s="50"/>
      <c r="G669" s="50"/>
      <c r="H669" s="50"/>
      <c r="I669" s="50"/>
    </row>
    <row r="670">
      <c r="A670" s="34"/>
      <c r="F670" s="50"/>
      <c r="G670" s="50"/>
      <c r="H670" s="50"/>
      <c r="I670" s="50"/>
    </row>
    <row r="671">
      <c r="A671" s="34"/>
      <c r="F671" s="50"/>
      <c r="G671" s="50"/>
      <c r="H671" s="50"/>
      <c r="I671" s="50"/>
    </row>
    <row r="672">
      <c r="A672" s="34"/>
      <c r="F672" s="50"/>
      <c r="G672" s="50"/>
      <c r="H672" s="50"/>
      <c r="I672" s="50"/>
    </row>
    <row r="673">
      <c r="A673" s="34"/>
      <c r="F673" s="50"/>
      <c r="G673" s="50"/>
      <c r="H673" s="50"/>
      <c r="I673" s="50"/>
    </row>
    <row r="674">
      <c r="A674" s="34"/>
      <c r="F674" s="50"/>
      <c r="G674" s="50"/>
      <c r="H674" s="50"/>
      <c r="I674" s="50"/>
    </row>
    <row r="675">
      <c r="A675" s="34"/>
      <c r="F675" s="50"/>
      <c r="G675" s="50"/>
      <c r="H675" s="50"/>
      <c r="I675" s="50"/>
    </row>
    <row r="676">
      <c r="A676" s="34"/>
      <c r="F676" s="50"/>
      <c r="G676" s="50"/>
      <c r="H676" s="50"/>
      <c r="I676" s="50"/>
    </row>
    <row r="677">
      <c r="A677" s="34"/>
      <c r="F677" s="50"/>
      <c r="G677" s="50"/>
      <c r="H677" s="50"/>
      <c r="I677" s="50"/>
    </row>
    <row r="678">
      <c r="A678" s="34"/>
      <c r="F678" s="50"/>
      <c r="G678" s="50"/>
      <c r="H678" s="50"/>
      <c r="I678" s="50"/>
    </row>
    <row r="679">
      <c r="A679" s="34"/>
      <c r="F679" s="50"/>
      <c r="G679" s="50"/>
      <c r="H679" s="50"/>
      <c r="I679" s="50"/>
    </row>
    <row r="680">
      <c r="A680" s="34"/>
      <c r="F680" s="50"/>
      <c r="G680" s="50"/>
      <c r="H680" s="50"/>
      <c r="I680" s="50"/>
    </row>
    <row r="681">
      <c r="A681" s="34"/>
      <c r="F681" s="50"/>
      <c r="G681" s="50"/>
      <c r="H681" s="50"/>
      <c r="I681" s="50"/>
    </row>
    <row r="682">
      <c r="A682" s="34"/>
      <c r="F682" s="50"/>
      <c r="G682" s="50"/>
      <c r="H682" s="50"/>
      <c r="I682" s="50"/>
    </row>
    <row r="683">
      <c r="A683" s="34"/>
      <c r="F683" s="50"/>
      <c r="G683" s="50"/>
      <c r="H683" s="50"/>
      <c r="I683" s="50"/>
    </row>
    <row r="684">
      <c r="A684" s="34"/>
      <c r="F684" s="50"/>
      <c r="G684" s="50"/>
      <c r="H684" s="50"/>
      <c r="I684" s="50"/>
    </row>
    <row r="685">
      <c r="A685" s="34"/>
      <c r="F685" s="50"/>
      <c r="G685" s="50"/>
      <c r="H685" s="50"/>
      <c r="I685" s="50"/>
    </row>
    <row r="686">
      <c r="A686" s="34"/>
      <c r="F686" s="50"/>
      <c r="G686" s="50"/>
      <c r="H686" s="50"/>
      <c r="I686" s="50"/>
    </row>
    <row r="687">
      <c r="A687" s="34"/>
      <c r="F687" s="50"/>
      <c r="G687" s="50"/>
      <c r="H687" s="50"/>
      <c r="I687" s="50"/>
    </row>
    <row r="688">
      <c r="A688" s="34"/>
      <c r="F688" s="50"/>
      <c r="G688" s="50"/>
      <c r="H688" s="50"/>
      <c r="I688" s="50"/>
    </row>
    <row r="689">
      <c r="A689" s="34"/>
      <c r="F689" s="50"/>
      <c r="G689" s="50"/>
      <c r="H689" s="50"/>
      <c r="I689" s="50"/>
    </row>
    <row r="690">
      <c r="A690" s="34"/>
      <c r="F690" s="50"/>
      <c r="G690" s="50"/>
      <c r="H690" s="50"/>
      <c r="I690" s="50"/>
    </row>
    <row r="691">
      <c r="A691" s="34"/>
      <c r="F691" s="50"/>
      <c r="G691" s="50"/>
      <c r="H691" s="50"/>
      <c r="I691" s="50"/>
    </row>
    <row r="692">
      <c r="A692" s="34"/>
      <c r="F692" s="50"/>
      <c r="G692" s="50"/>
      <c r="H692" s="50"/>
      <c r="I692" s="50"/>
    </row>
    <row r="693">
      <c r="A693" s="34"/>
      <c r="F693" s="50"/>
      <c r="G693" s="50"/>
      <c r="H693" s="50"/>
      <c r="I693" s="50"/>
    </row>
    <row r="694">
      <c r="A694" s="34"/>
      <c r="F694" s="50"/>
      <c r="G694" s="50"/>
      <c r="H694" s="50"/>
      <c r="I694" s="50"/>
    </row>
    <row r="695">
      <c r="A695" s="34"/>
      <c r="F695" s="50"/>
      <c r="G695" s="50"/>
      <c r="H695" s="50"/>
      <c r="I695" s="50"/>
    </row>
    <row r="696">
      <c r="A696" s="34"/>
      <c r="F696" s="50"/>
      <c r="G696" s="50"/>
      <c r="H696" s="50"/>
      <c r="I696" s="50"/>
    </row>
    <row r="697">
      <c r="A697" s="34"/>
      <c r="F697" s="50"/>
      <c r="G697" s="50"/>
      <c r="H697" s="50"/>
      <c r="I697" s="50"/>
    </row>
    <row r="698">
      <c r="A698" s="34"/>
      <c r="F698" s="50"/>
      <c r="G698" s="50"/>
      <c r="H698" s="50"/>
      <c r="I698" s="50"/>
    </row>
    <row r="699">
      <c r="A699" s="34"/>
      <c r="F699" s="50"/>
      <c r="G699" s="50"/>
      <c r="H699" s="50"/>
      <c r="I699" s="50"/>
    </row>
    <row r="700">
      <c r="A700" s="34"/>
      <c r="F700" s="50"/>
      <c r="G700" s="50"/>
      <c r="H700" s="50"/>
      <c r="I700" s="50"/>
    </row>
    <row r="701">
      <c r="A701" s="34"/>
      <c r="F701" s="50"/>
      <c r="G701" s="50"/>
      <c r="H701" s="50"/>
      <c r="I701" s="50"/>
    </row>
    <row r="702">
      <c r="A702" s="34"/>
      <c r="F702" s="50"/>
      <c r="G702" s="50"/>
      <c r="H702" s="50"/>
      <c r="I702" s="50"/>
    </row>
    <row r="703">
      <c r="A703" s="34"/>
      <c r="F703" s="50"/>
      <c r="G703" s="50"/>
      <c r="H703" s="50"/>
      <c r="I703" s="50"/>
    </row>
    <row r="704">
      <c r="A704" s="34"/>
      <c r="F704" s="50"/>
      <c r="G704" s="50"/>
      <c r="H704" s="50"/>
      <c r="I704" s="50"/>
    </row>
    <row r="705">
      <c r="A705" s="34"/>
      <c r="F705" s="50"/>
      <c r="G705" s="50"/>
      <c r="H705" s="50"/>
      <c r="I705" s="50"/>
    </row>
    <row r="706">
      <c r="A706" s="34"/>
      <c r="F706" s="50"/>
      <c r="G706" s="50"/>
      <c r="H706" s="50"/>
      <c r="I706" s="50"/>
    </row>
    <row r="707">
      <c r="A707" s="34"/>
      <c r="F707" s="50"/>
      <c r="G707" s="50"/>
      <c r="H707" s="50"/>
      <c r="I707" s="50"/>
    </row>
    <row r="708">
      <c r="A708" s="34"/>
      <c r="F708" s="50"/>
      <c r="G708" s="50"/>
      <c r="H708" s="50"/>
      <c r="I708" s="50"/>
    </row>
    <row r="709">
      <c r="A709" s="34"/>
      <c r="F709" s="50"/>
      <c r="G709" s="50"/>
      <c r="H709" s="50"/>
      <c r="I709" s="50"/>
    </row>
    <row r="710">
      <c r="A710" s="34"/>
      <c r="F710" s="50"/>
      <c r="G710" s="50"/>
      <c r="H710" s="50"/>
      <c r="I710" s="50"/>
    </row>
    <row r="711">
      <c r="A711" s="34"/>
      <c r="F711" s="50"/>
      <c r="G711" s="50"/>
      <c r="H711" s="50"/>
      <c r="I711" s="50"/>
    </row>
    <row r="712">
      <c r="A712" s="34"/>
      <c r="F712" s="50"/>
      <c r="G712" s="50"/>
      <c r="H712" s="50"/>
      <c r="I712" s="50"/>
    </row>
    <row r="713">
      <c r="A713" s="34"/>
      <c r="F713" s="50"/>
      <c r="G713" s="50"/>
      <c r="H713" s="50"/>
      <c r="I713" s="50"/>
    </row>
    <row r="714">
      <c r="A714" s="34"/>
      <c r="F714" s="50"/>
      <c r="G714" s="50"/>
      <c r="H714" s="50"/>
      <c r="I714" s="50"/>
    </row>
    <row r="715">
      <c r="A715" s="34"/>
      <c r="F715" s="50"/>
      <c r="G715" s="50"/>
      <c r="H715" s="50"/>
      <c r="I715" s="50"/>
    </row>
    <row r="716">
      <c r="A716" s="34"/>
      <c r="F716" s="50"/>
      <c r="G716" s="50"/>
      <c r="H716" s="50"/>
      <c r="I716" s="50"/>
    </row>
    <row r="717">
      <c r="A717" s="34"/>
      <c r="F717" s="50"/>
      <c r="G717" s="50"/>
      <c r="H717" s="50"/>
      <c r="I717" s="50"/>
    </row>
    <row r="718">
      <c r="A718" s="34"/>
      <c r="F718" s="50"/>
      <c r="G718" s="50"/>
      <c r="H718" s="50"/>
      <c r="I718" s="50"/>
    </row>
    <row r="719">
      <c r="A719" s="34"/>
      <c r="F719" s="50"/>
      <c r="G719" s="50"/>
      <c r="H719" s="50"/>
      <c r="I719" s="50"/>
    </row>
    <row r="720">
      <c r="A720" s="34"/>
      <c r="F720" s="50"/>
      <c r="G720" s="50"/>
      <c r="H720" s="50"/>
      <c r="I720" s="50"/>
    </row>
    <row r="721">
      <c r="A721" s="34"/>
      <c r="F721" s="50"/>
      <c r="G721" s="50"/>
      <c r="H721" s="50"/>
      <c r="I721" s="50"/>
    </row>
    <row r="722">
      <c r="A722" s="34"/>
      <c r="F722" s="50"/>
      <c r="G722" s="50"/>
      <c r="H722" s="50"/>
      <c r="I722" s="50"/>
    </row>
    <row r="723">
      <c r="A723" s="34"/>
      <c r="F723" s="50"/>
      <c r="G723" s="50"/>
      <c r="H723" s="50"/>
      <c r="I723" s="50"/>
    </row>
    <row r="724">
      <c r="A724" s="34"/>
      <c r="F724" s="50"/>
      <c r="G724" s="50"/>
      <c r="H724" s="50"/>
      <c r="I724" s="50"/>
    </row>
    <row r="725">
      <c r="A725" s="34"/>
      <c r="F725" s="50"/>
      <c r="G725" s="50"/>
      <c r="H725" s="50"/>
      <c r="I725" s="50"/>
    </row>
    <row r="726">
      <c r="A726" s="34"/>
      <c r="F726" s="50"/>
      <c r="G726" s="50"/>
      <c r="H726" s="50"/>
      <c r="I726" s="50"/>
    </row>
    <row r="727">
      <c r="A727" s="34"/>
      <c r="F727" s="50"/>
      <c r="G727" s="50"/>
      <c r="H727" s="50"/>
      <c r="I727" s="50"/>
    </row>
    <row r="728">
      <c r="A728" s="34"/>
      <c r="F728" s="50"/>
      <c r="G728" s="50"/>
      <c r="H728" s="50"/>
      <c r="I728" s="50"/>
    </row>
    <row r="729">
      <c r="A729" s="34"/>
      <c r="F729" s="50"/>
      <c r="G729" s="50"/>
      <c r="H729" s="50"/>
      <c r="I729" s="50"/>
    </row>
    <row r="730">
      <c r="A730" s="34"/>
      <c r="F730" s="50"/>
      <c r="G730" s="50"/>
      <c r="H730" s="50"/>
      <c r="I730" s="50"/>
    </row>
    <row r="731">
      <c r="A731" s="34"/>
      <c r="F731" s="50"/>
      <c r="G731" s="50"/>
      <c r="H731" s="50"/>
      <c r="I731" s="50"/>
    </row>
    <row r="732">
      <c r="A732" s="34"/>
      <c r="F732" s="50"/>
      <c r="G732" s="50"/>
      <c r="H732" s="50"/>
      <c r="I732" s="50"/>
    </row>
    <row r="733">
      <c r="A733" s="34"/>
      <c r="F733" s="50"/>
      <c r="G733" s="50"/>
      <c r="H733" s="50"/>
      <c r="I733" s="50"/>
    </row>
    <row r="734">
      <c r="A734" s="34"/>
      <c r="F734" s="50"/>
      <c r="G734" s="50"/>
      <c r="H734" s="50"/>
      <c r="I734" s="50"/>
    </row>
    <row r="735">
      <c r="A735" s="34"/>
      <c r="F735" s="50"/>
      <c r="G735" s="50"/>
      <c r="H735" s="50"/>
      <c r="I735" s="50"/>
    </row>
    <row r="736">
      <c r="A736" s="34"/>
      <c r="F736" s="50"/>
      <c r="G736" s="50"/>
      <c r="H736" s="50"/>
      <c r="I736" s="50"/>
    </row>
    <row r="737">
      <c r="A737" s="34"/>
      <c r="F737" s="50"/>
      <c r="G737" s="50"/>
      <c r="H737" s="50"/>
      <c r="I737" s="50"/>
    </row>
    <row r="738">
      <c r="A738" s="34"/>
      <c r="F738" s="50"/>
      <c r="G738" s="50"/>
      <c r="H738" s="50"/>
      <c r="I738" s="50"/>
    </row>
    <row r="739">
      <c r="A739" s="34"/>
      <c r="F739" s="50"/>
      <c r="G739" s="50"/>
      <c r="H739" s="50"/>
      <c r="I739" s="50"/>
    </row>
    <row r="740">
      <c r="A740" s="34"/>
      <c r="F740" s="50"/>
      <c r="G740" s="50"/>
      <c r="H740" s="50"/>
      <c r="I740" s="50"/>
    </row>
    <row r="741">
      <c r="A741" s="34"/>
      <c r="F741" s="50"/>
      <c r="G741" s="50"/>
      <c r="H741" s="50"/>
      <c r="I741" s="50"/>
    </row>
    <row r="742">
      <c r="A742" s="34"/>
      <c r="F742" s="50"/>
      <c r="G742" s="50"/>
      <c r="H742" s="50"/>
      <c r="I742" s="50"/>
    </row>
    <row r="743">
      <c r="A743" s="34"/>
      <c r="F743" s="50"/>
      <c r="G743" s="50"/>
      <c r="H743" s="50"/>
      <c r="I743" s="50"/>
    </row>
    <row r="744">
      <c r="A744" s="34"/>
      <c r="F744" s="50"/>
      <c r="G744" s="50"/>
      <c r="H744" s="50"/>
      <c r="I744" s="50"/>
    </row>
    <row r="745">
      <c r="A745" s="34"/>
      <c r="F745" s="50"/>
      <c r="G745" s="50"/>
      <c r="H745" s="50"/>
      <c r="I745" s="50"/>
    </row>
    <row r="746">
      <c r="A746" s="34"/>
      <c r="F746" s="50"/>
      <c r="G746" s="50"/>
      <c r="H746" s="50"/>
      <c r="I746" s="50"/>
    </row>
    <row r="747">
      <c r="A747" s="34"/>
      <c r="F747" s="50"/>
      <c r="G747" s="50"/>
      <c r="H747" s="50"/>
      <c r="I747" s="50"/>
    </row>
    <row r="748">
      <c r="A748" s="34"/>
      <c r="F748" s="50"/>
      <c r="G748" s="50"/>
      <c r="H748" s="50"/>
      <c r="I748" s="50"/>
    </row>
    <row r="749">
      <c r="A749" s="34"/>
      <c r="F749" s="50"/>
      <c r="G749" s="50"/>
      <c r="H749" s="50"/>
      <c r="I749" s="50"/>
    </row>
    <row r="750">
      <c r="A750" s="34"/>
      <c r="F750" s="50"/>
      <c r="G750" s="50"/>
      <c r="H750" s="50"/>
      <c r="I750" s="50"/>
    </row>
    <row r="751">
      <c r="A751" s="34"/>
      <c r="F751" s="50"/>
      <c r="G751" s="50"/>
      <c r="H751" s="50"/>
      <c r="I751" s="50"/>
    </row>
    <row r="752">
      <c r="A752" s="34"/>
      <c r="F752" s="50"/>
      <c r="G752" s="50"/>
      <c r="H752" s="50"/>
      <c r="I752" s="50"/>
    </row>
    <row r="753">
      <c r="A753" s="34"/>
      <c r="F753" s="50"/>
      <c r="G753" s="50"/>
      <c r="H753" s="50"/>
      <c r="I753" s="50"/>
    </row>
    <row r="754">
      <c r="A754" s="34"/>
      <c r="F754" s="50"/>
      <c r="G754" s="50"/>
      <c r="H754" s="50"/>
      <c r="I754" s="50"/>
    </row>
    <row r="755">
      <c r="A755" s="34"/>
      <c r="F755" s="50"/>
      <c r="G755" s="50"/>
      <c r="H755" s="50"/>
      <c r="I755" s="50"/>
    </row>
    <row r="756">
      <c r="A756" s="34"/>
      <c r="F756" s="50"/>
      <c r="G756" s="50"/>
      <c r="H756" s="50"/>
      <c r="I756" s="50"/>
    </row>
    <row r="757">
      <c r="A757" s="34"/>
      <c r="F757" s="50"/>
      <c r="G757" s="50"/>
      <c r="H757" s="50"/>
      <c r="I757" s="50"/>
    </row>
    <row r="758">
      <c r="A758" s="34"/>
      <c r="F758" s="50"/>
      <c r="G758" s="50"/>
      <c r="H758" s="50"/>
      <c r="I758" s="50"/>
    </row>
    <row r="759">
      <c r="A759" s="34"/>
      <c r="F759" s="50"/>
      <c r="G759" s="50"/>
      <c r="H759" s="50"/>
      <c r="I759" s="50"/>
    </row>
    <row r="760">
      <c r="A760" s="34"/>
      <c r="F760" s="50"/>
      <c r="G760" s="50"/>
      <c r="H760" s="50"/>
      <c r="I760" s="50"/>
    </row>
    <row r="761">
      <c r="A761" s="34"/>
      <c r="F761" s="50"/>
      <c r="G761" s="50"/>
      <c r="H761" s="50"/>
      <c r="I761" s="50"/>
    </row>
    <row r="762">
      <c r="A762" s="34"/>
      <c r="F762" s="50"/>
      <c r="G762" s="50"/>
      <c r="H762" s="50"/>
      <c r="I762" s="50"/>
    </row>
    <row r="763">
      <c r="A763" s="34"/>
      <c r="F763" s="50"/>
      <c r="G763" s="50"/>
      <c r="H763" s="50"/>
      <c r="I763" s="50"/>
    </row>
    <row r="764">
      <c r="A764" s="34"/>
      <c r="F764" s="50"/>
      <c r="G764" s="50"/>
      <c r="H764" s="50"/>
      <c r="I764" s="50"/>
    </row>
    <row r="765">
      <c r="A765" s="34"/>
      <c r="F765" s="50"/>
      <c r="G765" s="50"/>
      <c r="H765" s="50"/>
      <c r="I765" s="50"/>
    </row>
    <row r="766">
      <c r="A766" s="34"/>
      <c r="F766" s="50"/>
      <c r="G766" s="50"/>
      <c r="H766" s="50"/>
      <c r="I766" s="50"/>
    </row>
    <row r="767">
      <c r="A767" s="34"/>
      <c r="F767" s="50"/>
      <c r="G767" s="50"/>
      <c r="H767" s="50"/>
      <c r="I767" s="50"/>
    </row>
    <row r="768">
      <c r="A768" s="34"/>
      <c r="F768" s="50"/>
      <c r="G768" s="50"/>
      <c r="H768" s="50"/>
      <c r="I768" s="50"/>
    </row>
    <row r="769">
      <c r="A769" s="34"/>
      <c r="F769" s="50"/>
      <c r="G769" s="50"/>
      <c r="H769" s="50"/>
      <c r="I769" s="50"/>
    </row>
    <row r="770">
      <c r="A770" s="34"/>
      <c r="F770" s="50"/>
      <c r="G770" s="50"/>
      <c r="H770" s="50"/>
      <c r="I770" s="50"/>
    </row>
    <row r="771">
      <c r="A771" s="34"/>
      <c r="F771" s="50"/>
      <c r="G771" s="50"/>
      <c r="H771" s="50"/>
      <c r="I771" s="50"/>
    </row>
    <row r="772">
      <c r="A772" s="34"/>
      <c r="F772" s="50"/>
      <c r="G772" s="50"/>
      <c r="H772" s="50"/>
      <c r="I772" s="50"/>
    </row>
    <row r="773">
      <c r="A773" s="34"/>
      <c r="F773" s="50"/>
      <c r="G773" s="50"/>
      <c r="H773" s="50"/>
      <c r="I773" s="50"/>
    </row>
    <row r="774">
      <c r="A774" s="34"/>
      <c r="F774" s="50"/>
      <c r="G774" s="50"/>
      <c r="H774" s="50"/>
      <c r="I774" s="50"/>
    </row>
    <row r="775">
      <c r="A775" s="34"/>
      <c r="F775" s="50"/>
      <c r="G775" s="50"/>
      <c r="H775" s="50"/>
      <c r="I775" s="50"/>
    </row>
    <row r="776">
      <c r="A776" s="34"/>
      <c r="F776" s="50"/>
      <c r="G776" s="50"/>
      <c r="H776" s="50"/>
      <c r="I776" s="50"/>
    </row>
    <row r="777">
      <c r="A777" s="34"/>
      <c r="F777" s="50"/>
      <c r="G777" s="50"/>
      <c r="H777" s="50"/>
      <c r="I777" s="50"/>
    </row>
    <row r="778">
      <c r="A778" s="34"/>
      <c r="F778" s="50"/>
      <c r="G778" s="50"/>
      <c r="H778" s="50"/>
      <c r="I778" s="50"/>
    </row>
    <row r="779">
      <c r="A779" s="34"/>
      <c r="F779" s="50"/>
      <c r="G779" s="50"/>
      <c r="H779" s="50"/>
      <c r="I779" s="50"/>
    </row>
    <row r="780">
      <c r="A780" s="34"/>
      <c r="F780" s="50"/>
      <c r="G780" s="50"/>
      <c r="H780" s="50"/>
      <c r="I780" s="50"/>
    </row>
    <row r="781">
      <c r="A781" s="34"/>
      <c r="F781" s="50"/>
      <c r="G781" s="50"/>
      <c r="H781" s="50"/>
      <c r="I781" s="50"/>
    </row>
    <row r="782">
      <c r="A782" s="34"/>
      <c r="F782" s="50"/>
      <c r="G782" s="50"/>
      <c r="H782" s="50"/>
      <c r="I782" s="50"/>
    </row>
    <row r="783">
      <c r="A783" s="34"/>
      <c r="F783" s="50"/>
      <c r="G783" s="50"/>
      <c r="H783" s="50"/>
      <c r="I783" s="50"/>
    </row>
    <row r="784">
      <c r="A784" s="34"/>
      <c r="F784" s="50"/>
      <c r="G784" s="50"/>
      <c r="H784" s="50"/>
      <c r="I784" s="50"/>
    </row>
    <row r="785">
      <c r="A785" s="34"/>
      <c r="F785" s="50"/>
      <c r="G785" s="50"/>
      <c r="H785" s="50"/>
      <c r="I785" s="50"/>
    </row>
    <row r="786">
      <c r="A786" s="34"/>
      <c r="F786" s="50"/>
      <c r="G786" s="50"/>
      <c r="H786" s="50"/>
      <c r="I786" s="50"/>
    </row>
    <row r="787">
      <c r="A787" s="34"/>
      <c r="F787" s="50"/>
      <c r="G787" s="50"/>
      <c r="H787" s="50"/>
      <c r="I787" s="50"/>
    </row>
    <row r="788">
      <c r="A788" s="34"/>
      <c r="F788" s="50"/>
      <c r="G788" s="50"/>
      <c r="H788" s="50"/>
      <c r="I788" s="50"/>
    </row>
    <row r="789">
      <c r="A789" s="34"/>
      <c r="F789" s="50"/>
      <c r="G789" s="50"/>
      <c r="H789" s="50"/>
      <c r="I789" s="50"/>
    </row>
    <row r="790">
      <c r="A790" s="34"/>
      <c r="F790" s="50"/>
      <c r="G790" s="50"/>
      <c r="H790" s="50"/>
      <c r="I790" s="50"/>
    </row>
    <row r="791">
      <c r="A791" s="34"/>
      <c r="F791" s="50"/>
      <c r="G791" s="50"/>
      <c r="H791" s="50"/>
      <c r="I791" s="50"/>
    </row>
    <row r="792">
      <c r="A792" s="34"/>
      <c r="F792" s="50"/>
      <c r="G792" s="50"/>
      <c r="H792" s="50"/>
      <c r="I792" s="50"/>
    </row>
    <row r="793">
      <c r="A793" s="34"/>
      <c r="F793" s="50"/>
      <c r="G793" s="50"/>
      <c r="H793" s="50"/>
      <c r="I793" s="50"/>
    </row>
    <row r="794">
      <c r="A794" s="34"/>
      <c r="F794" s="50"/>
      <c r="G794" s="50"/>
      <c r="H794" s="50"/>
      <c r="I794" s="50"/>
    </row>
    <row r="795">
      <c r="A795" s="34"/>
      <c r="F795" s="50"/>
      <c r="G795" s="50"/>
      <c r="H795" s="50"/>
      <c r="I795" s="50"/>
    </row>
    <row r="796">
      <c r="A796" s="34"/>
      <c r="F796" s="50"/>
      <c r="G796" s="50"/>
      <c r="H796" s="50"/>
      <c r="I796" s="50"/>
    </row>
    <row r="797">
      <c r="A797" s="34"/>
      <c r="F797" s="50"/>
      <c r="G797" s="50"/>
      <c r="H797" s="50"/>
      <c r="I797" s="50"/>
    </row>
    <row r="798">
      <c r="A798" s="34"/>
      <c r="F798" s="50"/>
      <c r="G798" s="50"/>
      <c r="H798" s="50"/>
      <c r="I798" s="50"/>
    </row>
    <row r="799">
      <c r="A799" s="34"/>
      <c r="F799" s="50"/>
      <c r="G799" s="50"/>
      <c r="H799" s="50"/>
      <c r="I799" s="50"/>
    </row>
    <row r="800">
      <c r="A800" s="34"/>
      <c r="F800" s="50"/>
      <c r="G800" s="50"/>
      <c r="H800" s="50"/>
      <c r="I800" s="50"/>
    </row>
    <row r="801">
      <c r="A801" s="34"/>
      <c r="F801" s="50"/>
      <c r="G801" s="50"/>
      <c r="H801" s="50"/>
      <c r="I801" s="50"/>
    </row>
    <row r="802">
      <c r="A802" s="34"/>
      <c r="F802" s="50"/>
      <c r="G802" s="50"/>
      <c r="H802" s="50"/>
      <c r="I802" s="50"/>
    </row>
    <row r="803">
      <c r="A803" s="34"/>
      <c r="F803" s="50"/>
      <c r="G803" s="50"/>
      <c r="H803" s="50"/>
      <c r="I803" s="50"/>
    </row>
    <row r="804">
      <c r="A804" s="34"/>
      <c r="F804" s="50"/>
      <c r="G804" s="50"/>
      <c r="H804" s="50"/>
      <c r="I804" s="50"/>
    </row>
    <row r="805">
      <c r="A805" s="34"/>
      <c r="F805" s="50"/>
      <c r="G805" s="50"/>
      <c r="H805" s="50"/>
      <c r="I805" s="50"/>
    </row>
    <row r="806">
      <c r="A806" s="34"/>
      <c r="F806" s="50"/>
      <c r="G806" s="50"/>
      <c r="H806" s="50"/>
      <c r="I806" s="50"/>
    </row>
    <row r="807">
      <c r="A807" s="34"/>
      <c r="F807" s="50"/>
      <c r="G807" s="50"/>
      <c r="H807" s="50"/>
      <c r="I807" s="50"/>
    </row>
    <row r="808">
      <c r="A808" s="34"/>
      <c r="F808" s="50"/>
      <c r="G808" s="50"/>
      <c r="H808" s="50"/>
      <c r="I808" s="50"/>
    </row>
    <row r="809">
      <c r="A809" s="34"/>
      <c r="F809" s="50"/>
      <c r="G809" s="50"/>
      <c r="H809" s="50"/>
      <c r="I809" s="50"/>
    </row>
    <row r="810">
      <c r="A810" s="34"/>
      <c r="F810" s="50"/>
      <c r="G810" s="50"/>
      <c r="H810" s="50"/>
      <c r="I810" s="50"/>
    </row>
    <row r="811">
      <c r="A811" s="34"/>
      <c r="F811" s="50"/>
      <c r="G811" s="50"/>
      <c r="H811" s="50"/>
      <c r="I811" s="50"/>
    </row>
    <row r="812">
      <c r="A812" s="34"/>
      <c r="F812" s="50"/>
      <c r="G812" s="50"/>
      <c r="H812" s="50"/>
      <c r="I812" s="50"/>
    </row>
    <row r="813">
      <c r="A813" s="34"/>
      <c r="F813" s="50"/>
      <c r="G813" s="50"/>
      <c r="H813" s="50"/>
      <c r="I813" s="50"/>
    </row>
    <row r="814">
      <c r="A814" s="34"/>
      <c r="F814" s="50"/>
      <c r="G814" s="50"/>
      <c r="H814" s="50"/>
      <c r="I814" s="50"/>
    </row>
    <row r="815">
      <c r="A815" s="34"/>
      <c r="F815" s="50"/>
      <c r="G815" s="50"/>
      <c r="H815" s="50"/>
      <c r="I815" s="50"/>
    </row>
    <row r="816">
      <c r="A816" s="34"/>
      <c r="F816" s="50"/>
      <c r="G816" s="50"/>
      <c r="H816" s="50"/>
      <c r="I816" s="50"/>
    </row>
    <row r="817">
      <c r="A817" s="34"/>
      <c r="F817" s="50"/>
      <c r="G817" s="50"/>
      <c r="H817" s="50"/>
      <c r="I817" s="50"/>
    </row>
    <row r="818">
      <c r="A818" s="34"/>
      <c r="F818" s="50"/>
      <c r="G818" s="50"/>
      <c r="H818" s="50"/>
      <c r="I818" s="50"/>
    </row>
    <row r="819">
      <c r="A819" s="34"/>
      <c r="F819" s="50"/>
      <c r="G819" s="50"/>
      <c r="H819" s="50"/>
      <c r="I819" s="50"/>
    </row>
    <row r="820">
      <c r="A820" s="34"/>
      <c r="F820" s="50"/>
      <c r="G820" s="50"/>
      <c r="H820" s="50"/>
      <c r="I820" s="50"/>
    </row>
    <row r="821">
      <c r="A821" s="34"/>
      <c r="F821" s="50"/>
      <c r="G821" s="50"/>
      <c r="H821" s="50"/>
      <c r="I821" s="50"/>
    </row>
    <row r="822">
      <c r="A822" s="34"/>
      <c r="F822" s="50"/>
      <c r="G822" s="50"/>
      <c r="H822" s="50"/>
      <c r="I822" s="50"/>
    </row>
    <row r="823">
      <c r="A823" s="34"/>
      <c r="F823" s="50"/>
      <c r="G823" s="50"/>
      <c r="H823" s="50"/>
      <c r="I823" s="50"/>
    </row>
    <row r="824">
      <c r="A824" s="34"/>
      <c r="F824" s="50"/>
      <c r="G824" s="50"/>
      <c r="H824" s="50"/>
      <c r="I824" s="50"/>
    </row>
    <row r="825">
      <c r="A825" s="34"/>
      <c r="F825" s="50"/>
      <c r="G825" s="50"/>
      <c r="H825" s="50"/>
      <c r="I825" s="50"/>
    </row>
    <row r="826">
      <c r="A826" s="34"/>
      <c r="F826" s="50"/>
      <c r="G826" s="50"/>
      <c r="H826" s="50"/>
      <c r="I826" s="50"/>
    </row>
    <row r="827">
      <c r="A827" s="34"/>
      <c r="F827" s="50"/>
      <c r="G827" s="50"/>
      <c r="H827" s="50"/>
      <c r="I827" s="50"/>
    </row>
    <row r="828">
      <c r="A828" s="34"/>
      <c r="F828" s="50"/>
      <c r="G828" s="50"/>
      <c r="H828" s="50"/>
      <c r="I828" s="50"/>
    </row>
    <row r="829">
      <c r="A829" s="34"/>
      <c r="F829" s="50"/>
      <c r="G829" s="50"/>
      <c r="H829" s="50"/>
      <c r="I829" s="50"/>
    </row>
    <row r="830">
      <c r="A830" s="34"/>
      <c r="F830" s="50"/>
      <c r="G830" s="50"/>
      <c r="H830" s="50"/>
      <c r="I830" s="50"/>
    </row>
    <row r="831">
      <c r="A831" s="34"/>
      <c r="F831" s="50"/>
      <c r="G831" s="50"/>
      <c r="H831" s="50"/>
      <c r="I831" s="50"/>
    </row>
    <row r="832">
      <c r="A832" s="34"/>
      <c r="F832" s="50"/>
      <c r="G832" s="50"/>
      <c r="H832" s="50"/>
      <c r="I832" s="50"/>
    </row>
    <row r="833">
      <c r="A833" s="34"/>
      <c r="F833" s="50"/>
      <c r="G833" s="50"/>
      <c r="H833" s="50"/>
      <c r="I833" s="50"/>
    </row>
    <row r="834">
      <c r="A834" s="34"/>
      <c r="F834" s="50"/>
      <c r="G834" s="50"/>
      <c r="H834" s="50"/>
      <c r="I834" s="50"/>
    </row>
    <row r="835">
      <c r="A835" s="34"/>
      <c r="F835" s="50"/>
      <c r="G835" s="50"/>
      <c r="H835" s="50"/>
      <c r="I835" s="50"/>
    </row>
    <row r="836">
      <c r="A836" s="34"/>
      <c r="F836" s="50"/>
      <c r="G836" s="50"/>
      <c r="H836" s="50"/>
      <c r="I836" s="50"/>
    </row>
    <row r="837">
      <c r="A837" s="34"/>
      <c r="F837" s="50"/>
      <c r="G837" s="50"/>
      <c r="H837" s="50"/>
      <c r="I837" s="50"/>
    </row>
    <row r="838">
      <c r="A838" s="34"/>
      <c r="F838" s="50"/>
      <c r="G838" s="50"/>
      <c r="H838" s="50"/>
      <c r="I838" s="50"/>
    </row>
    <row r="839">
      <c r="A839" s="34"/>
      <c r="F839" s="50"/>
      <c r="G839" s="50"/>
      <c r="H839" s="50"/>
      <c r="I839" s="50"/>
    </row>
    <row r="840">
      <c r="A840" s="34"/>
      <c r="F840" s="50"/>
      <c r="G840" s="50"/>
      <c r="H840" s="50"/>
      <c r="I840" s="50"/>
    </row>
    <row r="841">
      <c r="A841" s="34"/>
      <c r="F841" s="50"/>
      <c r="G841" s="50"/>
      <c r="H841" s="50"/>
      <c r="I841" s="50"/>
    </row>
    <row r="842">
      <c r="A842" s="34"/>
      <c r="F842" s="50"/>
      <c r="G842" s="50"/>
      <c r="H842" s="50"/>
      <c r="I842" s="50"/>
    </row>
    <row r="843">
      <c r="A843" s="34"/>
      <c r="F843" s="50"/>
      <c r="G843" s="50"/>
      <c r="H843" s="50"/>
      <c r="I843" s="50"/>
    </row>
    <row r="844">
      <c r="A844" s="34"/>
      <c r="F844" s="50"/>
      <c r="G844" s="50"/>
      <c r="H844" s="50"/>
      <c r="I844" s="50"/>
    </row>
    <row r="845">
      <c r="A845" s="34"/>
      <c r="F845" s="50"/>
      <c r="G845" s="50"/>
      <c r="H845" s="50"/>
      <c r="I845" s="50"/>
    </row>
    <row r="846">
      <c r="A846" s="34"/>
      <c r="F846" s="50"/>
      <c r="G846" s="50"/>
      <c r="H846" s="50"/>
      <c r="I846" s="50"/>
    </row>
    <row r="847">
      <c r="A847" s="34"/>
      <c r="F847" s="50"/>
      <c r="G847" s="50"/>
      <c r="H847" s="50"/>
      <c r="I847" s="50"/>
    </row>
    <row r="848">
      <c r="A848" s="34"/>
      <c r="F848" s="50"/>
      <c r="G848" s="50"/>
      <c r="H848" s="50"/>
      <c r="I848" s="50"/>
    </row>
    <row r="849">
      <c r="A849" s="34"/>
      <c r="F849" s="50"/>
      <c r="G849" s="50"/>
      <c r="H849" s="50"/>
      <c r="I849" s="50"/>
    </row>
    <row r="850">
      <c r="A850" s="34"/>
      <c r="F850" s="50"/>
      <c r="G850" s="50"/>
      <c r="H850" s="50"/>
      <c r="I850" s="50"/>
    </row>
    <row r="851">
      <c r="A851" s="34"/>
      <c r="F851" s="50"/>
      <c r="G851" s="50"/>
      <c r="H851" s="50"/>
      <c r="I851" s="50"/>
    </row>
    <row r="852">
      <c r="A852" s="34"/>
      <c r="F852" s="50"/>
      <c r="G852" s="50"/>
      <c r="H852" s="50"/>
      <c r="I852" s="50"/>
    </row>
    <row r="853">
      <c r="A853" s="34"/>
      <c r="F853" s="50"/>
      <c r="G853" s="50"/>
      <c r="H853" s="50"/>
      <c r="I853" s="50"/>
    </row>
    <row r="854">
      <c r="A854" s="34"/>
      <c r="F854" s="50"/>
      <c r="G854" s="50"/>
      <c r="H854" s="50"/>
      <c r="I854" s="50"/>
    </row>
    <row r="855">
      <c r="A855" s="34"/>
      <c r="F855" s="50"/>
      <c r="G855" s="50"/>
      <c r="H855" s="50"/>
      <c r="I855" s="50"/>
    </row>
    <row r="856">
      <c r="A856" s="34"/>
      <c r="F856" s="50"/>
      <c r="G856" s="50"/>
      <c r="H856" s="50"/>
      <c r="I856" s="50"/>
    </row>
    <row r="857">
      <c r="A857" s="34"/>
      <c r="F857" s="50"/>
      <c r="G857" s="50"/>
      <c r="H857" s="50"/>
      <c r="I857" s="50"/>
    </row>
    <row r="858">
      <c r="A858" s="34"/>
      <c r="F858" s="50"/>
      <c r="G858" s="50"/>
      <c r="H858" s="50"/>
      <c r="I858" s="50"/>
    </row>
    <row r="859">
      <c r="A859" s="34"/>
      <c r="F859" s="50"/>
      <c r="G859" s="50"/>
      <c r="H859" s="50"/>
      <c r="I859" s="50"/>
    </row>
    <row r="860">
      <c r="A860" s="34"/>
      <c r="F860" s="50"/>
      <c r="G860" s="50"/>
      <c r="H860" s="50"/>
      <c r="I860" s="50"/>
    </row>
    <row r="861">
      <c r="A861" s="34"/>
      <c r="F861" s="50"/>
      <c r="G861" s="50"/>
      <c r="H861" s="50"/>
      <c r="I861" s="50"/>
    </row>
    <row r="862">
      <c r="A862" s="34"/>
      <c r="F862" s="50"/>
      <c r="G862" s="50"/>
      <c r="H862" s="50"/>
      <c r="I862" s="50"/>
    </row>
    <row r="863">
      <c r="A863" s="34"/>
      <c r="F863" s="50"/>
      <c r="G863" s="50"/>
      <c r="H863" s="50"/>
      <c r="I863" s="50"/>
    </row>
    <row r="864">
      <c r="A864" s="34"/>
      <c r="F864" s="50"/>
      <c r="G864" s="50"/>
      <c r="H864" s="50"/>
      <c r="I864" s="50"/>
    </row>
    <row r="865">
      <c r="A865" s="34"/>
      <c r="F865" s="50"/>
      <c r="G865" s="50"/>
      <c r="H865" s="50"/>
      <c r="I865" s="50"/>
    </row>
    <row r="866">
      <c r="A866" s="34"/>
      <c r="F866" s="50"/>
      <c r="G866" s="50"/>
      <c r="H866" s="50"/>
      <c r="I866" s="50"/>
    </row>
    <row r="867">
      <c r="A867" s="34"/>
      <c r="F867" s="50"/>
      <c r="G867" s="50"/>
      <c r="H867" s="50"/>
      <c r="I867" s="50"/>
    </row>
    <row r="868">
      <c r="A868" s="34"/>
      <c r="F868" s="50"/>
      <c r="G868" s="50"/>
      <c r="H868" s="50"/>
      <c r="I868" s="50"/>
    </row>
    <row r="869">
      <c r="A869" s="34"/>
      <c r="F869" s="50"/>
      <c r="G869" s="50"/>
      <c r="H869" s="50"/>
      <c r="I869" s="50"/>
    </row>
    <row r="870">
      <c r="A870" s="34"/>
      <c r="F870" s="50"/>
      <c r="G870" s="50"/>
      <c r="H870" s="50"/>
      <c r="I870" s="50"/>
    </row>
    <row r="871">
      <c r="A871" s="34"/>
      <c r="F871" s="50"/>
      <c r="G871" s="50"/>
      <c r="H871" s="50"/>
      <c r="I871" s="50"/>
    </row>
    <row r="872">
      <c r="A872" s="34"/>
      <c r="F872" s="50"/>
      <c r="G872" s="50"/>
      <c r="H872" s="50"/>
      <c r="I872" s="50"/>
    </row>
    <row r="873">
      <c r="A873" s="34"/>
      <c r="F873" s="50"/>
      <c r="G873" s="50"/>
      <c r="H873" s="50"/>
      <c r="I873" s="50"/>
    </row>
    <row r="874">
      <c r="A874" s="34"/>
      <c r="F874" s="50"/>
      <c r="G874" s="50"/>
      <c r="H874" s="50"/>
      <c r="I874" s="50"/>
    </row>
    <row r="875">
      <c r="A875" s="34"/>
      <c r="F875" s="50"/>
      <c r="G875" s="50"/>
      <c r="H875" s="50"/>
      <c r="I875" s="50"/>
    </row>
    <row r="876">
      <c r="A876" s="34"/>
      <c r="F876" s="50"/>
      <c r="G876" s="50"/>
      <c r="H876" s="50"/>
      <c r="I876" s="50"/>
    </row>
    <row r="877">
      <c r="A877" s="34"/>
      <c r="F877" s="50"/>
      <c r="G877" s="50"/>
      <c r="H877" s="50"/>
      <c r="I877" s="50"/>
    </row>
    <row r="878">
      <c r="A878" s="34"/>
      <c r="F878" s="50"/>
      <c r="G878" s="50"/>
      <c r="H878" s="50"/>
      <c r="I878" s="50"/>
    </row>
    <row r="879">
      <c r="A879" s="34"/>
      <c r="F879" s="50"/>
      <c r="G879" s="50"/>
      <c r="H879" s="50"/>
      <c r="I879" s="50"/>
    </row>
    <row r="880">
      <c r="A880" s="34"/>
      <c r="F880" s="50"/>
      <c r="G880" s="50"/>
      <c r="H880" s="50"/>
      <c r="I880" s="50"/>
    </row>
    <row r="881">
      <c r="A881" s="34"/>
      <c r="F881" s="50"/>
      <c r="G881" s="50"/>
      <c r="H881" s="50"/>
      <c r="I881" s="50"/>
    </row>
    <row r="882">
      <c r="A882" s="34"/>
      <c r="F882" s="50"/>
      <c r="G882" s="50"/>
      <c r="H882" s="50"/>
      <c r="I882" s="50"/>
    </row>
    <row r="883">
      <c r="A883" s="34"/>
      <c r="F883" s="50"/>
      <c r="G883" s="50"/>
      <c r="H883" s="50"/>
      <c r="I883" s="50"/>
    </row>
    <row r="884">
      <c r="A884" s="34"/>
      <c r="F884" s="50"/>
      <c r="G884" s="50"/>
      <c r="H884" s="50"/>
      <c r="I884" s="50"/>
    </row>
    <row r="885">
      <c r="A885" s="34"/>
      <c r="F885" s="50"/>
      <c r="G885" s="50"/>
      <c r="H885" s="50"/>
      <c r="I885" s="50"/>
    </row>
    <row r="886">
      <c r="A886" s="34"/>
      <c r="F886" s="50"/>
      <c r="G886" s="50"/>
      <c r="H886" s="50"/>
      <c r="I886" s="50"/>
    </row>
    <row r="887">
      <c r="A887" s="34"/>
      <c r="F887" s="50"/>
      <c r="G887" s="50"/>
      <c r="H887" s="50"/>
      <c r="I887" s="50"/>
    </row>
    <row r="888">
      <c r="A888" s="34"/>
      <c r="F888" s="50"/>
      <c r="G888" s="50"/>
      <c r="H888" s="50"/>
      <c r="I888" s="50"/>
    </row>
    <row r="889">
      <c r="A889" s="34"/>
      <c r="F889" s="50"/>
      <c r="G889" s="50"/>
      <c r="H889" s="50"/>
      <c r="I889" s="50"/>
    </row>
    <row r="890">
      <c r="A890" s="34"/>
      <c r="F890" s="50"/>
      <c r="G890" s="50"/>
      <c r="H890" s="50"/>
      <c r="I890" s="50"/>
    </row>
    <row r="891">
      <c r="A891" s="34"/>
      <c r="F891" s="50"/>
      <c r="G891" s="50"/>
      <c r="H891" s="50"/>
      <c r="I891" s="50"/>
    </row>
    <row r="892">
      <c r="A892" s="34"/>
      <c r="F892" s="50"/>
      <c r="G892" s="50"/>
      <c r="H892" s="50"/>
      <c r="I892" s="50"/>
    </row>
    <row r="893">
      <c r="A893" s="34"/>
      <c r="F893" s="50"/>
      <c r="G893" s="50"/>
      <c r="H893" s="50"/>
      <c r="I893" s="50"/>
    </row>
    <row r="894">
      <c r="A894" s="34"/>
      <c r="F894" s="50"/>
      <c r="G894" s="50"/>
      <c r="H894" s="50"/>
      <c r="I894" s="50"/>
    </row>
    <row r="895">
      <c r="A895" s="34"/>
      <c r="F895" s="50"/>
      <c r="G895" s="50"/>
      <c r="H895" s="50"/>
      <c r="I895" s="50"/>
    </row>
    <row r="896">
      <c r="A896" s="34"/>
      <c r="F896" s="50"/>
      <c r="G896" s="50"/>
      <c r="H896" s="50"/>
      <c r="I896" s="50"/>
    </row>
    <row r="897">
      <c r="A897" s="34"/>
      <c r="F897" s="50"/>
      <c r="G897" s="50"/>
      <c r="H897" s="50"/>
      <c r="I897" s="50"/>
    </row>
    <row r="898">
      <c r="A898" s="34"/>
      <c r="F898" s="50"/>
      <c r="G898" s="50"/>
      <c r="H898" s="50"/>
      <c r="I898" s="50"/>
    </row>
    <row r="899">
      <c r="A899" s="34"/>
      <c r="F899" s="50"/>
      <c r="G899" s="50"/>
      <c r="H899" s="50"/>
      <c r="I899" s="50"/>
    </row>
    <row r="900">
      <c r="A900" s="34"/>
      <c r="F900" s="50"/>
      <c r="G900" s="50"/>
      <c r="H900" s="50"/>
      <c r="I900" s="50"/>
    </row>
    <row r="901">
      <c r="A901" s="34"/>
      <c r="F901" s="50"/>
      <c r="G901" s="50"/>
      <c r="H901" s="50"/>
      <c r="I901" s="50"/>
    </row>
    <row r="902">
      <c r="A902" s="34"/>
      <c r="F902" s="50"/>
      <c r="G902" s="50"/>
      <c r="H902" s="50"/>
      <c r="I902" s="50"/>
    </row>
    <row r="903">
      <c r="A903" s="34"/>
      <c r="F903" s="50"/>
      <c r="G903" s="50"/>
      <c r="H903" s="50"/>
      <c r="I903" s="50"/>
    </row>
    <row r="904">
      <c r="A904" s="34"/>
      <c r="F904" s="50"/>
      <c r="G904" s="50"/>
      <c r="H904" s="50"/>
      <c r="I904" s="50"/>
    </row>
    <row r="905">
      <c r="A905" s="34"/>
      <c r="F905" s="50"/>
      <c r="G905" s="50"/>
      <c r="H905" s="50"/>
      <c r="I905" s="50"/>
    </row>
    <row r="906">
      <c r="A906" s="34"/>
      <c r="F906" s="50"/>
      <c r="G906" s="50"/>
      <c r="H906" s="50"/>
      <c r="I906" s="50"/>
    </row>
    <row r="907">
      <c r="A907" s="34"/>
      <c r="F907" s="50"/>
      <c r="G907" s="50"/>
      <c r="H907" s="50"/>
      <c r="I907" s="50"/>
    </row>
    <row r="908">
      <c r="A908" s="34"/>
      <c r="F908" s="50"/>
      <c r="G908" s="50"/>
      <c r="H908" s="50"/>
      <c r="I908" s="50"/>
    </row>
    <row r="909">
      <c r="A909" s="34"/>
      <c r="F909" s="50"/>
      <c r="G909" s="50"/>
      <c r="H909" s="50"/>
      <c r="I909" s="50"/>
    </row>
    <row r="910">
      <c r="A910" s="34"/>
      <c r="F910" s="50"/>
      <c r="G910" s="50"/>
      <c r="H910" s="50"/>
      <c r="I910" s="50"/>
    </row>
    <row r="911">
      <c r="A911" s="34"/>
      <c r="F911" s="50"/>
      <c r="G911" s="50"/>
      <c r="H911" s="50"/>
      <c r="I911" s="50"/>
    </row>
    <row r="912">
      <c r="A912" s="34"/>
      <c r="F912" s="50"/>
      <c r="G912" s="50"/>
      <c r="H912" s="50"/>
      <c r="I912" s="50"/>
    </row>
    <row r="913">
      <c r="A913" s="34"/>
      <c r="F913" s="50"/>
      <c r="G913" s="50"/>
      <c r="H913" s="50"/>
      <c r="I913" s="50"/>
    </row>
    <row r="914">
      <c r="A914" s="34"/>
      <c r="F914" s="50"/>
      <c r="G914" s="50"/>
      <c r="H914" s="50"/>
      <c r="I914" s="50"/>
    </row>
    <row r="915">
      <c r="A915" s="34"/>
      <c r="F915" s="50"/>
      <c r="G915" s="50"/>
      <c r="H915" s="50"/>
      <c r="I915" s="50"/>
    </row>
    <row r="916">
      <c r="A916" s="34"/>
      <c r="F916" s="50"/>
      <c r="G916" s="50"/>
      <c r="H916" s="50"/>
      <c r="I916" s="50"/>
    </row>
    <row r="917">
      <c r="A917" s="34"/>
      <c r="F917" s="50"/>
      <c r="G917" s="50"/>
      <c r="H917" s="50"/>
      <c r="I917" s="50"/>
    </row>
    <row r="918">
      <c r="A918" s="34"/>
      <c r="F918" s="50"/>
      <c r="G918" s="50"/>
      <c r="H918" s="50"/>
      <c r="I918" s="50"/>
    </row>
    <row r="919">
      <c r="A919" s="34"/>
      <c r="F919" s="50"/>
      <c r="G919" s="50"/>
      <c r="H919" s="50"/>
      <c r="I919" s="50"/>
    </row>
    <row r="920">
      <c r="A920" s="34"/>
      <c r="F920" s="50"/>
      <c r="G920" s="50"/>
      <c r="H920" s="50"/>
      <c r="I920" s="50"/>
    </row>
    <row r="921">
      <c r="A921" s="34"/>
      <c r="F921" s="50"/>
      <c r="G921" s="50"/>
      <c r="H921" s="50"/>
      <c r="I921" s="50"/>
    </row>
    <row r="922">
      <c r="A922" s="34"/>
      <c r="F922" s="50"/>
      <c r="G922" s="50"/>
      <c r="H922" s="50"/>
      <c r="I922" s="50"/>
    </row>
    <row r="923">
      <c r="A923" s="34"/>
      <c r="F923" s="50"/>
      <c r="G923" s="50"/>
      <c r="H923" s="50"/>
      <c r="I923" s="50"/>
    </row>
    <row r="924">
      <c r="A924" s="34"/>
      <c r="F924" s="50"/>
      <c r="G924" s="50"/>
      <c r="H924" s="50"/>
      <c r="I924" s="50"/>
    </row>
    <row r="925">
      <c r="A925" s="34"/>
      <c r="F925" s="50"/>
      <c r="G925" s="50"/>
      <c r="H925" s="50"/>
      <c r="I925" s="50"/>
    </row>
    <row r="926">
      <c r="A926" s="34"/>
      <c r="F926" s="50"/>
      <c r="G926" s="50"/>
      <c r="H926" s="50"/>
      <c r="I926" s="50"/>
    </row>
    <row r="927">
      <c r="A927" s="34"/>
      <c r="F927" s="50"/>
      <c r="G927" s="50"/>
      <c r="H927" s="50"/>
      <c r="I927" s="50"/>
    </row>
    <row r="928">
      <c r="A928" s="34"/>
      <c r="F928" s="50"/>
      <c r="G928" s="50"/>
      <c r="H928" s="50"/>
      <c r="I928" s="50"/>
    </row>
    <row r="929">
      <c r="A929" s="34"/>
      <c r="F929" s="50"/>
      <c r="G929" s="50"/>
      <c r="H929" s="50"/>
      <c r="I929" s="50"/>
    </row>
    <row r="930">
      <c r="A930" s="34"/>
      <c r="F930" s="50"/>
      <c r="G930" s="50"/>
      <c r="H930" s="50"/>
      <c r="I930" s="50"/>
    </row>
    <row r="931">
      <c r="A931" s="34"/>
      <c r="F931" s="50"/>
      <c r="G931" s="50"/>
      <c r="H931" s="50"/>
      <c r="I931" s="50"/>
    </row>
    <row r="932">
      <c r="A932" s="34"/>
      <c r="F932" s="50"/>
      <c r="G932" s="50"/>
      <c r="H932" s="50"/>
      <c r="I932" s="50"/>
    </row>
    <row r="933">
      <c r="A933" s="34"/>
      <c r="F933" s="50"/>
      <c r="G933" s="50"/>
      <c r="H933" s="50"/>
      <c r="I933" s="50"/>
    </row>
    <row r="934">
      <c r="A934" s="34"/>
      <c r="F934" s="50"/>
      <c r="G934" s="50"/>
      <c r="H934" s="50"/>
      <c r="I934" s="50"/>
    </row>
    <row r="935">
      <c r="A935" s="34"/>
      <c r="F935" s="50"/>
      <c r="G935" s="50"/>
      <c r="H935" s="50"/>
      <c r="I935" s="50"/>
    </row>
    <row r="936">
      <c r="A936" s="34"/>
      <c r="F936" s="50"/>
      <c r="G936" s="50"/>
      <c r="H936" s="50"/>
      <c r="I936" s="50"/>
    </row>
    <row r="937">
      <c r="A937" s="34"/>
      <c r="F937" s="50"/>
      <c r="G937" s="50"/>
      <c r="H937" s="50"/>
      <c r="I937" s="50"/>
    </row>
    <row r="938">
      <c r="A938" s="34"/>
      <c r="F938" s="50"/>
      <c r="G938" s="50"/>
      <c r="H938" s="50"/>
      <c r="I938" s="50"/>
    </row>
    <row r="939">
      <c r="A939" s="34"/>
      <c r="F939" s="50"/>
      <c r="G939" s="50"/>
      <c r="H939" s="50"/>
      <c r="I939" s="50"/>
    </row>
    <row r="940">
      <c r="A940" s="34"/>
      <c r="F940" s="50"/>
      <c r="G940" s="50"/>
      <c r="H940" s="50"/>
      <c r="I940" s="50"/>
    </row>
    <row r="941">
      <c r="A941" s="34"/>
      <c r="F941" s="50"/>
      <c r="G941" s="50"/>
      <c r="H941" s="50"/>
      <c r="I941" s="50"/>
    </row>
    <row r="942">
      <c r="A942" s="34"/>
      <c r="F942" s="50"/>
      <c r="G942" s="50"/>
      <c r="H942" s="50"/>
      <c r="I942" s="50"/>
    </row>
    <row r="943">
      <c r="A943" s="34"/>
      <c r="F943" s="50"/>
      <c r="G943" s="50"/>
      <c r="H943" s="50"/>
      <c r="I943" s="50"/>
    </row>
    <row r="944">
      <c r="A944" s="34"/>
      <c r="F944" s="50"/>
      <c r="G944" s="50"/>
      <c r="H944" s="50"/>
      <c r="I944" s="50"/>
    </row>
    <row r="945">
      <c r="A945" s="34"/>
      <c r="F945" s="50"/>
      <c r="G945" s="50"/>
      <c r="H945" s="50"/>
      <c r="I945" s="50"/>
    </row>
    <row r="946">
      <c r="A946" s="34"/>
      <c r="F946" s="50"/>
      <c r="G946" s="50"/>
      <c r="H946" s="50"/>
      <c r="I946" s="50"/>
    </row>
    <row r="947">
      <c r="A947" s="34"/>
      <c r="F947" s="50"/>
      <c r="G947" s="50"/>
      <c r="H947" s="50"/>
      <c r="I947" s="50"/>
    </row>
    <row r="948">
      <c r="A948" s="34"/>
      <c r="F948" s="50"/>
      <c r="G948" s="50"/>
      <c r="H948" s="50"/>
      <c r="I948" s="50"/>
    </row>
    <row r="949">
      <c r="A949" s="34"/>
      <c r="F949" s="50"/>
      <c r="G949" s="50"/>
      <c r="H949" s="50"/>
      <c r="I949" s="50"/>
    </row>
    <row r="950">
      <c r="A950" s="34"/>
      <c r="F950" s="50"/>
      <c r="G950" s="50"/>
      <c r="H950" s="50"/>
      <c r="I950" s="50"/>
    </row>
    <row r="951">
      <c r="A951" s="34"/>
      <c r="F951" s="50"/>
      <c r="G951" s="50"/>
      <c r="H951" s="50"/>
      <c r="I951" s="50"/>
    </row>
    <row r="952">
      <c r="A952" s="34"/>
      <c r="F952" s="50"/>
      <c r="G952" s="50"/>
      <c r="H952" s="50"/>
      <c r="I952" s="50"/>
    </row>
    <row r="953">
      <c r="A953" s="34"/>
      <c r="F953" s="50"/>
      <c r="G953" s="50"/>
      <c r="H953" s="50"/>
      <c r="I953" s="50"/>
    </row>
    <row r="954">
      <c r="A954" s="34"/>
      <c r="F954" s="50"/>
      <c r="G954" s="50"/>
      <c r="H954" s="50"/>
      <c r="I954" s="50"/>
    </row>
    <row r="955">
      <c r="A955" s="34"/>
      <c r="F955" s="50"/>
      <c r="G955" s="50"/>
      <c r="H955" s="50"/>
      <c r="I955" s="50"/>
    </row>
    <row r="956">
      <c r="A956" s="34"/>
      <c r="F956" s="50"/>
      <c r="G956" s="50"/>
      <c r="H956" s="50"/>
      <c r="I956" s="50"/>
    </row>
    <row r="957">
      <c r="A957" s="34"/>
      <c r="F957" s="50"/>
      <c r="G957" s="50"/>
      <c r="H957" s="50"/>
      <c r="I957" s="50"/>
    </row>
    <row r="958">
      <c r="A958" s="34"/>
      <c r="F958" s="50"/>
      <c r="G958" s="50"/>
      <c r="H958" s="50"/>
      <c r="I958" s="50"/>
    </row>
    <row r="959">
      <c r="A959" s="34"/>
      <c r="F959" s="50"/>
      <c r="G959" s="50"/>
      <c r="H959" s="50"/>
      <c r="I959" s="50"/>
    </row>
    <row r="960">
      <c r="A960" s="34"/>
      <c r="F960" s="50"/>
      <c r="G960" s="50"/>
      <c r="H960" s="50"/>
      <c r="I960" s="50"/>
    </row>
    <row r="961">
      <c r="A961" s="34"/>
      <c r="F961" s="50"/>
      <c r="G961" s="50"/>
      <c r="H961" s="50"/>
      <c r="I961" s="50"/>
    </row>
    <row r="962">
      <c r="A962" s="34"/>
      <c r="F962" s="50"/>
      <c r="G962" s="50"/>
      <c r="H962" s="50"/>
      <c r="I962" s="50"/>
    </row>
    <row r="963">
      <c r="A963" s="34"/>
      <c r="F963" s="50"/>
      <c r="G963" s="50"/>
      <c r="H963" s="50"/>
      <c r="I963" s="50"/>
    </row>
    <row r="964">
      <c r="A964" s="34"/>
      <c r="F964" s="50"/>
      <c r="G964" s="50"/>
      <c r="H964" s="50"/>
      <c r="I964" s="50"/>
    </row>
    <row r="965">
      <c r="A965" s="34"/>
      <c r="F965" s="50"/>
      <c r="G965" s="50"/>
      <c r="H965" s="50"/>
      <c r="I965" s="50"/>
    </row>
    <row r="966">
      <c r="A966" s="34"/>
      <c r="F966" s="50"/>
      <c r="G966" s="50"/>
      <c r="H966" s="50"/>
      <c r="I966" s="50"/>
    </row>
    <row r="967">
      <c r="A967" s="34"/>
      <c r="F967" s="50"/>
      <c r="G967" s="50"/>
      <c r="H967" s="50"/>
      <c r="I967" s="50"/>
    </row>
    <row r="968">
      <c r="A968" s="34"/>
      <c r="F968" s="50"/>
      <c r="G968" s="50"/>
      <c r="H968" s="50"/>
      <c r="I968" s="50"/>
    </row>
    <row r="969">
      <c r="A969" s="34"/>
      <c r="F969" s="50"/>
      <c r="G969" s="50"/>
      <c r="H969" s="50"/>
      <c r="I969" s="50"/>
    </row>
    <row r="970">
      <c r="A970" s="34"/>
      <c r="F970" s="50"/>
      <c r="G970" s="50"/>
      <c r="H970" s="50"/>
      <c r="I970" s="50"/>
    </row>
    <row r="971">
      <c r="A971" s="34"/>
      <c r="F971" s="50"/>
      <c r="G971" s="50"/>
      <c r="H971" s="50"/>
      <c r="I971" s="50"/>
    </row>
    <row r="972">
      <c r="A972" s="34"/>
      <c r="F972" s="50"/>
      <c r="G972" s="50"/>
      <c r="H972" s="50"/>
      <c r="I972" s="50"/>
    </row>
    <row r="973">
      <c r="A973" s="34"/>
      <c r="F973" s="50"/>
      <c r="G973" s="50"/>
      <c r="H973" s="50"/>
      <c r="I973" s="50"/>
    </row>
    <row r="974">
      <c r="A974" s="34"/>
      <c r="F974" s="50"/>
      <c r="G974" s="50"/>
      <c r="H974" s="50"/>
      <c r="I974" s="50"/>
    </row>
    <row r="975">
      <c r="A975" s="34"/>
      <c r="F975" s="50"/>
      <c r="G975" s="50"/>
      <c r="H975" s="50"/>
      <c r="I975" s="50"/>
    </row>
    <row r="976">
      <c r="A976" s="34"/>
      <c r="F976" s="50"/>
      <c r="G976" s="50"/>
      <c r="H976" s="50"/>
      <c r="I976" s="50"/>
    </row>
    <row r="977">
      <c r="A977" s="34"/>
      <c r="F977" s="50"/>
      <c r="G977" s="50"/>
      <c r="H977" s="50"/>
      <c r="I977" s="50"/>
    </row>
    <row r="978">
      <c r="A978" s="34"/>
      <c r="F978" s="50"/>
      <c r="G978" s="50"/>
      <c r="H978" s="50"/>
      <c r="I978" s="50"/>
    </row>
    <row r="979">
      <c r="A979" s="34"/>
      <c r="F979" s="50"/>
      <c r="G979" s="50"/>
      <c r="H979" s="50"/>
      <c r="I979" s="50"/>
    </row>
    <row r="980">
      <c r="A980" s="34"/>
      <c r="F980" s="50"/>
      <c r="G980" s="50"/>
      <c r="H980" s="50"/>
      <c r="I980" s="50"/>
    </row>
    <row r="981">
      <c r="A981" s="34"/>
      <c r="F981" s="50"/>
      <c r="G981" s="50"/>
      <c r="H981" s="50"/>
      <c r="I981" s="50"/>
    </row>
    <row r="982">
      <c r="A982" s="34"/>
      <c r="F982" s="50"/>
      <c r="G982" s="50"/>
      <c r="H982" s="50"/>
      <c r="I982" s="50"/>
    </row>
    <row r="983">
      <c r="A983" s="34"/>
      <c r="F983" s="50"/>
      <c r="G983" s="50"/>
      <c r="H983" s="50"/>
      <c r="I983" s="50"/>
    </row>
    <row r="984">
      <c r="A984" s="34"/>
      <c r="F984" s="50"/>
      <c r="G984" s="50"/>
      <c r="H984" s="50"/>
      <c r="I984" s="50"/>
    </row>
    <row r="985">
      <c r="A985" s="34"/>
      <c r="F985" s="50"/>
      <c r="G985" s="50"/>
      <c r="H985" s="50"/>
      <c r="I985" s="50"/>
    </row>
    <row r="986">
      <c r="A986" s="34"/>
      <c r="F986" s="50"/>
      <c r="G986" s="50"/>
      <c r="H986" s="50"/>
      <c r="I986" s="50"/>
    </row>
    <row r="987">
      <c r="A987" s="34"/>
      <c r="F987" s="50"/>
      <c r="G987" s="50"/>
      <c r="H987" s="50"/>
      <c r="I987" s="50"/>
    </row>
    <row r="988">
      <c r="A988" s="34"/>
      <c r="F988" s="50"/>
      <c r="G988" s="50"/>
      <c r="H988" s="50"/>
      <c r="I988" s="50"/>
    </row>
    <row r="989">
      <c r="A989" s="34"/>
      <c r="F989" s="50"/>
      <c r="G989" s="50"/>
      <c r="H989" s="50"/>
      <c r="I989" s="50"/>
    </row>
    <row r="990">
      <c r="A990" s="34"/>
      <c r="F990" s="50"/>
      <c r="G990" s="50"/>
      <c r="H990" s="50"/>
      <c r="I990" s="50"/>
    </row>
    <row r="991">
      <c r="A991" s="34"/>
      <c r="F991" s="50"/>
      <c r="G991" s="50"/>
      <c r="H991" s="50"/>
      <c r="I991" s="50"/>
    </row>
    <row r="992">
      <c r="A992" s="34"/>
      <c r="F992" s="50"/>
      <c r="G992" s="50"/>
      <c r="H992" s="50"/>
      <c r="I992" s="50"/>
    </row>
    <row r="993">
      <c r="A993" s="34"/>
      <c r="F993" s="50"/>
      <c r="G993" s="50"/>
      <c r="H993" s="50"/>
      <c r="I993" s="50"/>
    </row>
    <row r="994">
      <c r="A994" s="34"/>
      <c r="F994" s="50"/>
      <c r="G994" s="50"/>
      <c r="H994" s="50"/>
      <c r="I994" s="50"/>
    </row>
    <row r="995">
      <c r="A995" s="34"/>
      <c r="F995" s="50"/>
      <c r="G995" s="50"/>
      <c r="H995" s="50"/>
      <c r="I995" s="50"/>
    </row>
    <row r="996">
      <c r="A996" s="34"/>
      <c r="F996" s="50"/>
      <c r="G996" s="50"/>
      <c r="H996" s="50"/>
      <c r="I996" s="50"/>
    </row>
    <row r="997">
      <c r="A997" s="34"/>
      <c r="F997" s="50"/>
      <c r="G997" s="50"/>
      <c r="H997" s="50"/>
      <c r="I997" s="50"/>
    </row>
    <row r="998">
      <c r="A998" s="34"/>
      <c r="F998" s="50"/>
      <c r="G998" s="50"/>
      <c r="H998" s="50"/>
      <c r="I998" s="50"/>
    </row>
    <row r="999">
      <c r="A999" s="34"/>
      <c r="F999" s="50"/>
      <c r="G999" s="50"/>
      <c r="H999" s="50"/>
      <c r="I999" s="50"/>
    </row>
    <row r="1000">
      <c r="A1000" s="34"/>
      <c r="F1000" s="50"/>
      <c r="G1000" s="50"/>
      <c r="H1000" s="50"/>
      <c r="I1000" s="50"/>
    </row>
    <row r="1001">
      <c r="A1001" s="34"/>
      <c r="F1001" s="50"/>
      <c r="G1001" s="50"/>
      <c r="H1001" s="50"/>
      <c r="I1001" s="50"/>
    </row>
    <row r="1002">
      <c r="A1002" s="34"/>
      <c r="F1002" s="50"/>
      <c r="G1002" s="50"/>
      <c r="H1002" s="50"/>
      <c r="I1002" s="50"/>
    </row>
    <row r="1003">
      <c r="A1003" s="34"/>
      <c r="F1003" s="50"/>
      <c r="G1003" s="50"/>
      <c r="H1003" s="50"/>
      <c r="I1003" s="50"/>
    </row>
    <row r="1004">
      <c r="A1004" s="34"/>
      <c r="F1004" s="50"/>
      <c r="G1004" s="50"/>
      <c r="H1004" s="50"/>
      <c r="I1004" s="50"/>
    </row>
    <row r="1005">
      <c r="A1005" s="34"/>
      <c r="F1005" s="50"/>
      <c r="G1005" s="50"/>
      <c r="H1005" s="50"/>
      <c r="I1005" s="50"/>
    </row>
    <row r="1006">
      <c r="A1006" s="34"/>
      <c r="F1006" s="50"/>
      <c r="G1006" s="50"/>
      <c r="H1006" s="50"/>
      <c r="I1006" s="50"/>
    </row>
    <row r="1007">
      <c r="A1007" s="34"/>
      <c r="F1007" s="50"/>
      <c r="G1007" s="50"/>
      <c r="H1007" s="50"/>
      <c r="I1007" s="50"/>
    </row>
    <row r="1008">
      <c r="A1008" s="34"/>
      <c r="F1008" s="50"/>
      <c r="G1008" s="50"/>
      <c r="H1008" s="50"/>
      <c r="I1008" s="50"/>
    </row>
    <row r="1009">
      <c r="A1009" s="34"/>
      <c r="F1009" s="50"/>
      <c r="G1009" s="50"/>
      <c r="H1009" s="50"/>
      <c r="I1009" s="50"/>
    </row>
    <row r="1010">
      <c r="A1010" s="34"/>
      <c r="F1010" s="50"/>
      <c r="G1010" s="50"/>
      <c r="H1010" s="50"/>
      <c r="I1010" s="50"/>
    </row>
    <row r="1011">
      <c r="A1011" s="34"/>
      <c r="F1011" s="50"/>
      <c r="G1011" s="50"/>
      <c r="H1011" s="50"/>
      <c r="I1011" s="50"/>
    </row>
    <row r="1012">
      <c r="A1012" s="34"/>
      <c r="F1012" s="50"/>
      <c r="G1012" s="50"/>
      <c r="H1012" s="50"/>
      <c r="I1012" s="50"/>
    </row>
    <row r="1013">
      <c r="A1013" s="34"/>
      <c r="F1013" s="50"/>
      <c r="G1013" s="50"/>
      <c r="H1013" s="50"/>
      <c r="I1013" s="50"/>
    </row>
    <row r="1014">
      <c r="A1014" s="34"/>
      <c r="F1014" s="50"/>
      <c r="G1014" s="50"/>
      <c r="H1014" s="50"/>
      <c r="I1014" s="50"/>
    </row>
    <row r="1015">
      <c r="A1015" s="34"/>
      <c r="F1015" s="50"/>
      <c r="G1015" s="50"/>
      <c r="H1015" s="50"/>
      <c r="I1015" s="50"/>
    </row>
    <row r="1016">
      <c r="A1016" s="34"/>
      <c r="F1016" s="50"/>
      <c r="G1016" s="50"/>
      <c r="H1016" s="50"/>
      <c r="I1016" s="50"/>
    </row>
    <row r="1017">
      <c r="A1017" s="34"/>
      <c r="F1017" s="50"/>
      <c r="G1017" s="50"/>
      <c r="H1017" s="50"/>
      <c r="I1017" s="50"/>
    </row>
    <row r="1018">
      <c r="A1018" s="34"/>
      <c r="F1018" s="50"/>
      <c r="G1018" s="50"/>
      <c r="H1018" s="50"/>
      <c r="I1018" s="50"/>
    </row>
    <row r="1019">
      <c r="A1019" s="34"/>
      <c r="F1019" s="50"/>
      <c r="G1019" s="50"/>
      <c r="H1019" s="50"/>
      <c r="I1019" s="50"/>
    </row>
    <row r="1020">
      <c r="A1020" s="34"/>
      <c r="F1020" s="50"/>
      <c r="G1020" s="50"/>
      <c r="H1020" s="50"/>
      <c r="I1020" s="50"/>
    </row>
    <row r="1021">
      <c r="A1021" s="34"/>
      <c r="F1021" s="50"/>
      <c r="G1021" s="50"/>
      <c r="H1021" s="50"/>
      <c r="I1021" s="50"/>
    </row>
    <row r="1022">
      <c r="A1022" s="34"/>
      <c r="F1022" s="50"/>
      <c r="G1022" s="50"/>
      <c r="H1022" s="50"/>
      <c r="I1022" s="50"/>
    </row>
    <row r="1023">
      <c r="A1023" s="34"/>
      <c r="F1023" s="50"/>
      <c r="G1023" s="50"/>
      <c r="H1023" s="50"/>
      <c r="I1023" s="50"/>
    </row>
    <row r="1024">
      <c r="A1024" s="34"/>
      <c r="F1024" s="50"/>
      <c r="G1024" s="50"/>
      <c r="H1024" s="50"/>
      <c r="I1024" s="50"/>
    </row>
    <row r="1025">
      <c r="A1025" s="34"/>
      <c r="F1025" s="50"/>
      <c r="G1025" s="50"/>
      <c r="H1025" s="50"/>
      <c r="I1025" s="50"/>
    </row>
    <row r="1026">
      <c r="A1026" s="34"/>
      <c r="F1026" s="50"/>
      <c r="G1026" s="50"/>
      <c r="H1026" s="50"/>
      <c r="I1026" s="50"/>
    </row>
    <row r="1027">
      <c r="A1027" s="34"/>
      <c r="F1027" s="50"/>
      <c r="G1027" s="50"/>
      <c r="H1027" s="50"/>
      <c r="I1027" s="50"/>
    </row>
    <row r="1028">
      <c r="A1028" s="34"/>
      <c r="F1028" s="50"/>
      <c r="G1028" s="50"/>
      <c r="H1028" s="50"/>
      <c r="I1028" s="50"/>
    </row>
    <row r="1029">
      <c r="A1029" s="34"/>
      <c r="F1029" s="50"/>
      <c r="G1029" s="50"/>
      <c r="H1029" s="50"/>
      <c r="I1029" s="50"/>
    </row>
    <row r="1030">
      <c r="A1030" s="34"/>
      <c r="F1030" s="50"/>
      <c r="G1030" s="50"/>
      <c r="H1030" s="50"/>
      <c r="I1030" s="50"/>
    </row>
    <row r="1031">
      <c r="A1031" s="34"/>
      <c r="F1031" s="50"/>
      <c r="G1031" s="50"/>
      <c r="H1031" s="50"/>
      <c r="I1031" s="50"/>
    </row>
    <row r="1032">
      <c r="A1032" s="34"/>
      <c r="F1032" s="50"/>
      <c r="G1032" s="50"/>
      <c r="H1032" s="50"/>
      <c r="I1032" s="50"/>
    </row>
    <row r="1033">
      <c r="A1033" s="34"/>
      <c r="F1033" s="50"/>
      <c r="G1033" s="50"/>
      <c r="H1033" s="50"/>
      <c r="I1033" s="50"/>
    </row>
    <row r="1034">
      <c r="A1034" s="34"/>
      <c r="F1034" s="50"/>
      <c r="G1034" s="50"/>
      <c r="H1034" s="50"/>
      <c r="I1034" s="50"/>
    </row>
    <row r="1035">
      <c r="A1035" s="34"/>
      <c r="F1035" s="50"/>
      <c r="G1035" s="50"/>
      <c r="H1035" s="50"/>
      <c r="I1035" s="50"/>
    </row>
    <row r="1036">
      <c r="A1036" s="34"/>
      <c r="F1036" s="50"/>
      <c r="G1036" s="50"/>
      <c r="H1036" s="50"/>
      <c r="I1036" s="50"/>
    </row>
    <row r="1037">
      <c r="A1037" s="34"/>
      <c r="F1037" s="50"/>
      <c r="G1037" s="50"/>
      <c r="H1037" s="50"/>
      <c r="I1037" s="50"/>
    </row>
    <row r="1038">
      <c r="A1038" s="34"/>
      <c r="F1038" s="50"/>
      <c r="G1038" s="50"/>
      <c r="H1038" s="50"/>
      <c r="I1038" s="50"/>
    </row>
    <row r="1039">
      <c r="A1039" s="34"/>
      <c r="F1039" s="50"/>
      <c r="G1039" s="50"/>
      <c r="H1039" s="50"/>
      <c r="I1039" s="50"/>
    </row>
    <row r="1040">
      <c r="A1040" s="34"/>
      <c r="F1040" s="50"/>
      <c r="G1040" s="50"/>
      <c r="H1040" s="50"/>
      <c r="I1040" s="50"/>
    </row>
    <row r="1041">
      <c r="A1041" s="34"/>
      <c r="F1041" s="50"/>
      <c r="G1041" s="50"/>
      <c r="H1041" s="50"/>
      <c r="I1041" s="50"/>
    </row>
    <row r="1042">
      <c r="A1042" s="34"/>
      <c r="F1042" s="50"/>
      <c r="G1042" s="50"/>
      <c r="H1042" s="50"/>
      <c r="I1042" s="50"/>
    </row>
    <row r="1043">
      <c r="A1043" s="34"/>
      <c r="F1043" s="50"/>
      <c r="G1043" s="50"/>
      <c r="H1043" s="50"/>
      <c r="I1043" s="50"/>
    </row>
    <row r="1044">
      <c r="A1044" s="34"/>
      <c r="F1044" s="50"/>
      <c r="G1044" s="50"/>
      <c r="H1044" s="50"/>
      <c r="I1044" s="50"/>
    </row>
    <row r="1045">
      <c r="A1045" s="34"/>
      <c r="F1045" s="50"/>
      <c r="G1045" s="50"/>
      <c r="H1045" s="50"/>
      <c r="I1045" s="50"/>
    </row>
    <row r="1046">
      <c r="A1046" s="34"/>
      <c r="F1046" s="50"/>
      <c r="G1046" s="50"/>
      <c r="H1046" s="50"/>
      <c r="I1046" s="50"/>
    </row>
    <row r="1047">
      <c r="A1047" s="34"/>
      <c r="F1047" s="50"/>
      <c r="G1047" s="50"/>
      <c r="H1047" s="50"/>
      <c r="I1047" s="50"/>
    </row>
    <row r="1048">
      <c r="A1048" s="34"/>
      <c r="F1048" s="50"/>
      <c r="G1048" s="50"/>
      <c r="H1048" s="50"/>
      <c r="I1048" s="50"/>
    </row>
    <row r="1049">
      <c r="A1049" s="34"/>
      <c r="F1049" s="50"/>
      <c r="G1049" s="50"/>
      <c r="H1049" s="50"/>
      <c r="I1049" s="50"/>
    </row>
    <row r="1050">
      <c r="A1050" s="34"/>
      <c r="F1050" s="50"/>
      <c r="G1050" s="50"/>
      <c r="H1050" s="50"/>
      <c r="I1050" s="50"/>
    </row>
    <row r="1051">
      <c r="A1051" s="34"/>
      <c r="F1051" s="50"/>
      <c r="G1051" s="50"/>
      <c r="H1051" s="50"/>
      <c r="I1051" s="50"/>
    </row>
    <row r="1052">
      <c r="A1052" s="34"/>
      <c r="F1052" s="50"/>
      <c r="G1052" s="50"/>
      <c r="H1052" s="50"/>
      <c r="I1052" s="50"/>
    </row>
    <row r="1053">
      <c r="A1053" s="34"/>
      <c r="F1053" s="50"/>
      <c r="G1053" s="50"/>
      <c r="H1053" s="50"/>
      <c r="I1053" s="50"/>
    </row>
    <row r="1054">
      <c r="A1054" s="34"/>
      <c r="F1054" s="50"/>
      <c r="G1054" s="50"/>
      <c r="H1054" s="50"/>
      <c r="I1054" s="50"/>
    </row>
    <row r="1055">
      <c r="A1055" s="34"/>
      <c r="F1055" s="50"/>
      <c r="G1055" s="50"/>
      <c r="H1055" s="50"/>
      <c r="I1055" s="50"/>
    </row>
    <row r="1056">
      <c r="A1056" s="34"/>
      <c r="F1056" s="50"/>
      <c r="G1056" s="50"/>
      <c r="H1056" s="50"/>
      <c r="I1056" s="50"/>
    </row>
    <row r="1057">
      <c r="A1057" s="34"/>
      <c r="F1057" s="50"/>
      <c r="G1057" s="50"/>
      <c r="H1057" s="50"/>
      <c r="I1057" s="50"/>
    </row>
    <row r="1058">
      <c r="A1058" s="34"/>
      <c r="F1058" s="50"/>
      <c r="G1058" s="50"/>
      <c r="H1058" s="50"/>
      <c r="I1058" s="50"/>
    </row>
    <row r="1059">
      <c r="A1059" s="34"/>
      <c r="F1059" s="50"/>
      <c r="G1059" s="50"/>
      <c r="H1059" s="50"/>
      <c r="I1059" s="50"/>
    </row>
    <row r="1060">
      <c r="A1060" s="34"/>
      <c r="F1060" s="50"/>
      <c r="G1060" s="50"/>
      <c r="H1060" s="50"/>
      <c r="I1060" s="50"/>
    </row>
    <row r="1061">
      <c r="A1061" s="34"/>
      <c r="F1061" s="50"/>
      <c r="G1061" s="50"/>
      <c r="H1061" s="50"/>
      <c r="I1061" s="50"/>
    </row>
    <row r="1062">
      <c r="A1062" s="34"/>
      <c r="F1062" s="50"/>
      <c r="G1062" s="50"/>
      <c r="H1062" s="50"/>
      <c r="I1062" s="50"/>
    </row>
    <row r="1063">
      <c r="A1063" s="34"/>
      <c r="F1063" s="50"/>
      <c r="G1063" s="50"/>
      <c r="H1063" s="50"/>
      <c r="I1063" s="50"/>
    </row>
    <row r="1064">
      <c r="A1064" s="34"/>
      <c r="F1064" s="50"/>
      <c r="G1064" s="50"/>
      <c r="H1064" s="50"/>
      <c r="I1064" s="50"/>
    </row>
    <row r="1065">
      <c r="A1065" s="34"/>
      <c r="F1065" s="50"/>
      <c r="G1065" s="50"/>
      <c r="H1065" s="50"/>
      <c r="I1065" s="50"/>
    </row>
    <row r="1066">
      <c r="A1066" s="34"/>
      <c r="F1066" s="50"/>
      <c r="G1066" s="50"/>
      <c r="H1066" s="50"/>
      <c r="I1066" s="50"/>
    </row>
    <row r="1067">
      <c r="A1067" s="34"/>
      <c r="F1067" s="50"/>
      <c r="G1067" s="50"/>
      <c r="H1067" s="50"/>
      <c r="I1067" s="50"/>
    </row>
    <row r="1068">
      <c r="A1068" s="34"/>
      <c r="F1068" s="50"/>
      <c r="G1068" s="50"/>
      <c r="H1068" s="50"/>
      <c r="I1068" s="50"/>
    </row>
    <row r="1069">
      <c r="A1069" s="34"/>
      <c r="F1069" s="50"/>
      <c r="G1069" s="50"/>
      <c r="H1069" s="50"/>
      <c r="I1069" s="50"/>
    </row>
    <row r="1070">
      <c r="A1070" s="34"/>
      <c r="F1070" s="50"/>
      <c r="G1070" s="50"/>
      <c r="H1070" s="50"/>
      <c r="I1070" s="50"/>
    </row>
    <row r="1071">
      <c r="A1071" s="34"/>
      <c r="F1071" s="50"/>
      <c r="G1071" s="50"/>
      <c r="H1071" s="50"/>
      <c r="I1071" s="50"/>
    </row>
    <row r="1072">
      <c r="A1072" s="34"/>
      <c r="F1072" s="50"/>
      <c r="G1072" s="50"/>
      <c r="H1072" s="50"/>
      <c r="I1072" s="50"/>
    </row>
    <row r="1073">
      <c r="A1073" s="34"/>
      <c r="F1073" s="50"/>
      <c r="G1073" s="50"/>
      <c r="H1073" s="50"/>
      <c r="I1073" s="50"/>
    </row>
    <row r="1074">
      <c r="A1074" s="34"/>
      <c r="F1074" s="50"/>
      <c r="G1074" s="50"/>
      <c r="H1074" s="50"/>
      <c r="I1074" s="50"/>
    </row>
    <row r="1075">
      <c r="A1075" s="34"/>
      <c r="F1075" s="50"/>
      <c r="G1075" s="50"/>
      <c r="H1075" s="50"/>
      <c r="I1075" s="50"/>
    </row>
    <row r="1076">
      <c r="A1076" s="34"/>
      <c r="F1076" s="50"/>
      <c r="G1076" s="50"/>
      <c r="H1076" s="50"/>
      <c r="I1076" s="50"/>
    </row>
    <row r="1077">
      <c r="A1077" s="34"/>
      <c r="F1077" s="50"/>
      <c r="G1077" s="50"/>
      <c r="H1077" s="50"/>
      <c r="I1077" s="50"/>
    </row>
    <row r="1078">
      <c r="A1078" s="34"/>
      <c r="F1078" s="50"/>
      <c r="G1078" s="50"/>
      <c r="H1078" s="50"/>
      <c r="I1078" s="50"/>
    </row>
    <row r="1079">
      <c r="A1079" s="34"/>
      <c r="F1079" s="50"/>
      <c r="G1079" s="50"/>
      <c r="H1079" s="50"/>
      <c r="I1079" s="50"/>
    </row>
    <row r="1080">
      <c r="A1080" s="34"/>
      <c r="F1080" s="50"/>
      <c r="G1080" s="50"/>
      <c r="H1080" s="50"/>
      <c r="I1080" s="50"/>
    </row>
    <row r="1081">
      <c r="A1081" s="34"/>
      <c r="F1081" s="50"/>
      <c r="G1081" s="50"/>
      <c r="H1081" s="50"/>
      <c r="I1081" s="50"/>
    </row>
    <row r="1082">
      <c r="A1082" s="34"/>
      <c r="F1082" s="50"/>
      <c r="G1082" s="50"/>
      <c r="H1082" s="50"/>
      <c r="I1082" s="50"/>
    </row>
    <row r="1083">
      <c r="A1083" s="34"/>
      <c r="F1083" s="50"/>
      <c r="G1083" s="50"/>
      <c r="H1083" s="50"/>
      <c r="I1083" s="50"/>
    </row>
    <row r="1084">
      <c r="A1084" s="34"/>
      <c r="F1084" s="50"/>
      <c r="G1084" s="50"/>
      <c r="H1084" s="50"/>
      <c r="I1084" s="50"/>
    </row>
    <row r="1085">
      <c r="A1085" s="34"/>
      <c r="F1085" s="50"/>
      <c r="G1085" s="50"/>
      <c r="H1085" s="50"/>
      <c r="I1085" s="50"/>
    </row>
    <row r="1086">
      <c r="A1086" s="34"/>
      <c r="F1086" s="50"/>
      <c r="G1086" s="50"/>
      <c r="H1086" s="50"/>
      <c r="I1086" s="50"/>
    </row>
    <row r="1087">
      <c r="A1087" s="34"/>
      <c r="F1087" s="50"/>
      <c r="G1087" s="50"/>
      <c r="H1087" s="50"/>
      <c r="I1087" s="50"/>
    </row>
    <row r="1088">
      <c r="A1088" s="34"/>
      <c r="F1088" s="50"/>
      <c r="G1088" s="50"/>
      <c r="H1088" s="50"/>
      <c r="I1088" s="50"/>
    </row>
    <row r="1089">
      <c r="A1089" s="34"/>
      <c r="F1089" s="50"/>
      <c r="G1089" s="50"/>
      <c r="H1089" s="50"/>
      <c r="I1089" s="50"/>
    </row>
    <row r="1090">
      <c r="A1090" s="34"/>
      <c r="F1090" s="50"/>
      <c r="G1090" s="50"/>
      <c r="H1090" s="50"/>
      <c r="I1090" s="50"/>
    </row>
    <row r="1091">
      <c r="A1091" s="34"/>
      <c r="F1091" s="50"/>
      <c r="G1091" s="50"/>
      <c r="H1091" s="50"/>
      <c r="I1091" s="50"/>
    </row>
    <row r="1092">
      <c r="A1092" s="34"/>
      <c r="F1092" s="50"/>
      <c r="G1092" s="50"/>
      <c r="H1092" s="50"/>
      <c r="I1092" s="50"/>
    </row>
    <row r="1093">
      <c r="A1093" s="34"/>
      <c r="F1093" s="50"/>
      <c r="G1093" s="50"/>
      <c r="H1093" s="50"/>
      <c r="I1093" s="50"/>
    </row>
    <row r="1094">
      <c r="A1094" s="34"/>
      <c r="F1094" s="50"/>
      <c r="G1094" s="50"/>
      <c r="H1094" s="50"/>
      <c r="I1094" s="50"/>
    </row>
    <row r="1095">
      <c r="A1095" s="34"/>
      <c r="F1095" s="50"/>
      <c r="G1095" s="50"/>
      <c r="H1095" s="50"/>
      <c r="I1095" s="50"/>
    </row>
    <row r="1096">
      <c r="A1096" s="34"/>
      <c r="F1096" s="50"/>
      <c r="G1096" s="50"/>
      <c r="H1096" s="50"/>
      <c r="I1096" s="50"/>
    </row>
    <row r="1097">
      <c r="A1097" s="34"/>
      <c r="F1097" s="50"/>
      <c r="G1097" s="50"/>
      <c r="H1097" s="50"/>
      <c r="I1097" s="50"/>
    </row>
    <row r="1098">
      <c r="A1098" s="34"/>
      <c r="F1098" s="50"/>
      <c r="G1098" s="50"/>
      <c r="H1098" s="50"/>
      <c r="I1098" s="50"/>
    </row>
    <row r="1099">
      <c r="A1099" s="34"/>
      <c r="F1099" s="50"/>
      <c r="G1099" s="50"/>
      <c r="H1099" s="50"/>
      <c r="I1099" s="50"/>
    </row>
    <row r="1100">
      <c r="A1100" s="34"/>
      <c r="F1100" s="50"/>
      <c r="G1100" s="50"/>
      <c r="H1100" s="50"/>
      <c r="I1100" s="50"/>
    </row>
    <row r="1101">
      <c r="A1101" s="34"/>
      <c r="F1101" s="50"/>
      <c r="G1101" s="50"/>
      <c r="H1101" s="50"/>
      <c r="I1101" s="50"/>
    </row>
    <row r="1102">
      <c r="A1102" s="34"/>
      <c r="F1102" s="50"/>
      <c r="G1102" s="50"/>
      <c r="H1102" s="50"/>
      <c r="I1102" s="50"/>
    </row>
    <row r="1103">
      <c r="A1103" s="34"/>
      <c r="F1103" s="50"/>
      <c r="G1103" s="50"/>
      <c r="H1103" s="50"/>
      <c r="I1103" s="50"/>
    </row>
    <row r="1104">
      <c r="A1104" s="34"/>
      <c r="F1104" s="50"/>
      <c r="G1104" s="50"/>
      <c r="H1104" s="50"/>
      <c r="I1104" s="50"/>
    </row>
    <row r="1105">
      <c r="A1105" s="34"/>
      <c r="F1105" s="50"/>
      <c r="G1105" s="50"/>
      <c r="H1105" s="50"/>
      <c r="I1105" s="50"/>
    </row>
    <row r="1106">
      <c r="A1106" s="34"/>
      <c r="F1106" s="50"/>
      <c r="G1106" s="50"/>
      <c r="H1106" s="50"/>
      <c r="I1106" s="50"/>
    </row>
    <row r="1107">
      <c r="A1107" s="34"/>
      <c r="F1107" s="50"/>
      <c r="G1107" s="50"/>
      <c r="H1107" s="50"/>
      <c r="I1107" s="50"/>
    </row>
    <row r="1108">
      <c r="A1108" s="34"/>
      <c r="F1108" s="50"/>
      <c r="G1108" s="50"/>
      <c r="H1108" s="50"/>
      <c r="I1108" s="50"/>
    </row>
    <row r="1109">
      <c r="A1109" s="34"/>
      <c r="F1109" s="50"/>
      <c r="G1109" s="50"/>
      <c r="H1109" s="50"/>
      <c r="I1109" s="50"/>
    </row>
    <row r="1110">
      <c r="A1110" s="34"/>
      <c r="F1110" s="50"/>
      <c r="G1110" s="50"/>
      <c r="H1110" s="50"/>
      <c r="I1110" s="50"/>
    </row>
    <row r="1111">
      <c r="A1111" s="34"/>
      <c r="F1111" s="50"/>
      <c r="G1111" s="50"/>
      <c r="H1111" s="50"/>
      <c r="I1111" s="50"/>
    </row>
    <row r="1112">
      <c r="A1112" s="34"/>
      <c r="F1112" s="50"/>
      <c r="G1112" s="50"/>
      <c r="H1112" s="50"/>
      <c r="I1112" s="50"/>
    </row>
    <row r="1113">
      <c r="A1113" s="34"/>
      <c r="F1113" s="50"/>
      <c r="G1113" s="50"/>
      <c r="H1113" s="50"/>
      <c r="I1113" s="50"/>
    </row>
    <row r="1114">
      <c r="A1114" s="34"/>
      <c r="F1114" s="50"/>
      <c r="G1114" s="50"/>
      <c r="H1114" s="50"/>
      <c r="I1114" s="50"/>
    </row>
    <row r="1115">
      <c r="A1115" s="34"/>
      <c r="F1115" s="50"/>
      <c r="G1115" s="50"/>
      <c r="H1115" s="50"/>
      <c r="I1115" s="50"/>
    </row>
    <row r="1116">
      <c r="A1116" s="34"/>
      <c r="F1116" s="50"/>
      <c r="G1116" s="50"/>
      <c r="H1116" s="50"/>
      <c r="I1116" s="50"/>
    </row>
    <row r="1117">
      <c r="A1117" s="34"/>
      <c r="F1117" s="50"/>
      <c r="G1117" s="50"/>
      <c r="H1117" s="50"/>
      <c r="I1117" s="50"/>
    </row>
    <row r="1118">
      <c r="A1118" s="34"/>
      <c r="F1118" s="50"/>
      <c r="G1118" s="50"/>
      <c r="H1118" s="50"/>
      <c r="I1118" s="50"/>
    </row>
    <row r="1119">
      <c r="A1119" s="34"/>
      <c r="F1119" s="50"/>
      <c r="G1119" s="50"/>
      <c r="H1119" s="50"/>
      <c r="I1119" s="50"/>
    </row>
    <row r="1120">
      <c r="A1120" s="34"/>
      <c r="F1120" s="50"/>
      <c r="G1120" s="50"/>
      <c r="H1120" s="50"/>
      <c r="I1120" s="50"/>
    </row>
    <row r="1121">
      <c r="A1121" s="34"/>
      <c r="F1121" s="50"/>
      <c r="G1121" s="50"/>
      <c r="H1121" s="50"/>
      <c r="I1121" s="50"/>
    </row>
    <row r="1122">
      <c r="A1122" s="34"/>
      <c r="F1122" s="50"/>
      <c r="G1122" s="50"/>
      <c r="H1122" s="50"/>
      <c r="I1122" s="50"/>
    </row>
    <row r="1123">
      <c r="A1123" s="34"/>
      <c r="F1123" s="50"/>
      <c r="G1123" s="50"/>
      <c r="H1123" s="50"/>
      <c r="I1123" s="50"/>
    </row>
    <row r="1124">
      <c r="A1124" s="34"/>
      <c r="F1124" s="50"/>
      <c r="G1124" s="50"/>
      <c r="H1124" s="50"/>
      <c r="I1124" s="50"/>
    </row>
    <row r="1125">
      <c r="A1125" s="34"/>
      <c r="F1125" s="50"/>
      <c r="G1125" s="50"/>
      <c r="H1125" s="50"/>
      <c r="I1125" s="50"/>
    </row>
    <row r="1126">
      <c r="A1126" s="34"/>
      <c r="F1126" s="50"/>
      <c r="G1126" s="50"/>
      <c r="H1126" s="50"/>
      <c r="I1126" s="50"/>
    </row>
    <row r="1127">
      <c r="A1127" s="34"/>
      <c r="F1127" s="50"/>
      <c r="G1127" s="50"/>
      <c r="H1127" s="50"/>
      <c r="I1127" s="50"/>
    </row>
    <row r="1128">
      <c r="A1128" s="34"/>
      <c r="F1128" s="50"/>
      <c r="G1128" s="50"/>
      <c r="H1128" s="50"/>
      <c r="I1128" s="50"/>
    </row>
    <row r="1129">
      <c r="A1129" s="34"/>
      <c r="F1129" s="50"/>
      <c r="G1129" s="50"/>
      <c r="H1129" s="50"/>
      <c r="I1129" s="50"/>
    </row>
    <row r="1130">
      <c r="A1130" s="34"/>
      <c r="F1130" s="50"/>
      <c r="G1130" s="50"/>
      <c r="H1130" s="50"/>
      <c r="I1130" s="50"/>
    </row>
    <row r="1131">
      <c r="A1131" s="34"/>
      <c r="F1131" s="50"/>
      <c r="G1131" s="50"/>
      <c r="H1131" s="50"/>
      <c r="I1131" s="50"/>
    </row>
    <row r="1132">
      <c r="A1132" s="34"/>
      <c r="F1132" s="50"/>
      <c r="G1132" s="50"/>
      <c r="H1132" s="50"/>
      <c r="I1132" s="50"/>
    </row>
    <row r="1133">
      <c r="A1133" s="34"/>
      <c r="F1133" s="50"/>
      <c r="G1133" s="50"/>
      <c r="H1133" s="50"/>
      <c r="I1133" s="50"/>
    </row>
    <row r="1134">
      <c r="A1134" s="34"/>
      <c r="F1134" s="50"/>
      <c r="G1134" s="50"/>
      <c r="H1134" s="50"/>
      <c r="I1134" s="50"/>
    </row>
    <row r="1135">
      <c r="A1135" s="34"/>
      <c r="F1135" s="50"/>
      <c r="G1135" s="50"/>
      <c r="H1135" s="50"/>
      <c r="I1135" s="50"/>
    </row>
    <row r="1136">
      <c r="A1136" s="34"/>
      <c r="F1136" s="50"/>
      <c r="G1136" s="50"/>
      <c r="H1136" s="50"/>
      <c r="I1136" s="50"/>
    </row>
    <row r="1137">
      <c r="A1137" s="34"/>
      <c r="F1137" s="50"/>
      <c r="G1137" s="50"/>
      <c r="H1137" s="50"/>
      <c r="I1137" s="50"/>
    </row>
    <row r="1138">
      <c r="A1138" s="34"/>
      <c r="F1138" s="50"/>
      <c r="G1138" s="50"/>
      <c r="H1138" s="50"/>
      <c r="I1138" s="50"/>
    </row>
    <row r="1139">
      <c r="A1139" s="34"/>
      <c r="F1139" s="50"/>
      <c r="G1139" s="50"/>
      <c r="H1139" s="50"/>
      <c r="I1139" s="50"/>
    </row>
    <row r="1140">
      <c r="A1140" s="34"/>
      <c r="F1140" s="50"/>
      <c r="G1140" s="50"/>
      <c r="H1140" s="50"/>
      <c r="I1140" s="50"/>
    </row>
    <row r="1141">
      <c r="A1141" s="34"/>
      <c r="F1141" s="50"/>
      <c r="G1141" s="50"/>
      <c r="H1141" s="50"/>
      <c r="I1141" s="50"/>
    </row>
    <row r="1142">
      <c r="A1142" s="34"/>
      <c r="F1142" s="50"/>
      <c r="G1142" s="50"/>
      <c r="H1142" s="50"/>
      <c r="I1142" s="50"/>
    </row>
    <row r="1143">
      <c r="A1143" s="34"/>
      <c r="F1143" s="50"/>
      <c r="G1143" s="50"/>
      <c r="H1143" s="50"/>
      <c r="I1143" s="50"/>
    </row>
    <row r="1144">
      <c r="A1144" s="34"/>
      <c r="F1144" s="50"/>
      <c r="G1144" s="50"/>
      <c r="H1144" s="50"/>
      <c r="I1144" s="50"/>
    </row>
    <row r="1145">
      <c r="A1145" s="34"/>
      <c r="F1145" s="50"/>
      <c r="G1145" s="50"/>
      <c r="H1145" s="50"/>
      <c r="I1145" s="50"/>
    </row>
    <row r="1146">
      <c r="A1146" s="34"/>
      <c r="F1146" s="50"/>
      <c r="G1146" s="50"/>
      <c r="H1146" s="50"/>
      <c r="I1146" s="50"/>
    </row>
    <row r="1147">
      <c r="A1147" s="34"/>
      <c r="F1147" s="50"/>
      <c r="G1147" s="50"/>
      <c r="H1147" s="50"/>
      <c r="I1147" s="50"/>
    </row>
    <row r="1148">
      <c r="A1148" s="34"/>
      <c r="F1148" s="50"/>
      <c r="G1148" s="50"/>
      <c r="H1148" s="50"/>
      <c r="I1148" s="50"/>
    </row>
    <row r="1149">
      <c r="A1149" s="34"/>
      <c r="F1149" s="50"/>
      <c r="G1149" s="50"/>
      <c r="H1149" s="50"/>
      <c r="I1149" s="50"/>
    </row>
    <row r="1150">
      <c r="A1150" s="34"/>
      <c r="F1150" s="50"/>
      <c r="G1150" s="50"/>
      <c r="H1150" s="50"/>
      <c r="I1150" s="50"/>
    </row>
    <row r="1151">
      <c r="A1151" s="34"/>
      <c r="F1151" s="50"/>
      <c r="G1151" s="50"/>
      <c r="H1151" s="50"/>
      <c r="I1151" s="50"/>
    </row>
    <row r="1152">
      <c r="A1152" s="34"/>
      <c r="F1152" s="50"/>
      <c r="G1152" s="50"/>
      <c r="H1152" s="50"/>
      <c r="I1152" s="50"/>
    </row>
    <row r="1153">
      <c r="A1153" s="34"/>
      <c r="F1153" s="50"/>
      <c r="G1153" s="50"/>
      <c r="H1153" s="50"/>
      <c r="I1153" s="50"/>
    </row>
    <row r="1154">
      <c r="A1154" s="34"/>
      <c r="F1154" s="50"/>
      <c r="G1154" s="50"/>
      <c r="H1154" s="50"/>
      <c r="I1154" s="50"/>
    </row>
    <row r="1155">
      <c r="A1155" s="34"/>
      <c r="F1155" s="50"/>
      <c r="G1155" s="50"/>
      <c r="H1155" s="50"/>
      <c r="I1155" s="50"/>
    </row>
    <row r="1156">
      <c r="A1156" s="34"/>
      <c r="F1156" s="50"/>
      <c r="G1156" s="50"/>
      <c r="H1156" s="50"/>
      <c r="I1156" s="50"/>
    </row>
    <row r="1157">
      <c r="A1157" s="34"/>
      <c r="F1157" s="50"/>
      <c r="G1157" s="50"/>
      <c r="H1157" s="50"/>
      <c r="I1157" s="50"/>
    </row>
    <row r="1158">
      <c r="A1158" s="34"/>
      <c r="F1158" s="50"/>
      <c r="G1158" s="50"/>
      <c r="H1158" s="50"/>
      <c r="I1158" s="50"/>
    </row>
    <row r="1159">
      <c r="A1159" s="34"/>
      <c r="F1159" s="50"/>
      <c r="G1159" s="50"/>
      <c r="H1159" s="50"/>
      <c r="I1159" s="50"/>
    </row>
    <row r="1160">
      <c r="A1160" s="34"/>
      <c r="F1160" s="50"/>
      <c r="G1160" s="50"/>
      <c r="H1160" s="50"/>
      <c r="I1160" s="50"/>
    </row>
    <row r="1161">
      <c r="A1161" s="34"/>
      <c r="F1161" s="50"/>
      <c r="G1161" s="50"/>
      <c r="H1161" s="50"/>
      <c r="I1161" s="50"/>
    </row>
    <row r="1162">
      <c r="A1162" s="34"/>
      <c r="F1162" s="50"/>
      <c r="G1162" s="50"/>
      <c r="H1162" s="50"/>
      <c r="I1162" s="50"/>
    </row>
    <row r="1163">
      <c r="A1163" s="34"/>
      <c r="F1163" s="50"/>
      <c r="G1163" s="50"/>
      <c r="H1163" s="50"/>
      <c r="I1163" s="50"/>
    </row>
    <row r="1164">
      <c r="A1164" s="34"/>
      <c r="F1164" s="50"/>
      <c r="G1164" s="50"/>
      <c r="H1164" s="50"/>
      <c r="I1164" s="50"/>
    </row>
    <row r="1165">
      <c r="A1165" s="34"/>
      <c r="F1165" s="50"/>
      <c r="G1165" s="50"/>
      <c r="H1165" s="50"/>
      <c r="I1165" s="50"/>
    </row>
    <row r="1166">
      <c r="A1166" s="34"/>
      <c r="F1166" s="50"/>
      <c r="G1166" s="50"/>
      <c r="H1166" s="50"/>
      <c r="I1166" s="50"/>
    </row>
    <row r="1167">
      <c r="A1167" s="34"/>
      <c r="F1167" s="50"/>
      <c r="G1167" s="50"/>
      <c r="H1167" s="50"/>
      <c r="I1167" s="50"/>
    </row>
    <row r="1168">
      <c r="A1168" s="34"/>
      <c r="F1168" s="50"/>
      <c r="G1168" s="50"/>
      <c r="H1168" s="50"/>
      <c r="I1168" s="50"/>
    </row>
    <row r="1169">
      <c r="A1169" s="34"/>
      <c r="F1169" s="50"/>
      <c r="G1169" s="50"/>
      <c r="H1169" s="50"/>
      <c r="I1169" s="50"/>
    </row>
    <row r="1170">
      <c r="A1170" s="34"/>
      <c r="F1170" s="50"/>
      <c r="G1170" s="50"/>
      <c r="H1170" s="50"/>
      <c r="I1170" s="50"/>
    </row>
    <row r="1171">
      <c r="A1171" s="34"/>
      <c r="F1171" s="50"/>
      <c r="G1171" s="50"/>
      <c r="H1171" s="50"/>
      <c r="I1171" s="50"/>
    </row>
    <row r="1172">
      <c r="A1172" s="34"/>
      <c r="F1172" s="50"/>
      <c r="G1172" s="50"/>
      <c r="H1172" s="50"/>
      <c r="I1172" s="50"/>
    </row>
    <row r="1173">
      <c r="A1173" s="34"/>
      <c r="F1173" s="50"/>
      <c r="G1173" s="50"/>
      <c r="H1173" s="50"/>
      <c r="I1173" s="50"/>
    </row>
    <row r="1174">
      <c r="A1174" s="34"/>
      <c r="F1174" s="50"/>
      <c r="G1174" s="50"/>
      <c r="H1174" s="50"/>
      <c r="I1174" s="50"/>
    </row>
    <row r="1175">
      <c r="A1175" s="34"/>
      <c r="F1175" s="50"/>
      <c r="G1175" s="50"/>
      <c r="H1175" s="50"/>
      <c r="I1175" s="50"/>
    </row>
    <row r="1176">
      <c r="A1176" s="34"/>
      <c r="F1176" s="50"/>
      <c r="G1176" s="50"/>
      <c r="H1176" s="50"/>
      <c r="I1176" s="50"/>
    </row>
    <row r="1177">
      <c r="A1177" s="34"/>
      <c r="F1177" s="50"/>
      <c r="G1177" s="50"/>
      <c r="H1177" s="50"/>
      <c r="I1177" s="50"/>
    </row>
    <row r="1178">
      <c r="A1178" s="34"/>
      <c r="F1178" s="50"/>
      <c r="G1178" s="50"/>
      <c r="H1178" s="50"/>
      <c r="I1178" s="50"/>
    </row>
    <row r="1179">
      <c r="A1179" s="34"/>
      <c r="F1179" s="50"/>
      <c r="G1179" s="50"/>
      <c r="H1179" s="50"/>
      <c r="I1179" s="50"/>
    </row>
    <row r="1180">
      <c r="A1180" s="34"/>
      <c r="F1180" s="50"/>
      <c r="G1180" s="50"/>
      <c r="H1180" s="50"/>
      <c r="I1180" s="50"/>
    </row>
    <row r="1181">
      <c r="A1181" s="34"/>
      <c r="F1181" s="50"/>
      <c r="G1181" s="50"/>
      <c r="H1181" s="50"/>
      <c r="I1181" s="50"/>
    </row>
    <row r="1182">
      <c r="A1182" s="34"/>
      <c r="F1182" s="50"/>
      <c r="G1182" s="50"/>
      <c r="H1182" s="50"/>
      <c r="I1182" s="50"/>
    </row>
    <row r="1183">
      <c r="A1183" s="34"/>
      <c r="F1183" s="50"/>
      <c r="G1183" s="50"/>
      <c r="H1183" s="50"/>
      <c r="I1183" s="50"/>
    </row>
    <row r="1184">
      <c r="A1184" s="34"/>
      <c r="F1184" s="50"/>
      <c r="G1184" s="50"/>
      <c r="H1184" s="50"/>
      <c r="I1184" s="50"/>
    </row>
    <row r="1185">
      <c r="A1185" s="34"/>
      <c r="F1185" s="50"/>
      <c r="G1185" s="50"/>
      <c r="H1185" s="50"/>
      <c r="I1185" s="50"/>
    </row>
    <row r="1186">
      <c r="A1186" s="34"/>
      <c r="F1186" s="50"/>
      <c r="G1186" s="50"/>
      <c r="H1186" s="50"/>
      <c r="I1186" s="50"/>
    </row>
    <row r="1187">
      <c r="A1187" s="34"/>
      <c r="F1187" s="50"/>
      <c r="G1187" s="50"/>
      <c r="H1187" s="50"/>
      <c r="I1187" s="50"/>
    </row>
    <row r="1188">
      <c r="A1188" s="34"/>
      <c r="F1188" s="50"/>
      <c r="G1188" s="50"/>
      <c r="H1188" s="50"/>
      <c r="I1188" s="50"/>
    </row>
    <row r="1189">
      <c r="A1189" s="34"/>
      <c r="F1189" s="50"/>
      <c r="G1189" s="50"/>
      <c r="H1189" s="50"/>
      <c r="I1189" s="50"/>
    </row>
    <row r="1190">
      <c r="A1190" s="34"/>
      <c r="F1190" s="50"/>
      <c r="G1190" s="50"/>
      <c r="H1190" s="50"/>
      <c r="I1190" s="50"/>
    </row>
    <row r="1191">
      <c r="A1191" s="34"/>
      <c r="F1191" s="50"/>
      <c r="G1191" s="50"/>
      <c r="H1191" s="50"/>
      <c r="I1191" s="50"/>
    </row>
    <row r="1192">
      <c r="A1192" s="34"/>
      <c r="F1192" s="50"/>
      <c r="G1192" s="50"/>
      <c r="H1192" s="50"/>
      <c r="I1192" s="50"/>
    </row>
    <row r="1193">
      <c r="A1193" s="34"/>
      <c r="F1193" s="50"/>
      <c r="G1193" s="50"/>
      <c r="H1193" s="50"/>
      <c r="I1193" s="50"/>
    </row>
    <row r="1194">
      <c r="A1194" s="34"/>
      <c r="F1194" s="50"/>
      <c r="G1194" s="50"/>
      <c r="H1194" s="50"/>
      <c r="I1194" s="50"/>
    </row>
    <row r="1195">
      <c r="A1195" s="34"/>
      <c r="F1195" s="50"/>
      <c r="G1195" s="50"/>
      <c r="H1195" s="50"/>
      <c r="I1195" s="50"/>
    </row>
    <row r="1196">
      <c r="A1196" s="34"/>
      <c r="F1196" s="50"/>
      <c r="G1196" s="50"/>
      <c r="H1196" s="50"/>
      <c r="I1196" s="50"/>
    </row>
    <row r="1197">
      <c r="A1197" s="34"/>
      <c r="F1197" s="50"/>
      <c r="G1197" s="50"/>
      <c r="H1197" s="50"/>
      <c r="I1197" s="50"/>
    </row>
    <row r="1198">
      <c r="A1198" s="34"/>
      <c r="F1198" s="50"/>
      <c r="G1198" s="50"/>
      <c r="H1198" s="50"/>
      <c r="I1198" s="50"/>
    </row>
    <row r="1199">
      <c r="A1199" s="34"/>
      <c r="F1199" s="50"/>
      <c r="G1199" s="50"/>
      <c r="H1199" s="50"/>
      <c r="I1199" s="50"/>
    </row>
    <row r="1200">
      <c r="A1200" s="34"/>
      <c r="F1200" s="50"/>
      <c r="G1200" s="50"/>
      <c r="H1200" s="50"/>
      <c r="I1200" s="50"/>
    </row>
    <row r="1201">
      <c r="A1201" s="34"/>
      <c r="F1201" s="50"/>
      <c r="G1201" s="50"/>
      <c r="H1201" s="50"/>
      <c r="I1201" s="50"/>
    </row>
    <row r="1202">
      <c r="A1202" s="34"/>
      <c r="F1202" s="50"/>
      <c r="G1202" s="50"/>
      <c r="H1202" s="50"/>
      <c r="I1202" s="50"/>
    </row>
    <row r="1203">
      <c r="A1203" s="34"/>
      <c r="F1203" s="50"/>
      <c r="G1203" s="50"/>
      <c r="H1203" s="50"/>
      <c r="I1203" s="50"/>
    </row>
    <row r="1204">
      <c r="A1204" s="34"/>
      <c r="F1204" s="50"/>
      <c r="G1204" s="50"/>
      <c r="H1204" s="50"/>
      <c r="I1204" s="50"/>
    </row>
    <row r="1205">
      <c r="A1205" s="34"/>
      <c r="F1205" s="50"/>
      <c r="G1205" s="50"/>
      <c r="H1205" s="50"/>
      <c r="I1205" s="50"/>
    </row>
    <row r="1206">
      <c r="A1206" s="34"/>
      <c r="F1206" s="50"/>
      <c r="G1206" s="50"/>
      <c r="H1206" s="50"/>
      <c r="I1206" s="50"/>
    </row>
    <row r="1207">
      <c r="A1207" s="34"/>
      <c r="F1207" s="50"/>
      <c r="G1207" s="50"/>
      <c r="H1207" s="50"/>
      <c r="I1207" s="50"/>
    </row>
    <row r="1208">
      <c r="A1208" s="34"/>
      <c r="F1208" s="50"/>
      <c r="G1208" s="50"/>
      <c r="H1208" s="50"/>
      <c r="I1208" s="50"/>
    </row>
    <row r="1209">
      <c r="A1209" s="34"/>
      <c r="F1209" s="50"/>
      <c r="G1209" s="50"/>
      <c r="H1209" s="50"/>
      <c r="I1209" s="50"/>
    </row>
    <row r="1210">
      <c r="A1210" s="34"/>
      <c r="F1210" s="50"/>
      <c r="G1210" s="50"/>
      <c r="H1210" s="50"/>
      <c r="I1210" s="50"/>
    </row>
    <row r="1211">
      <c r="A1211" s="34"/>
      <c r="F1211" s="50"/>
      <c r="G1211" s="50"/>
      <c r="H1211" s="50"/>
      <c r="I1211" s="50"/>
    </row>
    <row r="1212">
      <c r="A1212" s="34"/>
      <c r="F1212" s="50"/>
      <c r="G1212" s="50"/>
      <c r="H1212" s="50"/>
      <c r="I1212" s="50"/>
    </row>
    <row r="1213">
      <c r="A1213" s="34"/>
      <c r="F1213" s="50"/>
      <c r="G1213" s="50"/>
      <c r="H1213" s="50"/>
      <c r="I1213" s="50"/>
    </row>
    <row r="1214">
      <c r="A1214" s="34"/>
      <c r="F1214" s="50"/>
      <c r="G1214" s="50"/>
      <c r="H1214" s="50"/>
      <c r="I1214" s="50"/>
    </row>
    <row r="1215">
      <c r="A1215" s="34"/>
      <c r="F1215" s="50"/>
      <c r="G1215" s="50"/>
      <c r="H1215" s="50"/>
      <c r="I1215" s="50"/>
    </row>
    <row r="1216">
      <c r="A1216" s="34"/>
      <c r="F1216" s="50"/>
      <c r="G1216" s="50"/>
      <c r="H1216" s="50"/>
      <c r="I1216" s="50"/>
    </row>
    <row r="1217">
      <c r="A1217" s="34"/>
      <c r="F1217" s="50"/>
      <c r="G1217" s="50"/>
      <c r="H1217" s="50"/>
      <c r="I1217" s="50"/>
    </row>
    <row r="1218">
      <c r="A1218" s="34"/>
      <c r="F1218" s="50"/>
      <c r="G1218" s="50"/>
      <c r="H1218" s="50"/>
      <c r="I1218" s="50"/>
    </row>
    <row r="1219">
      <c r="A1219" s="34"/>
      <c r="F1219" s="50"/>
      <c r="G1219" s="50"/>
      <c r="H1219" s="50"/>
      <c r="I1219" s="50"/>
    </row>
    <row r="1220">
      <c r="A1220" s="34"/>
      <c r="F1220" s="50"/>
      <c r="G1220" s="50"/>
      <c r="H1220" s="50"/>
      <c r="I1220" s="50"/>
    </row>
    <row r="1221">
      <c r="A1221" s="34"/>
      <c r="F1221" s="50"/>
      <c r="G1221" s="50"/>
      <c r="H1221" s="50"/>
      <c r="I1221" s="50"/>
    </row>
    <row r="1222">
      <c r="A1222" s="34"/>
      <c r="F1222" s="50"/>
      <c r="G1222" s="50"/>
      <c r="H1222" s="50"/>
      <c r="I1222" s="50"/>
    </row>
    <row r="1223">
      <c r="A1223" s="34"/>
      <c r="F1223" s="50"/>
      <c r="G1223" s="50"/>
      <c r="H1223" s="50"/>
      <c r="I1223" s="50"/>
    </row>
    <row r="1224">
      <c r="A1224" s="34"/>
      <c r="F1224" s="50"/>
      <c r="G1224" s="50"/>
      <c r="H1224" s="50"/>
      <c r="I1224" s="50"/>
    </row>
    <row r="1225">
      <c r="A1225" s="34"/>
      <c r="F1225" s="50"/>
      <c r="G1225" s="50"/>
      <c r="H1225" s="50"/>
      <c r="I1225" s="50"/>
    </row>
    <row r="1226">
      <c r="A1226" s="34"/>
      <c r="F1226" s="50"/>
      <c r="G1226" s="50"/>
      <c r="H1226" s="50"/>
      <c r="I1226" s="50"/>
    </row>
    <row r="1227">
      <c r="A1227" s="34"/>
      <c r="F1227" s="50"/>
      <c r="G1227" s="50"/>
      <c r="H1227" s="50"/>
      <c r="I1227" s="50"/>
    </row>
    <row r="1228">
      <c r="A1228" s="34"/>
      <c r="F1228" s="50"/>
      <c r="G1228" s="50"/>
      <c r="H1228" s="50"/>
      <c r="I1228" s="50"/>
    </row>
    <row r="1229">
      <c r="A1229" s="34"/>
      <c r="F1229" s="50"/>
      <c r="G1229" s="50"/>
      <c r="H1229" s="50"/>
      <c r="I1229" s="50"/>
    </row>
    <row r="1230">
      <c r="A1230" s="34"/>
      <c r="F1230" s="50"/>
      <c r="G1230" s="50"/>
      <c r="H1230" s="50"/>
      <c r="I1230" s="50"/>
    </row>
    <row r="1231">
      <c r="A1231" s="34"/>
      <c r="F1231" s="50"/>
      <c r="G1231" s="50"/>
      <c r="H1231" s="50"/>
      <c r="I1231" s="50"/>
    </row>
    <row r="1232">
      <c r="A1232" s="34"/>
      <c r="F1232" s="50"/>
      <c r="G1232" s="50"/>
      <c r="H1232" s="50"/>
      <c r="I1232" s="50"/>
    </row>
    <row r="1233">
      <c r="A1233" s="34"/>
      <c r="F1233" s="50"/>
      <c r="G1233" s="50"/>
      <c r="H1233" s="50"/>
      <c r="I1233" s="50"/>
    </row>
    <row r="1234">
      <c r="A1234" s="34"/>
      <c r="F1234" s="50"/>
      <c r="G1234" s="50"/>
      <c r="H1234" s="50"/>
      <c r="I1234" s="50"/>
    </row>
    <row r="1235">
      <c r="A1235" s="34"/>
      <c r="F1235" s="50"/>
      <c r="G1235" s="50"/>
      <c r="H1235" s="50"/>
      <c r="I1235" s="50"/>
    </row>
    <row r="1236">
      <c r="A1236" s="34"/>
      <c r="F1236" s="50"/>
      <c r="G1236" s="50"/>
      <c r="H1236" s="50"/>
      <c r="I1236" s="50"/>
    </row>
    <row r="1237">
      <c r="A1237" s="34"/>
      <c r="F1237" s="50"/>
      <c r="G1237" s="50"/>
      <c r="H1237" s="50"/>
      <c r="I1237" s="50"/>
    </row>
    <row r="1238">
      <c r="A1238" s="34"/>
      <c r="F1238" s="50"/>
      <c r="G1238" s="50"/>
      <c r="H1238" s="50"/>
      <c r="I1238" s="50"/>
    </row>
    <row r="1239">
      <c r="A1239" s="34"/>
      <c r="F1239" s="50"/>
      <c r="G1239" s="50"/>
      <c r="H1239" s="50"/>
      <c r="I1239" s="50"/>
    </row>
    <row r="1240">
      <c r="A1240" s="34"/>
      <c r="F1240" s="50"/>
      <c r="G1240" s="50"/>
      <c r="H1240" s="50"/>
      <c r="I1240" s="50"/>
    </row>
    <row r="1241">
      <c r="A1241" s="34"/>
      <c r="F1241" s="50"/>
      <c r="G1241" s="50"/>
      <c r="H1241" s="50"/>
      <c r="I1241" s="50"/>
    </row>
    <row r="1242">
      <c r="A1242" s="34"/>
      <c r="F1242" s="50"/>
      <c r="G1242" s="50"/>
      <c r="H1242" s="50"/>
      <c r="I1242" s="50"/>
    </row>
    <row r="1243">
      <c r="A1243" s="34"/>
      <c r="F1243" s="50"/>
      <c r="G1243" s="50"/>
      <c r="H1243" s="50"/>
      <c r="I1243" s="50"/>
    </row>
    <row r="1244">
      <c r="A1244" s="34"/>
      <c r="F1244" s="50"/>
      <c r="G1244" s="50"/>
      <c r="H1244" s="50"/>
      <c r="I1244" s="50"/>
    </row>
    <row r="1245">
      <c r="A1245" s="34"/>
      <c r="F1245" s="50"/>
      <c r="G1245" s="50"/>
      <c r="H1245" s="50"/>
      <c r="I1245" s="50"/>
    </row>
    <row r="1246">
      <c r="A1246" s="34"/>
      <c r="F1246" s="50"/>
      <c r="G1246" s="50"/>
      <c r="H1246" s="50"/>
      <c r="I1246" s="50"/>
    </row>
    <row r="1247">
      <c r="A1247" s="34"/>
      <c r="F1247" s="50"/>
      <c r="G1247" s="50"/>
      <c r="H1247" s="50"/>
      <c r="I1247" s="50"/>
    </row>
    <row r="1248">
      <c r="A1248" s="34"/>
      <c r="F1248" s="50"/>
      <c r="G1248" s="50"/>
      <c r="H1248" s="50"/>
      <c r="I1248" s="50"/>
    </row>
    <row r="1249">
      <c r="A1249" s="34"/>
      <c r="F1249" s="50"/>
      <c r="G1249" s="50"/>
      <c r="H1249" s="50"/>
      <c r="I1249" s="50"/>
    </row>
    <row r="1250">
      <c r="A1250" s="34"/>
      <c r="F1250" s="50"/>
      <c r="G1250" s="50"/>
      <c r="H1250" s="50"/>
      <c r="I1250" s="50"/>
    </row>
    <row r="1251">
      <c r="A1251" s="34"/>
      <c r="F1251" s="50"/>
      <c r="G1251" s="50"/>
      <c r="H1251" s="50"/>
      <c r="I1251" s="50"/>
    </row>
    <row r="1252">
      <c r="A1252" s="34"/>
      <c r="F1252" s="50"/>
      <c r="G1252" s="50"/>
      <c r="H1252" s="50"/>
      <c r="I1252" s="50"/>
    </row>
    <row r="1253">
      <c r="A1253" s="34"/>
      <c r="F1253" s="50"/>
      <c r="G1253" s="50"/>
      <c r="H1253" s="50"/>
      <c r="I1253" s="50"/>
    </row>
    <row r="1254">
      <c r="A1254" s="34"/>
      <c r="F1254" s="50"/>
      <c r="G1254" s="50"/>
      <c r="H1254" s="50"/>
      <c r="I1254" s="50"/>
    </row>
    <row r="1255">
      <c r="A1255" s="34"/>
      <c r="F1255" s="50"/>
      <c r="G1255" s="50"/>
      <c r="H1255" s="50"/>
      <c r="I1255" s="50"/>
    </row>
    <row r="1256">
      <c r="A1256" s="34"/>
      <c r="F1256" s="50"/>
      <c r="G1256" s="50"/>
      <c r="H1256" s="50"/>
      <c r="I1256" s="50"/>
    </row>
    <row r="1257">
      <c r="A1257" s="34"/>
      <c r="F1257" s="50"/>
      <c r="G1257" s="50"/>
      <c r="H1257" s="50"/>
      <c r="I1257" s="50"/>
    </row>
    <row r="1258">
      <c r="A1258" s="34"/>
      <c r="F1258" s="50"/>
      <c r="G1258" s="50"/>
      <c r="H1258" s="50"/>
      <c r="I1258" s="50"/>
    </row>
    <row r="1259">
      <c r="A1259" s="34"/>
      <c r="F1259" s="50"/>
      <c r="G1259" s="50"/>
      <c r="H1259" s="50"/>
      <c r="I1259" s="50"/>
    </row>
    <row r="1260">
      <c r="A1260" s="34"/>
      <c r="F1260" s="50"/>
      <c r="G1260" s="50"/>
      <c r="H1260" s="50"/>
      <c r="I1260" s="50"/>
    </row>
    <row r="1261">
      <c r="A1261" s="34"/>
      <c r="F1261" s="50"/>
      <c r="G1261" s="50"/>
      <c r="H1261" s="50"/>
      <c r="I1261" s="50"/>
    </row>
    <row r="1262">
      <c r="A1262" s="34"/>
      <c r="F1262" s="50"/>
      <c r="G1262" s="50"/>
      <c r="H1262" s="50"/>
      <c r="I1262" s="50"/>
    </row>
    <row r="1263">
      <c r="A1263" s="34"/>
      <c r="F1263" s="50"/>
      <c r="G1263" s="50"/>
      <c r="H1263" s="50"/>
      <c r="I1263" s="50"/>
    </row>
    <row r="1264">
      <c r="A1264" s="34"/>
      <c r="F1264" s="50"/>
      <c r="G1264" s="50"/>
      <c r="H1264" s="50"/>
      <c r="I1264" s="50"/>
    </row>
    <row r="1265">
      <c r="A1265" s="34"/>
      <c r="F1265" s="50"/>
      <c r="G1265" s="50"/>
      <c r="H1265" s="50"/>
      <c r="I1265" s="50"/>
    </row>
    <row r="1266">
      <c r="A1266" s="34"/>
      <c r="F1266" s="50"/>
      <c r="G1266" s="50"/>
      <c r="H1266" s="50"/>
      <c r="I1266" s="50"/>
    </row>
    <row r="1267">
      <c r="A1267" s="34"/>
      <c r="F1267" s="50"/>
      <c r="G1267" s="50"/>
      <c r="H1267" s="50"/>
      <c r="I1267" s="50"/>
    </row>
    <row r="1268">
      <c r="A1268" s="34"/>
      <c r="F1268" s="50"/>
      <c r="G1268" s="50"/>
      <c r="H1268" s="50"/>
      <c r="I1268" s="50"/>
    </row>
    <row r="1269">
      <c r="A1269" s="34"/>
      <c r="F1269" s="50"/>
      <c r="G1269" s="50"/>
      <c r="H1269" s="50"/>
      <c r="I1269" s="50"/>
    </row>
    <row r="1270">
      <c r="A1270" s="34"/>
      <c r="F1270" s="50"/>
      <c r="G1270" s="50"/>
      <c r="H1270" s="50"/>
      <c r="I1270" s="50"/>
    </row>
    <row r="1271">
      <c r="A1271" s="34"/>
      <c r="F1271" s="50"/>
      <c r="G1271" s="50"/>
      <c r="H1271" s="50"/>
      <c r="I1271" s="50"/>
    </row>
    <row r="1272">
      <c r="A1272" s="34"/>
      <c r="F1272" s="50"/>
      <c r="G1272" s="50"/>
      <c r="H1272" s="50"/>
      <c r="I1272" s="50"/>
    </row>
    <row r="1273">
      <c r="A1273" s="34"/>
      <c r="F1273" s="50"/>
      <c r="G1273" s="50"/>
      <c r="H1273" s="50"/>
      <c r="I1273" s="50"/>
    </row>
    <row r="1274">
      <c r="A1274" s="34"/>
      <c r="F1274" s="50"/>
      <c r="G1274" s="50"/>
      <c r="H1274" s="50"/>
      <c r="I1274" s="50"/>
    </row>
    <row r="1275">
      <c r="A1275" s="34"/>
      <c r="F1275" s="50"/>
      <c r="G1275" s="50"/>
      <c r="H1275" s="50"/>
      <c r="I1275" s="50"/>
    </row>
    <row r="1276">
      <c r="A1276" s="34"/>
      <c r="F1276" s="50"/>
      <c r="G1276" s="50"/>
      <c r="H1276" s="50"/>
      <c r="I1276" s="50"/>
    </row>
    <row r="1277">
      <c r="A1277" s="34"/>
      <c r="F1277" s="50"/>
      <c r="G1277" s="50"/>
      <c r="H1277" s="50"/>
      <c r="I1277" s="50"/>
    </row>
    <row r="1278">
      <c r="A1278" s="34"/>
      <c r="F1278" s="50"/>
      <c r="G1278" s="50"/>
      <c r="H1278" s="50"/>
      <c r="I1278" s="50"/>
    </row>
    <row r="1279">
      <c r="A1279" s="34"/>
      <c r="F1279" s="50"/>
      <c r="G1279" s="50"/>
      <c r="H1279" s="50"/>
      <c r="I1279" s="50"/>
    </row>
    <row r="1280">
      <c r="A1280" s="34"/>
      <c r="F1280" s="50"/>
      <c r="G1280" s="50"/>
      <c r="H1280" s="50"/>
      <c r="I1280" s="50"/>
    </row>
    <row r="1281">
      <c r="A1281" s="34"/>
      <c r="F1281" s="50"/>
      <c r="G1281" s="50"/>
      <c r="H1281" s="50"/>
      <c r="I1281" s="50"/>
    </row>
    <row r="1282">
      <c r="A1282" s="34"/>
      <c r="F1282" s="50"/>
      <c r="G1282" s="50"/>
      <c r="H1282" s="50"/>
      <c r="I1282" s="50"/>
    </row>
    <row r="1283">
      <c r="A1283" s="34"/>
      <c r="F1283" s="50"/>
      <c r="G1283" s="50"/>
      <c r="H1283" s="50"/>
      <c r="I1283" s="50"/>
    </row>
    <row r="1284">
      <c r="A1284" s="34"/>
      <c r="F1284" s="50"/>
      <c r="G1284" s="50"/>
      <c r="H1284" s="50"/>
      <c r="I1284" s="50"/>
    </row>
    <row r="1285">
      <c r="A1285" s="34"/>
      <c r="F1285" s="50"/>
      <c r="G1285" s="50"/>
      <c r="H1285" s="50"/>
      <c r="I1285" s="50"/>
    </row>
    <row r="1286">
      <c r="A1286" s="34"/>
      <c r="F1286" s="50"/>
      <c r="G1286" s="50"/>
      <c r="H1286" s="50"/>
      <c r="I1286" s="50"/>
    </row>
    <row r="1287">
      <c r="A1287" s="34"/>
      <c r="F1287" s="50"/>
      <c r="G1287" s="50"/>
      <c r="H1287" s="50"/>
      <c r="I1287" s="50"/>
    </row>
    <row r="1288">
      <c r="A1288" s="34"/>
      <c r="F1288" s="50"/>
      <c r="G1288" s="50"/>
      <c r="H1288" s="50"/>
      <c r="I1288" s="50"/>
    </row>
    <row r="1289">
      <c r="A1289" s="34"/>
      <c r="F1289" s="50"/>
      <c r="G1289" s="50"/>
      <c r="H1289" s="50"/>
      <c r="I1289" s="50"/>
    </row>
    <row r="1290">
      <c r="A1290" s="34"/>
      <c r="F1290" s="50"/>
      <c r="G1290" s="50"/>
      <c r="H1290" s="50"/>
      <c r="I1290" s="50"/>
    </row>
    <row r="1291">
      <c r="A1291" s="34"/>
      <c r="F1291" s="50"/>
      <c r="G1291" s="50"/>
      <c r="H1291" s="50"/>
      <c r="I1291" s="50"/>
    </row>
    <row r="1292">
      <c r="A1292" s="34"/>
      <c r="F1292" s="50"/>
      <c r="G1292" s="50"/>
      <c r="H1292" s="50"/>
      <c r="I1292" s="50"/>
    </row>
    <row r="1293">
      <c r="A1293" s="34"/>
      <c r="F1293" s="50"/>
      <c r="G1293" s="50"/>
      <c r="H1293" s="50"/>
      <c r="I1293" s="50"/>
    </row>
    <row r="1294">
      <c r="A1294" s="34"/>
      <c r="F1294" s="50"/>
      <c r="G1294" s="50"/>
      <c r="H1294" s="50"/>
      <c r="I1294" s="50"/>
    </row>
    <row r="1295">
      <c r="A1295" s="34"/>
      <c r="F1295" s="50"/>
      <c r="G1295" s="50"/>
      <c r="H1295" s="50"/>
      <c r="I1295" s="50"/>
    </row>
    <row r="1296">
      <c r="A1296" s="34"/>
      <c r="F1296" s="50"/>
      <c r="G1296" s="50"/>
      <c r="H1296" s="50"/>
      <c r="I1296" s="50"/>
    </row>
    <row r="1297">
      <c r="A1297" s="34"/>
      <c r="F1297" s="50"/>
      <c r="G1297" s="50"/>
      <c r="H1297" s="50"/>
      <c r="I1297" s="50"/>
    </row>
    <row r="1298">
      <c r="A1298" s="34"/>
      <c r="F1298" s="50"/>
      <c r="G1298" s="50"/>
      <c r="H1298" s="50"/>
      <c r="I1298" s="50"/>
    </row>
    <row r="1299">
      <c r="A1299" s="34"/>
      <c r="F1299" s="50"/>
      <c r="G1299" s="50"/>
      <c r="H1299" s="50"/>
      <c r="I1299" s="50"/>
    </row>
    <row r="1300">
      <c r="A1300" s="34"/>
      <c r="F1300" s="50"/>
      <c r="G1300" s="50"/>
      <c r="H1300" s="50"/>
      <c r="I1300" s="50"/>
    </row>
    <row r="1301">
      <c r="A1301" s="34"/>
      <c r="F1301" s="50"/>
      <c r="G1301" s="50"/>
      <c r="H1301" s="50"/>
      <c r="I1301" s="50"/>
    </row>
    <row r="1302">
      <c r="A1302" s="34"/>
      <c r="F1302" s="50"/>
      <c r="G1302" s="50"/>
      <c r="H1302" s="50"/>
      <c r="I1302" s="50"/>
    </row>
    <row r="1303">
      <c r="A1303" s="34"/>
      <c r="F1303" s="50"/>
      <c r="G1303" s="50"/>
      <c r="H1303" s="50"/>
      <c r="I1303" s="50"/>
    </row>
    <row r="1304">
      <c r="A1304" s="34"/>
      <c r="F1304" s="50"/>
      <c r="G1304" s="50"/>
      <c r="H1304" s="50"/>
      <c r="I1304" s="50"/>
    </row>
    <row r="1305">
      <c r="A1305" s="34"/>
      <c r="F1305" s="50"/>
      <c r="G1305" s="50"/>
      <c r="H1305" s="50"/>
      <c r="I1305" s="50"/>
    </row>
    <row r="1306">
      <c r="A1306" s="34"/>
      <c r="F1306" s="50"/>
      <c r="G1306" s="50"/>
      <c r="H1306" s="50"/>
      <c r="I1306" s="50"/>
    </row>
    <row r="1307">
      <c r="A1307" s="34"/>
      <c r="F1307" s="50"/>
      <c r="G1307" s="50"/>
      <c r="H1307" s="50"/>
      <c r="I1307" s="50"/>
    </row>
    <row r="1308">
      <c r="A1308" s="34"/>
      <c r="F1308" s="50"/>
      <c r="G1308" s="50"/>
      <c r="H1308" s="50"/>
      <c r="I1308" s="50"/>
    </row>
    <row r="1309">
      <c r="A1309" s="34"/>
      <c r="F1309" s="50"/>
      <c r="G1309" s="50"/>
      <c r="H1309" s="50"/>
      <c r="I1309" s="50"/>
    </row>
    <row r="1310">
      <c r="A1310" s="34"/>
      <c r="F1310" s="50"/>
      <c r="G1310" s="50"/>
      <c r="H1310" s="50"/>
      <c r="I1310" s="50"/>
    </row>
    <row r="1311">
      <c r="A1311" s="34"/>
      <c r="F1311" s="50"/>
      <c r="G1311" s="50"/>
      <c r="H1311" s="50"/>
      <c r="I1311" s="50"/>
    </row>
    <row r="1312">
      <c r="A1312" s="34"/>
      <c r="F1312" s="50"/>
      <c r="G1312" s="50"/>
      <c r="H1312" s="50"/>
      <c r="I1312" s="50"/>
    </row>
    <row r="1313">
      <c r="A1313" s="34"/>
      <c r="F1313" s="50"/>
      <c r="G1313" s="50"/>
      <c r="H1313" s="50"/>
      <c r="I1313" s="50"/>
    </row>
    <row r="1314">
      <c r="A1314" s="34"/>
      <c r="F1314" s="50"/>
      <c r="G1314" s="50"/>
      <c r="H1314" s="50"/>
      <c r="I1314" s="50"/>
    </row>
    <row r="1315">
      <c r="A1315" s="34"/>
      <c r="F1315" s="50"/>
      <c r="G1315" s="50"/>
      <c r="H1315" s="50"/>
      <c r="I1315" s="50"/>
    </row>
    <row r="1316">
      <c r="A1316" s="34"/>
      <c r="F1316" s="50"/>
      <c r="G1316" s="50"/>
      <c r="H1316" s="50"/>
      <c r="I1316" s="50"/>
    </row>
    <row r="1317">
      <c r="A1317" s="34"/>
      <c r="F1317" s="50"/>
      <c r="G1317" s="50"/>
      <c r="H1317" s="50"/>
      <c r="I1317" s="50"/>
    </row>
    <row r="1318">
      <c r="A1318" s="34"/>
      <c r="F1318" s="50"/>
      <c r="G1318" s="50"/>
      <c r="H1318" s="50"/>
      <c r="I1318" s="50"/>
    </row>
    <row r="1319">
      <c r="A1319" s="34"/>
      <c r="F1319" s="50"/>
      <c r="G1319" s="50"/>
      <c r="H1319" s="50"/>
      <c r="I1319" s="50"/>
    </row>
    <row r="1320">
      <c r="A1320" s="34"/>
      <c r="F1320" s="50"/>
      <c r="G1320" s="50"/>
      <c r="H1320" s="50"/>
      <c r="I1320" s="50"/>
    </row>
    <row r="1321">
      <c r="A1321" s="34"/>
      <c r="F1321" s="50"/>
      <c r="G1321" s="50"/>
      <c r="H1321" s="50"/>
      <c r="I1321" s="50"/>
    </row>
    <row r="1322">
      <c r="A1322" s="34"/>
      <c r="F1322" s="50"/>
      <c r="G1322" s="50"/>
      <c r="H1322" s="50"/>
      <c r="I1322" s="50"/>
    </row>
    <row r="1323">
      <c r="A1323" s="34"/>
      <c r="F1323" s="50"/>
      <c r="G1323" s="50"/>
      <c r="H1323" s="50"/>
      <c r="I1323" s="50"/>
    </row>
    <row r="1324">
      <c r="A1324" s="34"/>
      <c r="F1324" s="50"/>
      <c r="G1324" s="50"/>
      <c r="H1324" s="50"/>
      <c r="I1324" s="50"/>
    </row>
    <row r="1325">
      <c r="A1325" s="34"/>
      <c r="F1325" s="50"/>
      <c r="G1325" s="50"/>
      <c r="H1325" s="50"/>
      <c r="I1325" s="50"/>
    </row>
    <row r="1326">
      <c r="A1326" s="34"/>
      <c r="F1326" s="50"/>
      <c r="G1326" s="50"/>
      <c r="H1326" s="50"/>
      <c r="I1326" s="50"/>
    </row>
    <row r="1327">
      <c r="A1327" s="34"/>
      <c r="F1327" s="50"/>
      <c r="G1327" s="50"/>
      <c r="H1327" s="50"/>
      <c r="I1327" s="50"/>
    </row>
    <row r="1328">
      <c r="A1328" s="34"/>
      <c r="F1328" s="50"/>
      <c r="G1328" s="50"/>
      <c r="H1328" s="50"/>
      <c r="I1328" s="50"/>
    </row>
    <row r="1329">
      <c r="A1329" s="34"/>
      <c r="F1329" s="50"/>
      <c r="G1329" s="50"/>
      <c r="H1329" s="50"/>
      <c r="I1329" s="50"/>
    </row>
    <row r="1330">
      <c r="A1330" s="34"/>
      <c r="F1330" s="50"/>
      <c r="G1330" s="50"/>
      <c r="H1330" s="50"/>
      <c r="I1330" s="50"/>
    </row>
    <row r="1331">
      <c r="A1331" s="34"/>
      <c r="F1331" s="50"/>
      <c r="G1331" s="50"/>
      <c r="H1331" s="50"/>
      <c r="I1331" s="50"/>
    </row>
    <row r="1332">
      <c r="A1332" s="34"/>
      <c r="F1332" s="50"/>
      <c r="G1332" s="50"/>
      <c r="H1332" s="50"/>
      <c r="I1332" s="50"/>
    </row>
    <row r="1333">
      <c r="A1333" s="34"/>
      <c r="F1333" s="50"/>
      <c r="G1333" s="50"/>
      <c r="H1333" s="50"/>
      <c r="I1333" s="50"/>
    </row>
    <row r="1334">
      <c r="A1334" s="34"/>
      <c r="F1334" s="50"/>
      <c r="G1334" s="50"/>
      <c r="H1334" s="50"/>
      <c r="I1334" s="50"/>
    </row>
    <row r="1335">
      <c r="A1335" s="34"/>
      <c r="F1335" s="50"/>
      <c r="G1335" s="50"/>
      <c r="H1335" s="50"/>
      <c r="I1335" s="50"/>
    </row>
    <row r="1336">
      <c r="A1336" s="34"/>
      <c r="F1336" s="50"/>
      <c r="G1336" s="50"/>
      <c r="H1336" s="50"/>
      <c r="I1336" s="50"/>
    </row>
    <row r="1337">
      <c r="A1337" s="34"/>
      <c r="F1337" s="50"/>
      <c r="G1337" s="50"/>
      <c r="H1337" s="50"/>
      <c r="I1337" s="50"/>
    </row>
    <row r="1338">
      <c r="A1338" s="34"/>
      <c r="F1338" s="50"/>
      <c r="G1338" s="50"/>
      <c r="H1338" s="50"/>
      <c r="I1338" s="50"/>
    </row>
    <row r="1339">
      <c r="A1339" s="34"/>
      <c r="F1339" s="50"/>
      <c r="G1339" s="50"/>
      <c r="H1339" s="50"/>
      <c r="I1339" s="50"/>
    </row>
    <row r="1340">
      <c r="A1340" s="34"/>
      <c r="F1340" s="50"/>
      <c r="G1340" s="50"/>
      <c r="H1340" s="50"/>
      <c r="I1340" s="50"/>
    </row>
    <row r="1341">
      <c r="A1341" s="34"/>
      <c r="F1341" s="50"/>
      <c r="G1341" s="50"/>
      <c r="H1341" s="50"/>
      <c r="I1341" s="50"/>
    </row>
    <row r="1342">
      <c r="A1342" s="34"/>
      <c r="F1342" s="50"/>
      <c r="G1342" s="50"/>
      <c r="H1342" s="50"/>
      <c r="I1342" s="50"/>
    </row>
    <row r="1343">
      <c r="A1343" s="34"/>
      <c r="F1343" s="50"/>
      <c r="G1343" s="50"/>
      <c r="H1343" s="50"/>
      <c r="I1343" s="50"/>
    </row>
    <row r="1344">
      <c r="A1344" s="34"/>
      <c r="F1344" s="50"/>
      <c r="G1344" s="50"/>
      <c r="H1344" s="50"/>
      <c r="I1344" s="50"/>
    </row>
    <row r="1345">
      <c r="A1345" s="34"/>
      <c r="F1345" s="50"/>
      <c r="G1345" s="50"/>
      <c r="H1345" s="50"/>
      <c r="I1345" s="50"/>
    </row>
    <row r="1346">
      <c r="A1346" s="34"/>
      <c r="F1346" s="50"/>
      <c r="G1346" s="50"/>
      <c r="H1346" s="50"/>
      <c r="I1346" s="50"/>
    </row>
    <row r="1347">
      <c r="A1347" s="34"/>
      <c r="F1347" s="50"/>
      <c r="G1347" s="50"/>
      <c r="H1347" s="50"/>
      <c r="I1347" s="50"/>
    </row>
    <row r="1348">
      <c r="A1348" s="34"/>
      <c r="F1348" s="50"/>
      <c r="G1348" s="50"/>
      <c r="H1348" s="50"/>
      <c r="I1348" s="50"/>
    </row>
    <row r="1349">
      <c r="A1349" s="34"/>
      <c r="F1349" s="50"/>
      <c r="G1349" s="50"/>
      <c r="H1349" s="50"/>
      <c r="I1349" s="50"/>
    </row>
    <row r="1350">
      <c r="A1350" s="34"/>
      <c r="F1350" s="50"/>
      <c r="G1350" s="50"/>
      <c r="H1350" s="50"/>
      <c r="I1350" s="50"/>
    </row>
    <row r="1351">
      <c r="A1351" s="34"/>
      <c r="F1351" s="50"/>
      <c r="G1351" s="50"/>
      <c r="H1351" s="50"/>
      <c r="I1351" s="50"/>
    </row>
    <row r="1352">
      <c r="A1352" s="34"/>
      <c r="F1352" s="50"/>
      <c r="G1352" s="50"/>
      <c r="H1352" s="50"/>
      <c r="I1352" s="50"/>
    </row>
    <row r="1353">
      <c r="A1353" s="34"/>
      <c r="F1353" s="50"/>
      <c r="G1353" s="50"/>
      <c r="H1353" s="50"/>
      <c r="I1353" s="50"/>
    </row>
    <row r="1354">
      <c r="A1354" s="34"/>
      <c r="F1354" s="50"/>
      <c r="G1354" s="50"/>
      <c r="H1354" s="50"/>
      <c r="I1354" s="50"/>
    </row>
    <row r="1355">
      <c r="A1355" s="34"/>
      <c r="F1355" s="50"/>
      <c r="G1355" s="50"/>
      <c r="H1355" s="50"/>
      <c r="I1355" s="50"/>
    </row>
    <row r="1356">
      <c r="A1356" s="34"/>
      <c r="F1356" s="50"/>
      <c r="G1356" s="50"/>
      <c r="H1356" s="50"/>
      <c r="I1356" s="50"/>
    </row>
    <row r="1357">
      <c r="A1357" s="34"/>
      <c r="F1357" s="50"/>
      <c r="G1357" s="50"/>
      <c r="H1357" s="50"/>
      <c r="I1357" s="50"/>
    </row>
    <row r="1358">
      <c r="A1358" s="34"/>
      <c r="F1358" s="50"/>
      <c r="G1358" s="50"/>
      <c r="H1358" s="50"/>
      <c r="I1358" s="50"/>
    </row>
    <row r="1359">
      <c r="A1359" s="34"/>
      <c r="F1359" s="50"/>
      <c r="G1359" s="50"/>
      <c r="H1359" s="50"/>
      <c r="I1359" s="50"/>
    </row>
    <row r="1360">
      <c r="A1360" s="34"/>
      <c r="F1360" s="50"/>
      <c r="G1360" s="50"/>
      <c r="H1360" s="50"/>
      <c r="I1360" s="50"/>
    </row>
    <row r="1361">
      <c r="A1361" s="34"/>
      <c r="F1361" s="50"/>
      <c r="G1361" s="50"/>
      <c r="H1361" s="50"/>
      <c r="I1361" s="50"/>
    </row>
    <row r="1362">
      <c r="A1362" s="34"/>
      <c r="F1362" s="50"/>
      <c r="G1362" s="50"/>
      <c r="H1362" s="50"/>
      <c r="I1362" s="50"/>
    </row>
    <row r="1363">
      <c r="A1363" s="34"/>
      <c r="F1363" s="50"/>
      <c r="G1363" s="50"/>
      <c r="H1363" s="50"/>
      <c r="I1363" s="50"/>
    </row>
    <row r="1364">
      <c r="A1364" s="34"/>
      <c r="F1364" s="50"/>
      <c r="G1364" s="50"/>
      <c r="H1364" s="50"/>
      <c r="I1364" s="50"/>
    </row>
    <row r="1365">
      <c r="A1365" s="34"/>
      <c r="F1365" s="50"/>
      <c r="G1365" s="50"/>
      <c r="H1365" s="50"/>
      <c r="I1365" s="50"/>
    </row>
    <row r="1366">
      <c r="A1366" s="34"/>
      <c r="F1366" s="50"/>
      <c r="G1366" s="50"/>
      <c r="H1366" s="50"/>
      <c r="I1366" s="50"/>
    </row>
    <row r="1367">
      <c r="A1367" s="34"/>
      <c r="F1367" s="50"/>
      <c r="G1367" s="50"/>
      <c r="H1367" s="50"/>
      <c r="I1367" s="50"/>
    </row>
    <row r="1368">
      <c r="A1368" s="34"/>
      <c r="F1368" s="50"/>
      <c r="G1368" s="50"/>
      <c r="H1368" s="50"/>
      <c r="I1368" s="50"/>
    </row>
    <row r="1369">
      <c r="A1369" s="34"/>
      <c r="F1369" s="50"/>
      <c r="G1369" s="50"/>
      <c r="H1369" s="50"/>
      <c r="I1369" s="50"/>
    </row>
    <row r="1370">
      <c r="A1370" s="34"/>
      <c r="F1370" s="50"/>
      <c r="G1370" s="50"/>
      <c r="H1370" s="50"/>
      <c r="I1370" s="50"/>
    </row>
    <row r="1371">
      <c r="A1371" s="34"/>
      <c r="F1371" s="50"/>
      <c r="G1371" s="50"/>
      <c r="H1371" s="50"/>
      <c r="I1371" s="50"/>
    </row>
    <row r="1372">
      <c r="A1372" s="34"/>
      <c r="F1372" s="50"/>
      <c r="G1372" s="50"/>
      <c r="H1372" s="50"/>
      <c r="I1372" s="50"/>
    </row>
    <row r="1373">
      <c r="A1373" s="34"/>
      <c r="F1373" s="50"/>
      <c r="G1373" s="50"/>
      <c r="H1373" s="50"/>
      <c r="I1373" s="50"/>
    </row>
    <row r="1374">
      <c r="A1374" s="34"/>
      <c r="F1374" s="50"/>
      <c r="G1374" s="50"/>
      <c r="H1374" s="50"/>
      <c r="I1374" s="50"/>
    </row>
    <row r="1375">
      <c r="A1375" s="34"/>
      <c r="F1375" s="50"/>
      <c r="G1375" s="50"/>
      <c r="H1375" s="50"/>
      <c r="I1375" s="50"/>
    </row>
    <row r="1376">
      <c r="A1376" s="34"/>
      <c r="F1376" s="50"/>
      <c r="G1376" s="50"/>
      <c r="H1376" s="50"/>
      <c r="I1376" s="50"/>
    </row>
    <row r="1377">
      <c r="A1377" s="34"/>
      <c r="F1377" s="50"/>
      <c r="G1377" s="50"/>
      <c r="H1377" s="50"/>
      <c r="I1377" s="50"/>
    </row>
    <row r="1378">
      <c r="A1378" s="34"/>
      <c r="F1378" s="50"/>
      <c r="G1378" s="50"/>
      <c r="H1378" s="50"/>
      <c r="I1378" s="50"/>
    </row>
    <row r="1379">
      <c r="A1379" s="34"/>
      <c r="F1379" s="50"/>
      <c r="G1379" s="50"/>
      <c r="H1379" s="50"/>
      <c r="I1379" s="50"/>
    </row>
    <row r="1380">
      <c r="A1380" s="34"/>
      <c r="F1380" s="50"/>
      <c r="G1380" s="50"/>
      <c r="H1380" s="50"/>
      <c r="I1380" s="50"/>
    </row>
    <row r="1381">
      <c r="A1381" s="34"/>
      <c r="F1381" s="50"/>
      <c r="G1381" s="50"/>
      <c r="H1381" s="50"/>
      <c r="I1381" s="50"/>
    </row>
    <row r="1382">
      <c r="A1382" s="34"/>
      <c r="F1382" s="50"/>
      <c r="G1382" s="50"/>
      <c r="H1382" s="50"/>
      <c r="I1382" s="50"/>
    </row>
    <row r="1383">
      <c r="A1383" s="34"/>
      <c r="F1383" s="50"/>
      <c r="G1383" s="50"/>
      <c r="H1383" s="50"/>
      <c r="I1383" s="50"/>
    </row>
    <row r="1384">
      <c r="A1384" s="34"/>
      <c r="F1384" s="50"/>
      <c r="G1384" s="50"/>
      <c r="H1384" s="50"/>
      <c r="I1384" s="50"/>
    </row>
    <row r="1385">
      <c r="A1385" s="34"/>
      <c r="F1385" s="50"/>
      <c r="G1385" s="50"/>
      <c r="H1385" s="50"/>
      <c r="I1385" s="50"/>
    </row>
    <row r="1386">
      <c r="A1386" s="34"/>
      <c r="F1386" s="50"/>
      <c r="G1386" s="50"/>
      <c r="H1386" s="50"/>
      <c r="I1386" s="50"/>
    </row>
    <row r="1387">
      <c r="A1387" s="34"/>
      <c r="F1387" s="50"/>
      <c r="G1387" s="50"/>
      <c r="H1387" s="50"/>
      <c r="I1387" s="50"/>
    </row>
    <row r="1388">
      <c r="A1388" s="34"/>
      <c r="F1388" s="50"/>
      <c r="G1388" s="50"/>
      <c r="H1388" s="50"/>
      <c r="I1388" s="50"/>
    </row>
    <row r="1389">
      <c r="A1389" s="34"/>
      <c r="F1389" s="50"/>
      <c r="G1389" s="50"/>
      <c r="H1389" s="50"/>
      <c r="I1389" s="50"/>
    </row>
    <row r="1390">
      <c r="A1390" s="34"/>
      <c r="F1390" s="50"/>
      <c r="G1390" s="50"/>
      <c r="H1390" s="50"/>
      <c r="I1390" s="50"/>
    </row>
    <row r="1391">
      <c r="A1391" s="34"/>
      <c r="F1391" s="50"/>
      <c r="G1391" s="50"/>
      <c r="H1391" s="50"/>
      <c r="I1391" s="50"/>
    </row>
    <row r="1392">
      <c r="A1392" s="34"/>
      <c r="F1392" s="50"/>
      <c r="G1392" s="50"/>
      <c r="H1392" s="50"/>
      <c r="I1392" s="50"/>
    </row>
    <row r="1393">
      <c r="A1393" s="34"/>
      <c r="F1393" s="50"/>
      <c r="G1393" s="50"/>
      <c r="H1393" s="50"/>
      <c r="I1393" s="50"/>
    </row>
    <row r="1394">
      <c r="A1394" s="34"/>
      <c r="F1394" s="50"/>
      <c r="G1394" s="50"/>
      <c r="H1394" s="50"/>
      <c r="I1394" s="50"/>
    </row>
    <row r="1395">
      <c r="A1395" s="34"/>
      <c r="F1395" s="50"/>
      <c r="G1395" s="50"/>
      <c r="H1395" s="50"/>
      <c r="I1395" s="50"/>
    </row>
    <row r="1396">
      <c r="A1396" s="34"/>
      <c r="F1396" s="50"/>
      <c r="G1396" s="50"/>
      <c r="H1396" s="50"/>
      <c r="I1396" s="50"/>
    </row>
    <row r="1397">
      <c r="A1397" s="34"/>
      <c r="F1397" s="50"/>
      <c r="G1397" s="50"/>
      <c r="H1397" s="50"/>
      <c r="I1397" s="50"/>
    </row>
    <row r="1398">
      <c r="A1398" s="34"/>
      <c r="F1398" s="50"/>
      <c r="G1398" s="50"/>
      <c r="H1398" s="50"/>
      <c r="I1398" s="50"/>
    </row>
    <row r="1399">
      <c r="A1399" s="34"/>
      <c r="F1399" s="50"/>
      <c r="G1399" s="50"/>
      <c r="H1399" s="50"/>
      <c r="I1399" s="50"/>
    </row>
    <row r="1400">
      <c r="A1400" s="34"/>
      <c r="F1400" s="50"/>
      <c r="G1400" s="50"/>
      <c r="H1400" s="50"/>
      <c r="I1400" s="50"/>
    </row>
    <row r="1401">
      <c r="A1401" s="34"/>
      <c r="F1401" s="50"/>
      <c r="G1401" s="50"/>
      <c r="H1401" s="50"/>
      <c r="I1401" s="50"/>
    </row>
    <row r="1402">
      <c r="A1402" s="34"/>
      <c r="F1402" s="50"/>
      <c r="G1402" s="50"/>
      <c r="H1402" s="50"/>
      <c r="I1402" s="50"/>
    </row>
    <row r="1403">
      <c r="A1403" s="34"/>
      <c r="F1403" s="50"/>
      <c r="G1403" s="50"/>
      <c r="H1403" s="50"/>
      <c r="I1403" s="50"/>
    </row>
    <row r="1404">
      <c r="A1404" s="34"/>
      <c r="F1404" s="50"/>
      <c r="G1404" s="50"/>
      <c r="H1404" s="50"/>
      <c r="I1404" s="50"/>
    </row>
    <row r="1405">
      <c r="A1405" s="34"/>
      <c r="F1405" s="50"/>
      <c r="G1405" s="50"/>
      <c r="H1405" s="50"/>
      <c r="I1405" s="50"/>
    </row>
    <row r="1406">
      <c r="A1406" s="34"/>
      <c r="F1406" s="50"/>
      <c r="G1406" s="50"/>
      <c r="H1406" s="50"/>
      <c r="I1406" s="50"/>
    </row>
    <row r="1407">
      <c r="A1407" s="34"/>
      <c r="F1407" s="50"/>
      <c r="G1407" s="50"/>
      <c r="H1407" s="50"/>
      <c r="I1407" s="50"/>
    </row>
    <row r="1408">
      <c r="A1408" s="34"/>
      <c r="F1408" s="50"/>
      <c r="G1408" s="50"/>
      <c r="H1408" s="50"/>
      <c r="I1408" s="50"/>
    </row>
    <row r="1409">
      <c r="A1409" s="34"/>
      <c r="F1409" s="50"/>
      <c r="G1409" s="50"/>
      <c r="H1409" s="50"/>
      <c r="I1409" s="50"/>
    </row>
    <row r="1410">
      <c r="A1410" s="34"/>
      <c r="F1410" s="50"/>
      <c r="G1410" s="50"/>
      <c r="H1410" s="50"/>
      <c r="I1410" s="50"/>
    </row>
    <row r="1411">
      <c r="A1411" s="34"/>
      <c r="F1411" s="50"/>
      <c r="G1411" s="50"/>
      <c r="H1411" s="50"/>
      <c r="I1411" s="50"/>
    </row>
    <row r="1412">
      <c r="A1412" s="34"/>
      <c r="F1412" s="50"/>
      <c r="G1412" s="50"/>
      <c r="H1412" s="50"/>
      <c r="I1412" s="50"/>
    </row>
    <row r="1413">
      <c r="A1413" s="34"/>
      <c r="F1413" s="50"/>
      <c r="G1413" s="50"/>
      <c r="H1413" s="50"/>
      <c r="I1413" s="50"/>
    </row>
    <row r="1414">
      <c r="A1414" s="34"/>
      <c r="F1414" s="50"/>
      <c r="G1414" s="50"/>
      <c r="H1414" s="50"/>
      <c r="I1414" s="50"/>
    </row>
    <row r="1415">
      <c r="A1415" s="34"/>
      <c r="F1415" s="50"/>
      <c r="G1415" s="50"/>
      <c r="H1415" s="50"/>
      <c r="I1415" s="50"/>
    </row>
    <row r="1416">
      <c r="A1416" s="34"/>
      <c r="F1416" s="50"/>
      <c r="G1416" s="50"/>
      <c r="H1416" s="50"/>
      <c r="I1416" s="50"/>
    </row>
    <row r="1417">
      <c r="A1417" s="34"/>
      <c r="F1417" s="50"/>
      <c r="G1417" s="50"/>
      <c r="H1417" s="50"/>
      <c r="I1417" s="50"/>
    </row>
    <row r="1418">
      <c r="A1418" s="34"/>
      <c r="F1418" s="50"/>
      <c r="G1418" s="50"/>
      <c r="H1418" s="50"/>
      <c r="I1418" s="50"/>
    </row>
    <row r="1419">
      <c r="A1419" s="34"/>
      <c r="F1419" s="50"/>
      <c r="G1419" s="50"/>
      <c r="H1419" s="50"/>
      <c r="I1419" s="50"/>
    </row>
    <row r="1420">
      <c r="A1420" s="34"/>
      <c r="F1420" s="50"/>
      <c r="G1420" s="50"/>
      <c r="H1420" s="50"/>
      <c r="I1420" s="50"/>
    </row>
    <row r="1421">
      <c r="A1421" s="34"/>
      <c r="F1421" s="50"/>
      <c r="G1421" s="50"/>
      <c r="H1421" s="50"/>
      <c r="I1421" s="50"/>
    </row>
    <row r="1422">
      <c r="A1422" s="34"/>
      <c r="F1422" s="50"/>
      <c r="G1422" s="50"/>
      <c r="H1422" s="50"/>
      <c r="I1422" s="50"/>
    </row>
    <row r="1423">
      <c r="A1423" s="34"/>
      <c r="F1423" s="50"/>
      <c r="G1423" s="50"/>
      <c r="H1423" s="50"/>
      <c r="I1423" s="50"/>
    </row>
    <row r="1424">
      <c r="A1424" s="34"/>
      <c r="F1424" s="50"/>
      <c r="G1424" s="50"/>
      <c r="H1424" s="50"/>
      <c r="I1424" s="50"/>
    </row>
    <row r="1425">
      <c r="A1425" s="34"/>
      <c r="F1425" s="50"/>
      <c r="G1425" s="50"/>
      <c r="H1425" s="50"/>
      <c r="I1425" s="50"/>
    </row>
    <row r="1426">
      <c r="A1426" s="34"/>
      <c r="F1426" s="50"/>
      <c r="G1426" s="50"/>
      <c r="H1426" s="50"/>
      <c r="I1426" s="50"/>
    </row>
    <row r="1427">
      <c r="A1427" s="34"/>
      <c r="F1427" s="50"/>
      <c r="G1427" s="50"/>
      <c r="H1427" s="50"/>
      <c r="I1427" s="50"/>
    </row>
    <row r="1428">
      <c r="A1428" s="34"/>
      <c r="F1428" s="50"/>
      <c r="G1428" s="50"/>
      <c r="H1428" s="50"/>
      <c r="I1428" s="50"/>
    </row>
    <row r="1429">
      <c r="A1429" s="34"/>
      <c r="F1429" s="50"/>
      <c r="G1429" s="50"/>
      <c r="H1429" s="50"/>
      <c r="I1429" s="50"/>
    </row>
    <row r="1430">
      <c r="A1430" s="34"/>
      <c r="F1430" s="50"/>
      <c r="G1430" s="50"/>
      <c r="H1430" s="50"/>
      <c r="I1430" s="50"/>
    </row>
    <row r="1431">
      <c r="A1431" s="34"/>
      <c r="F1431" s="50"/>
      <c r="G1431" s="50"/>
      <c r="H1431" s="50"/>
      <c r="I1431" s="50"/>
    </row>
    <row r="1432">
      <c r="A1432" s="34"/>
      <c r="F1432" s="50"/>
      <c r="G1432" s="50"/>
      <c r="H1432" s="50"/>
      <c r="I1432" s="50"/>
    </row>
    <row r="1433">
      <c r="A1433" s="34"/>
      <c r="F1433" s="50"/>
      <c r="G1433" s="50"/>
      <c r="H1433" s="50"/>
      <c r="I1433" s="50"/>
    </row>
    <row r="1434">
      <c r="A1434" s="34"/>
      <c r="F1434" s="50"/>
      <c r="G1434" s="50"/>
      <c r="H1434" s="50"/>
      <c r="I1434" s="50"/>
    </row>
    <row r="1435">
      <c r="A1435" s="34"/>
      <c r="F1435" s="50"/>
      <c r="G1435" s="50"/>
      <c r="H1435" s="50"/>
      <c r="I1435" s="50"/>
    </row>
    <row r="1436">
      <c r="A1436" s="34"/>
      <c r="F1436" s="50"/>
      <c r="G1436" s="50"/>
      <c r="H1436" s="50"/>
      <c r="I1436" s="50"/>
    </row>
    <row r="1437">
      <c r="A1437" s="34"/>
      <c r="F1437" s="50"/>
      <c r="G1437" s="50"/>
      <c r="H1437" s="50"/>
      <c r="I1437" s="50"/>
    </row>
    <row r="1438">
      <c r="A1438" s="34"/>
      <c r="F1438" s="50"/>
      <c r="G1438" s="50"/>
      <c r="H1438" s="50"/>
      <c r="I1438" s="50"/>
    </row>
    <row r="1439">
      <c r="A1439" s="34"/>
      <c r="F1439" s="50"/>
      <c r="G1439" s="50"/>
      <c r="H1439" s="50"/>
      <c r="I1439" s="50"/>
    </row>
    <row r="1440">
      <c r="A1440" s="34"/>
      <c r="F1440" s="50"/>
      <c r="G1440" s="50"/>
      <c r="H1440" s="50"/>
      <c r="I1440" s="50"/>
    </row>
    <row r="1441">
      <c r="A1441" s="34"/>
      <c r="F1441" s="50"/>
      <c r="G1441" s="50"/>
      <c r="H1441" s="50"/>
      <c r="I1441" s="50"/>
    </row>
    <row r="1442">
      <c r="A1442" s="34"/>
      <c r="F1442" s="50"/>
      <c r="G1442" s="50"/>
      <c r="H1442" s="50"/>
      <c r="I1442" s="50"/>
    </row>
    <row r="1443">
      <c r="A1443" s="34"/>
      <c r="F1443" s="50"/>
      <c r="G1443" s="50"/>
      <c r="H1443" s="50"/>
      <c r="I1443" s="50"/>
    </row>
    <row r="1444">
      <c r="A1444" s="34"/>
      <c r="F1444" s="50"/>
      <c r="G1444" s="50"/>
      <c r="H1444" s="50"/>
      <c r="I1444" s="50"/>
    </row>
    <row r="1445">
      <c r="A1445" s="34"/>
      <c r="F1445" s="50"/>
      <c r="G1445" s="50"/>
      <c r="H1445" s="50"/>
      <c r="I1445" s="50"/>
    </row>
    <row r="1446">
      <c r="A1446" s="34"/>
      <c r="F1446" s="50"/>
      <c r="G1446" s="50"/>
      <c r="H1446" s="50"/>
      <c r="I1446" s="50"/>
    </row>
    <row r="1447">
      <c r="A1447" s="34"/>
      <c r="F1447" s="50"/>
      <c r="G1447" s="50"/>
      <c r="H1447" s="50"/>
      <c r="I1447" s="50"/>
    </row>
    <row r="1448">
      <c r="A1448" s="34"/>
      <c r="F1448" s="50"/>
      <c r="G1448" s="50"/>
      <c r="H1448" s="50"/>
      <c r="I1448" s="50"/>
    </row>
    <row r="1449">
      <c r="A1449" s="34"/>
      <c r="F1449" s="50"/>
      <c r="G1449" s="50"/>
      <c r="H1449" s="50"/>
      <c r="I1449" s="50"/>
    </row>
    <row r="1450">
      <c r="A1450" s="34"/>
      <c r="F1450" s="50"/>
      <c r="G1450" s="50"/>
      <c r="H1450" s="50"/>
      <c r="I1450" s="50"/>
    </row>
    <row r="1451">
      <c r="A1451" s="34"/>
      <c r="F1451" s="50"/>
      <c r="G1451" s="50"/>
      <c r="H1451" s="50"/>
      <c r="I1451" s="50"/>
    </row>
    <row r="1452">
      <c r="A1452" s="34"/>
      <c r="F1452" s="50"/>
      <c r="G1452" s="50"/>
      <c r="H1452" s="50"/>
      <c r="I1452" s="50"/>
    </row>
    <row r="1453">
      <c r="A1453" s="34"/>
      <c r="F1453" s="50"/>
      <c r="G1453" s="50"/>
      <c r="H1453" s="50"/>
      <c r="I1453" s="50"/>
    </row>
    <row r="1454">
      <c r="A1454" s="34"/>
      <c r="F1454" s="50"/>
      <c r="G1454" s="50"/>
      <c r="H1454" s="50"/>
      <c r="I1454" s="50"/>
    </row>
    <row r="1455">
      <c r="A1455" s="34"/>
      <c r="F1455" s="50"/>
      <c r="G1455" s="50"/>
      <c r="H1455" s="50"/>
      <c r="I1455" s="50"/>
    </row>
    <row r="1456">
      <c r="A1456" s="34"/>
      <c r="F1456" s="50"/>
      <c r="G1456" s="50"/>
      <c r="H1456" s="50"/>
      <c r="I1456" s="50"/>
    </row>
    <row r="1457">
      <c r="A1457" s="34"/>
      <c r="F1457" s="50"/>
      <c r="G1457" s="50"/>
      <c r="H1457" s="50"/>
      <c r="I1457" s="50"/>
    </row>
    <row r="1458">
      <c r="A1458" s="34"/>
      <c r="F1458" s="50"/>
      <c r="G1458" s="50"/>
      <c r="H1458" s="50"/>
      <c r="I1458" s="50"/>
    </row>
    <row r="1459">
      <c r="A1459" s="34"/>
      <c r="F1459" s="50"/>
      <c r="G1459" s="50"/>
      <c r="H1459" s="50"/>
      <c r="I1459" s="50"/>
    </row>
    <row r="1460">
      <c r="A1460" s="34"/>
      <c r="F1460" s="50"/>
      <c r="G1460" s="50"/>
      <c r="H1460" s="50"/>
      <c r="I1460" s="50"/>
    </row>
    <row r="1461">
      <c r="A1461" s="34"/>
      <c r="F1461" s="50"/>
      <c r="G1461" s="50"/>
      <c r="H1461" s="50"/>
      <c r="I1461" s="50"/>
    </row>
    <row r="1462">
      <c r="A1462" s="34"/>
      <c r="F1462" s="50"/>
      <c r="G1462" s="50"/>
      <c r="H1462" s="50"/>
      <c r="I1462" s="50"/>
    </row>
    <row r="1463">
      <c r="A1463" s="34"/>
      <c r="F1463" s="50"/>
      <c r="G1463" s="50"/>
      <c r="H1463" s="50"/>
      <c r="I1463" s="50"/>
    </row>
    <row r="1464">
      <c r="A1464" s="34"/>
      <c r="F1464" s="50"/>
      <c r="G1464" s="50"/>
      <c r="H1464" s="50"/>
      <c r="I1464" s="50"/>
    </row>
    <row r="1465">
      <c r="A1465" s="34"/>
      <c r="F1465" s="50"/>
      <c r="G1465" s="50"/>
      <c r="H1465" s="50"/>
      <c r="I1465" s="50"/>
    </row>
    <row r="1466">
      <c r="A1466" s="34"/>
      <c r="F1466" s="50"/>
      <c r="G1466" s="50"/>
      <c r="H1466" s="50"/>
      <c r="I1466" s="50"/>
    </row>
    <row r="1467">
      <c r="A1467" s="34"/>
      <c r="F1467" s="50"/>
      <c r="G1467" s="50"/>
      <c r="H1467" s="50"/>
      <c r="I1467" s="50"/>
    </row>
    <row r="1468">
      <c r="A1468" s="34"/>
      <c r="F1468" s="50"/>
      <c r="G1468" s="50"/>
      <c r="H1468" s="50"/>
      <c r="I1468" s="50"/>
    </row>
    <row r="1469">
      <c r="A1469" s="34"/>
      <c r="F1469" s="50"/>
      <c r="G1469" s="50"/>
      <c r="H1469" s="50"/>
      <c r="I1469" s="50"/>
    </row>
    <row r="1470">
      <c r="A1470" s="34"/>
      <c r="F1470" s="50"/>
      <c r="G1470" s="50"/>
      <c r="H1470" s="50"/>
      <c r="I1470" s="50"/>
    </row>
    <row r="1471">
      <c r="A1471" s="34"/>
      <c r="F1471" s="50"/>
      <c r="G1471" s="50"/>
      <c r="H1471" s="50"/>
      <c r="I1471" s="50"/>
    </row>
    <row r="1472">
      <c r="A1472" s="34"/>
      <c r="F1472" s="50"/>
      <c r="G1472" s="50"/>
      <c r="H1472" s="50"/>
      <c r="I1472" s="50"/>
    </row>
    <row r="1473">
      <c r="A1473" s="34"/>
      <c r="F1473" s="50"/>
      <c r="G1473" s="50"/>
      <c r="H1473" s="50"/>
      <c r="I1473" s="50"/>
    </row>
    <row r="1474">
      <c r="A1474" s="34"/>
      <c r="F1474" s="50"/>
      <c r="G1474" s="50"/>
      <c r="H1474" s="50"/>
      <c r="I1474" s="50"/>
    </row>
    <row r="1475">
      <c r="A1475" s="34"/>
      <c r="F1475" s="50"/>
      <c r="G1475" s="50"/>
      <c r="H1475" s="50"/>
      <c r="I1475" s="50"/>
    </row>
    <row r="1476">
      <c r="A1476" s="34"/>
      <c r="F1476" s="50"/>
      <c r="G1476" s="50"/>
      <c r="H1476" s="50"/>
      <c r="I1476" s="50"/>
    </row>
    <row r="1477">
      <c r="A1477" s="34"/>
      <c r="F1477" s="50"/>
      <c r="G1477" s="50"/>
      <c r="H1477" s="50"/>
      <c r="I1477" s="50"/>
    </row>
    <row r="1478">
      <c r="A1478" s="34"/>
      <c r="F1478" s="50"/>
      <c r="G1478" s="50"/>
      <c r="H1478" s="50"/>
      <c r="I1478" s="50"/>
    </row>
    <row r="1479">
      <c r="A1479" s="34"/>
      <c r="F1479" s="50"/>
      <c r="G1479" s="50"/>
      <c r="H1479" s="50"/>
      <c r="I1479" s="50"/>
    </row>
    <row r="1480">
      <c r="A1480" s="34"/>
      <c r="F1480" s="50"/>
      <c r="G1480" s="50"/>
      <c r="H1480" s="50"/>
      <c r="I1480" s="50"/>
    </row>
    <row r="1481">
      <c r="A1481" s="34"/>
      <c r="F1481" s="50"/>
      <c r="G1481" s="50"/>
      <c r="H1481" s="50"/>
      <c r="I1481" s="50"/>
    </row>
    <row r="1482">
      <c r="A1482" s="34"/>
      <c r="F1482" s="50"/>
      <c r="G1482" s="50"/>
      <c r="H1482" s="50"/>
      <c r="I1482" s="50"/>
    </row>
    <row r="1483">
      <c r="A1483" s="34"/>
      <c r="F1483" s="50"/>
      <c r="G1483" s="50"/>
      <c r="H1483" s="50"/>
      <c r="I1483" s="50"/>
    </row>
    <row r="1484">
      <c r="A1484" s="34"/>
      <c r="F1484" s="50"/>
      <c r="G1484" s="50"/>
      <c r="H1484" s="50"/>
      <c r="I1484" s="50"/>
    </row>
    <row r="1485">
      <c r="A1485" s="34"/>
      <c r="F1485" s="50"/>
      <c r="G1485" s="50"/>
      <c r="H1485" s="50"/>
      <c r="I1485" s="50"/>
    </row>
    <row r="1486">
      <c r="A1486" s="34"/>
      <c r="F1486" s="50"/>
      <c r="G1486" s="50"/>
      <c r="H1486" s="50"/>
      <c r="I1486" s="50"/>
    </row>
    <row r="1487">
      <c r="A1487" s="34"/>
      <c r="F1487" s="50"/>
      <c r="G1487" s="50"/>
      <c r="H1487" s="50"/>
      <c r="I1487" s="50"/>
    </row>
    <row r="1488">
      <c r="A1488" s="34"/>
      <c r="F1488" s="50"/>
      <c r="G1488" s="50"/>
      <c r="H1488" s="50"/>
      <c r="I1488" s="50"/>
    </row>
    <row r="1489">
      <c r="A1489" s="34"/>
      <c r="F1489" s="50"/>
      <c r="G1489" s="50"/>
      <c r="H1489" s="50"/>
      <c r="I1489" s="50"/>
    </row>
    <row r="1490">
      <c r="A1490" s="34"/>
      <c r="F1490" s="50"/>
      <c r="G1490" s="50"/>
      <c r="H1490" s="50"/>
      <c r="I1490" s="50"/>
    </row>
    <row r="1491">
      <c r="A1491" s="34"/>
      <c r="F1491" s="50"/>
      <c r="G1491" s="50"/>
      <c r="H1491" s="50"/>
      <c r="I1491" s="50"/>
    </row>
    <row r="1492">
      <c r="A1492" s="34"/>
      <c r="F1492" s="50"/>
      <c r="G1492" s="50"/>
      <c r="H1492" s="50"/>
      <c r="I1492" s="50"/>
    </row>
    <row r="1493">
      <c r="A1493" s="34"/>
      <c r="F1493" s="50"/>
      <c r="G1493" s="50"/>
      <c r="H1493" s="50"/>
      <c r="I1493" s="50"/>
    </row>
    <row r="1494">
      <c r="A1494" s="34"/>
      <c r="F1494" s="50"/>
      <c r="G1494" s="50"/>
      <c r="H1494" s="50"/>
      <c r="I1494" s="50"/>
    </row>
    <row r="1495">
      <c r="A1495" s="34"/>
      <c r="F1495" s="50"/>
      <c r="G1495" s="50"/>
      <c r="H1495" s="50"/>
      <c r="I1495" s="50"/>
    </row>
    <row r="1496">
      <c r="A1496" s="34"/>
      <c r="F1496" s="50"/>
      <c r="G1496" s="50"/>
      <c r="H1496" s="50"/>
      <c r="I1496" s="50"/>
    </row>
    <row r="1497">
      <c r="A1497" s="34"/>
      <c r="F1497" s="50"/>
      <c r="G1497" s="50"/>
      <c r="H1497" s="50"/>
      <c r="I1497" s="50"/>
    </row>
    <row r="1498">
      <c r="A1498" s="34"/>
      <c r="F1498" s="50"/>
      <c r="G1498" s="50"/>
      <c r="H1498" s="50"/>
      <c r="I1498" s="50"/>
    </row>
    <row r="1499">
      <c r="A1499" s="34"/>
      <c r="F1499" s="50"/>
      <c r="G1499" s="50"/>
      <c r="H1499" s="50"/>
      <c r="I1499" s="50"/>
    </row>
    <row r="1500">
      <c r="A1500" s="34"/>
      <c r="F1500" s="50"/>
      <c r="G1500" s="50"/>
      <c r="H1500" s="50"/>
      <c r="I1500" s="50"/>
    </row>
    <row r="1501">
      <c r="A1501" s="34"/>
      <c r="F1501" s="50"/>
      <c r="G1501" s="50"/>
      <c r="H1501" s="50"/>
      <c r="I1501" s="50"/>
    </row>
    <row r="1502">
      <c r="A1502" s="34"/>
      <c r="F1502" s="50"/>
      <c r="G1502" s="50"/>
      <c r="H1502" s="50"/>
      <c r="I1502" s="50"/>
    </row>
    <row r="1503">
      <c r="A1503" s="34"/>
      <c r="F1503" s="50"/>
      <c r="G1503" s="50"/>
      <c r="H1503" s="50"/>
      <c r="I1503" s="50"/>
    </row>
    <row r="1504">
      <c r="A1504" s="34"/>
      <c r="F1504" s="50"/>
      <c r="G1504" s="50"/>
      <c r="H1504" s="50"/>
      <c r="I1504" s="50"/>
    </row>
    <row r="1505">
      <c r="A1505" s="34"/>
      <c r="F1505" s="50"/>
      <c r="G1505" s="50"/>
      <c r="H1505" s="50"/>
      <c r="I1505" s="50"/>
    </row>
    <row r="1506">
      <c r="A1506" s="34"/>
      <c r="F1506" s="50"/>
      <c r="G1506" s="50"/>
      <c r="H1506" s="50"/>
      <c r="I1506" s="50"/>
    </row>
    <row r="1507">
      <c r="A1507" s="34"/>
      <c r="F1507" s="50"/>
      <c r="G1507" s="50"/>
      <c r="H1507" s="50"/>
      <c r="I1507" s="50"/>
    </row>
    <row r="1508">
      <c r="A1508" s="34"/>
      <c r="F1508" s="50"/>
      <c r="G1508" s="50"/>
      <c r="H1508" s="50"/>
      <c r="I1508" s="50"/>
    </row>
    <row r="1509">
      <c r="A1509" s="34"/>
      <c r="F1509" s="50"/>
      <c r="G1509" s="50"/>
      <c r="H1509" s="50"/>
      <c r="I1509" s="50"/>
    </row>
    <row r="1510">
      <c r="A1510" s="34"/>
      <c r="F1510" s="50"/>
      <c r="G1510" s="50"/>
      <c r="H1510" s="50"/>
      <c r="I1510" s="50"/>
    </row>
    <row r="1511">
      <c r="A1511" s="34"/>
      <c r="F1511" s="50"/>
      <c r="G1511" s="50"/>
      <c r="H1511" s="50"/>
      <c r="I1511" s="50"/>
    </row>
    <row r="1512">
      <c r="A1512" s="34"/>
      <c r="F1512" s="50"/>
      <c r="G1512" s="50"/>
      <c r="H1512" s="50"/>
      <c r="I1512" s="50"/>
    </row>
    <row r="1513">
      <c r="A1513" s="34"/>
      <c r="F1513" s="50"/>
      <c r="G1513" s="50"/>
      <c r="H1513" s="50"/>
      <c r="I1513" s="50"/>
    </row>
    <row r="1514">
      <c r="A1514" s="34"/>
      <c r="F1514" s="50"/>
      <c r="G1514" s="50"/>
      <c r="H1514" s="50"/>
      <c r="I1514" s="50"/>
    </row>
    <row r="1515">
      <c r="A1515" s="34"/>
      <c r="F1515" s="50"/>
      <c r="G1515" s="50"/>
      <c r="H1515" s="50"/>
      <c r="I1515" s="50"/>
    </row>
    <row r="1516">
      <c r="A1516" s="34"/>
      <c r="F1516" s="50"/>
      <c r="G1516" s="50"/>
      <c r="H1516" s="50"/>
      <c r="I1516" s="50"/>
    </row>
    <row r="1517">
      <c r="A1517" s="34"/>
      <c r="F1517" s="50"/>
      <c r="G1517" s="50"/>
      <c r="H1517" s="50"/>
      <c r="I1517" s="50"/>
    </row>
    <row r="1518">
      <c r="A1518" s="34"/>
      <c r="F1518" s="50"/>
      <c r="G1518" s="50"/>
      <c r="H1518" s="50"/>
      <c r="I1518" s="50"/>
    </row>
    <row r="1519">
      <c r="A1519" s="34"/>
      <c r="F1519" s="50"/>
      <c r="G1519" s="50"/>
      <c r="H1519" s="50"/>
      <c r="I1519" s="50"/>
    </row>
    <row r="1520">
      <c r="A1520" s="34"/>
      <c r="F1520" s="50"/>
      <c r="G1520" s="50"/>
      <c r="H1520" s="50"/>
      <c r="I1520" s="50"/>
    </row>
    <row r="1521">
      <c r="A1521" s="34"/>
      <c r="F1521" s="50"/>
      <c r="G1521" s="50"/>
      <c r="H1521" s="50"/>
      <c r="I1521" s="50"/>
    </row>
    <row r="1522">
      <c r="A1522" s="34"/>
      <c r="F1522" s="50"/>
      <c r="G1522" s="50"/>
      <c r="H1522" s="50"/>
      <c r="I1522" s="50"/>
    </row>
    <row r="1523">
      <c r="A1523" s="34"/>
      <c r="F1523" s="50"/>
      <c r="G1523" s="50"/>
      <c r="H1523" s="50"/>
      <c r="I1523" s="50"/>
    </row>
    <row r="1524">
      <c r="A1524" s="34"/>
      <c r="F1524" s="50"/>
      <c r="G1524" s="50"/>
      <c r="H1524" s="50"/>
      <c r="I1524" s="50"/>
    </row>
    <row r="1525">
      <c r="A1525" s="34"/>
      <c r="F1525" s="50"/>
      <c r="G1525" s="50"/>
      <c r="H1525" s="50"/>
      <c r="I1525" s="50"/>
    </row>
    <row r="1526">
      <c r="A1526" s="34"/>
      <c r="F1526" s="50"/>
      <c r="G1526" s="50"/>
      <c r="H1526" s="50"/>
      <c r="I1526" s="50"/>
    </row>
    <row r="1527">
      <c r="A1527" s="34"/>
      <c r="F1527" s="50"/>
      <c r="G1527" s="50"/>
      <c r="H1527" s="50"/>
      <c r="I1527" s="50"/>
    </row>
    <row r="1528">
      <c r="A1528" s="34"/>
      <c r="F1528" s="50"/>
      <c r="G1528" s="50"/>
      <c r="H1528" s="50"/>
      <c r="I1528" s="50"/>
    </row>
    <row r="1529">
      <c r="A1529" s="34"/>
      <c r="F1529" s="50"/>
      <c r="G1529" s="50"/>
      <c r="H1529" s="50"/>
      <c r="I1529" s="50"/>
    </row>
    <row r="1530">
      <c r="A1530" s="34"/>
      <c r="F1530" s="50"/>
      <c r="G1530" s="50"/>
      <c r="H1530" s="50"/>
      <c r="I1530" s="50"/>
    </row>
    <row r="1531">
      <c r="A1531" s="34"/>
      <c r="F1531" s="50"/>
      <c r="G1531" s="50"/>
      <c r="H1531" s="50"/>
      <c r="I1531" s="50"/>
    </row>
    <row r="1532">
      <c r="A1532" s="34"/>
      <c r="F1532" s="50"/>
      <c r="G1532" s="50"/>
      <c r="H1532" s="50"/>
      <c r="I1532" s="50"/>
    </row>
    <row r="1533">
      <c r="A1533" s="34"/>
      <c r="F1533" s="50"/>
      <c r="G1533" s="50"/>
      <c r="H1533" s="50"/>
      <c r="I1533" s="50"/>
    </row>
    <row r="1534">
      <c r="A1534" s="34"/>
      <c r="F1534" s="50"/>
      <c r="G1534" s="50"/>
      <c r="H1534" s="50"/>
      <c r="I1534" s="50"/>
    </row>
    <row r="1535">
      <c r="A1535" s="34"/>
      <c r="F1535" s="50"/>
      <c r="G1535" s="50"/>
      <c r="H1535" s="50"/>
      <c r="I1535" s="50"/>
    </row>
    <row r="1536">
      <c r="A1536" s="34"/>
      <c r="F1536" s="50"/>
      <c r="G1536" s="50"/>
      <c r="H1536" s="50"/>
      <c r="I1536" s="50"/>
    </row>
    <row r="1537">
      <c r="A1537" s="34"/>
      <c r="F1537" s="50"/>
      <c r="G1537" s="50"/>
      <c r="H1537" s="50"/>
      <c r="I1537" s="50"/>
    </row>
    <row r="1538">
      <c r="A1538" s="34"/>
      <c r="F1538" s="50"/>
      <c r="G1538" s="50"/>
      <c r="H1538" s="50"/>
      <c r="I1538" s="50"/>
    </row>
    <row r="1539">
      <c r="A1539" s="34"/>
      <c r="F1539" s="50"/>
      <c r="G1539" s="50"/>
      <c r="H1539" s="50"/>
      <c r="I1539" s="50"/>
    </row>
    <row r="1540">
      <c r="A1540" s="34"/>
      <c r="F1540" s="50"/>
      <c r="G1540" s="50"/>
      <c r="H1540" s="50"/>
      <c r="I1540" s="50"/>
    </row>
    <row r="1541">
      <c r="A1541" s="34"/>
      <c r="F1541" s="50"/>
      <c r="G1541" s="50"/>
      <c r="H1541" s="50"/>
      <c r="I1541" s="50"/>
    </row>
    <row r="1542">
      <c r="A1542" s="34"/>
      <c r="F1542" s="50"/>
      <c r="G1542" s="50"/>
      <c r="H1542" s="50"/>
      <c r="I1542" s="50"/>
    </row>
    <row r="1543">
      <c r="A1543" s="34"/>
      <c r="F1543" s="50"/>
      <c r="G1543" s="50"/>
      <c r="H1543" s="50"/>
      <c r="I1543" s="50"/>
    </row>
    <row r="1544">
      <c r="A1544" s="34"/>
      <c r="F1544" s="50"/>
      <c r="G1544" s="50"/>
      <c r="H1544" s="50"/>
      <c r="I1544" s="50"/>
    </row>
    <row r="1545">
      <c r="A1545" s="34"/>
      <c r="F1545" s="50"/>
      <c r="G1545" s="50"/>
      <c r="H1545" s="50"/>
      <c r="I1545" s="50"/>
    </row>
    <row r="1546">
      <c r="A1546" s="34"/>
      <c r="F1546" s="50"/>
      <c r="G1546" s="50"/>
      <c r="H1546" s="50"/>
      <c r="I1546" s="50"/>
    </row>
    <row r="1547">
      <c r="A1547" s="34"/>
      <c r="F1547" s="50"/>
      <c r="G1547" s="50"/>
      <c r="H1547" s="50"/>
      <c r="I1547" s="50"/>
    </row>
    <row r="1548">
      <c r="A1548" s="34"/>
      <c r="F1548" s="50"/>
      <c r="G1548" s="50"/>
      <c r="H1548" s="50"/>
      <c r="I1548" s="50"/>
    </row>
    <row r="1549">
      <c r="A1549" s="34"/>
      <c r="F1549" s="50"/>
      <c r="G1549" s="50"/>
      <c r="H1549" s="50"/>
      <c r="I1549" s="50"/>
    </row>
    <row r="1550">
      <c r="A1550" s="34"/>
      <c r="F1550" s="50"/>
      <c r="G1550" s="50"/>
      <c r="H1550" s="50"/>
      <c r="I1550" s="50"/>
    </row>
    <row r="1551">
      <c r="A1551" s="34"/>
      <c r="F1551" s="50"/>
      <c r="G1551" s="50"/>
      <c r="H1551" s="50"/>
      <c r="I1551" s="50"/>
    </row>
    <row r="1552">
      <c r="A1552" s="34"/>
      <c r="F1552" s="50"/>
      <c r="G1552" s="50"/>
      <c r="H1552" s="50"/>
      <c r="I1552" s="50"/>
    </row>
    <row r="1553">
      <c r="A1553" s="34"/>
      <c r="F1553" s="50"/>
      <c r="G1553" s="50"/>
      <c r="H1553" s="50"/>
      <c r="I1553" s="50"/>
    </row>
    <row r="1554">
      <c r="A1554" s="34"/>
      <c r="F1554" s="50"/>
      <c r="G1554" s="50"/>
      <c r="H1554" s="50"/>
      <c r="I1554" s="50"/>
    </row>
    <row r="1555">
      <c r="A1555" s="34"/>
      <c r="F1555" s="50"/>
      <c r="G1555" s="50"/>
      <c r="H1555" s="50"/>
      <c r="I1555" s="50"/>
    </row>
    <row r="1556">
      <c r="A1556" s="34"/>
      <c r="F1556" s="50"/>
      <c r="G1556" s="50"/>
      <c r="H1556" s="50"/>
      <c r="I1556" s="50"/>
    </row>
    <row r="1557">
      <c r="A1557" s="34"/>
      <c r="F1557" s="50"/>
      <c r="G1557" s="50"/>
      <c r="H1557" s="50"/>
      <c r="I1557" s="50"/>
    </row>
    <row r="1558">
      <c r="A1558" s="34"/>
      <c r="F1558" s="50"/>
      <c r="G1558" s="50"/>
      <c r="H1558" s="50"/>
      <c r="I1558" s="50"/>
    </row>
    <row r="1559">
      <c r="A1559" s="34"/>
      <c r="F1559" s="50"/>
      <c r="G1559" s="50"/>
      <c r="H1559" s="50"/>
      <c r="I1559" s="50"/>
    </row>
    <row r="1560">
      <c r="A1560" s="34"/>
      <c r="F1560" s="50"/>
      <c r="G1560" s="50"/>
      <c r="H1560" s="50"/>
      <c r="I1560" s="50"/>
    </row>
    <row r="1561">
      <c r="A1561" s="34"/>
      <c r="F1561" s="50"/>
      <c r="G1561" s="50"/>
      <c r="H1561" s="50"/>
      <c r="I1561" s="50"/>
    </row>
    <row r="1562">
      <c r="A1562" s="34"/>
      <c r="F1562" s="50"/>
      <c r="G1562" s="50"/>
      <c r="H1562" s="50"/>
      <c r="I1562" s="50"/>
    </row>
    <row r="1563">
      <c r="A1563" s="34"/>
      <c r="F1563" s="50"/>
      <c r="G1563" s="50"/>
      <c r="H1563" s="50"/>
      <c r="I1563" s="50"/>
    </row>
    <row r="1564">
      <c r="A1564" s="34"/>
      <c r="F1564" s="50"/>
      <c r="G1564" s="50"/>
      <c r="H1564" s="50"/>
      <c r="I1564" s="50"/>
    </row>
    <row r="1565">
      <c r="A1565" s="34"/>
      <c r="F1565" s="50"/>
      <c r="G1565" s="50"/>
      <c r="H1565" s="50"/>
      <c r="I1565" s="50"/>
    </row>
    <row r="1566">
      <c r="A1566" s="34"/>
      <c r="F1566" s="50"/>
      <c r="G1566" s="50"/>
      <c r="H1566" s="50"/>
      <c r="I1566" s="50"/>
    </row>
    <row r="1567">
      <c r="A1567" s="34"/>
      <c r="F1567" s="50"/>
      <c r="G1567" s="50"/>
      <c r="H1567" s="50"/>
      <c r="I1567" s="50"/>
    </row>
    <row r="1568">
      <c r="A1568" s="34"/>
      <c r="F1568" s="50"/>
      <c r="G1568" s="50"/>
      <c r="H1568" s="50"/>
      <c r="I1568" s="50"/>
    </row>
    <row r="1569">
      <c r="A1569" s="34"/>
      <c r="F1569" s="50"/>
      <c r="G1569" s="50"/>
      <c r="H1569" s="50"/>
      <c r="I1569" s="50"/>
    </row>
    <row r="1570">
      <c r="A1570" s="34"/>
      <c r="F1570" s="50"/>
      <c r="G1570" s="50"/>
      <c r="H1570" s="50"/>
      <c r="I1570" s="50"/>
    </row>
    <row r="1571">
      <c r="A1571" s="34"/>
      <c r="F1571" s="50"/>
      <c r="G1571" s="50"/>
      <c r="H1571" s="50"/>
      <c r="I1571" s="50"/>
    </row>
    <row r="1572">
      <c r="A1572" s="34"/>
      <c r="F1572" s="50"/>
      <c r="G1572" s="50"/>
      <c r="H1572" s="50"/>
      <c r="I1572" s="50"/>
    </row>
    <row r="1573">
      <c r="A1573" s="34"/>
      <c r="F1573" s="50"/>
      <c r="G1573" s="50"/>
      <c r="H1573" s="50"/>
      <c r="I1573" s="50"/>
    </row>
    <row r="1574">
      <c r="A1574" s="34"/>
      <c r="F1574" s="50"/>
      <c r="G1574" s="50"/>
      <c r="H1574" s="50"/>
      <c r="I1574" s="50"/>
    </row>
    <row r="1575">
      <c r="A1575" s="34"/>
      <c r="F1575" s="50"/>
      <c r="G1575" s="50"/>
      <c r="H1575" s="50"/>
      <c r="I1575" s="50"/>
    </row>
    <row r="1576">
      <c r="A1576" s="34"/>
      <c r="F1576" s="50"/>
      <c r="G1576" s="50"/>
      <c r="H1576" s="50"/>
      <c r="I1576" s="50"/>
    </row>
    <row r="1577">
      <c r="A1577" s="34"/>
      <c r="F1577" s="50"/>
      <c r="G1577" s="50"/>
      <c r="H1577" s="50"/>
      <c r="I1577" s="50"/>
    </row>
    <row r="1578">
      <c r="A1578" s="34"/>
      <c r="F1578" s="50"/>
      <c r="G1578" s="50"/>
      <c r="H1578" s="50"/>
      <c r="I1578" s="50"/>
    </row>
    <row r="1579">
      <c r="A1579" s="34"/>
      <c r="F1579" s="50"/>
      <c r="G1579" s="50"/>
      <c r="H1579" s="50"/>
      <c r="I1579" s="50"/>
    </row>
    <row r="1580">
      <c r="A1580" s="34"/>
      <c r="F1580" s="50"/>
      <c r="G1580" s="50"/>
      <c r="H1580" s="50"/>
      <c r="I1580" s="50"/>
    </row>
    <row r="1581">
      <c r="A1581" s="34"/>
      <c r="F1581" s="50"/>
      <c r="G1581" s="50"/>
      <c r="H1581" s="50"/>
      <c r="I1581" s="50"/>
    </row>
    <row r="1582">
      <c r="A1582" s="34"/>
      <c r="F1582" s="50"/>
      <c r="G1582" s="50"/>
      <c r="H1582" s="50"/>
      <c r="I1582" s="50"/>
    </row>
    <row r="1583">
      <c r="A1583" s="34"/>
      <c r="F1583" s="50"/>
      <c r="G1583" s="50"/>
      <c r="H1583" s="50"/>
      <c r="I1583" s="50"/>
    </row>
    <row r="1584">
      <c r="A1584" s="34"/>
      <c r="F1584" s="50"/>
      <c r="G1584" s="50"/>
      <c r="H1584" s="50"/>
      <c r="I1584" s="50"/>
    </row>
    <row r="1585">
      <c r="A1585" s="34"/>
      <c r="F1585" s="50"/>
      <c r="G1585" s="50"/>
      <c r="H1585" s="50"/>
      <c r="I1585" s="50"/>
    </row>
    <row r="1586">
      <c r="A1586" s="34"/>
      <c r="F1586" s="50"/>
      <c r="G1586" s="50"/>
      <c r="H1586" s="50"/>
      <c r="I1586" s="50"/>
    </row>
    <row r="1587">
      <c r="A1587" s="34"/>
      <c r="F1587" s="50"/>
      <c r="G1587" s="50"/>
      <c r="H1587" s="50"/>
      <c r="I1587" s="50"/>
    </row>
    <row r="1588">
      <c r="A1588" s="34"/>
      <c r="F1588" s="50"/>
      <c r="G1588" s="50"/>
      <c r="H1588" s="50"/>
      <c r="I1588" s="50"/>
    </row>
    <row r="1589">
      <c r="A1589" s="34"/>
      <c r="F1589" s="50"/>
      <c r="G1589" s="50"/>
      <c r="H1589" s="50"/>
      <c r="I1589" s="50"/>
    </row>
    <row r="1590">
      <c r="A1590" s="34"/>
      <c r="F1590" s="50"/>
      <c r="G1590" s="50"/>
      <c r="H1590" s="50"/>
      <c r="I1590" s="50"/>
    </row>
    <row r="1591">
      <c r="A1591" s="34"/>
      <c r="F1591" s="50"/>
      <c r="G1591" s="50"/>
      <c r="H1591" s="50"/>
      <c r="I1591" s="50"/>
    </row>
    <row r="1592">
      <c r="A1592" s="34"/>
      <c r="F1592" s="50"/>
      <c r="G1592" s="50"/>
      <c r="H1592" s="50"/>
      <c r="I1592" s="50"/>
    </row>
    <row r="1593">
      <c r="A1593" s="34"/>
      <c r="F1593" s="50"/>
      <c r="G1593" s="50"/>
      <c r="H1593" s="50"/>
      <c r="I1593" s="50"/>
    </row>
    <row r="1594">
      <c r="A1594" s="34"/>
      <c r="F1594" s="50"/>
      <c r="G1594" s="50"/>
      <c r="H1594" s="50"/>
      <c r="I1594" s="50"/>
    </row>
    <row r="1595">
      <c r="A1595" s="34"/>
      <c r="F1595" s="50"/>
      <c r="G1595" s="50"/>
      <c r="H1595" s="50"/>
      <c r="I1595" s="50"/>
    </row>
    <row r="1596">
      <c r="A1596" s="34"/>
      <c r="F1596" s="50"/>
      <c r="G1596" s="50"/>
      <c r="H1596" s="50"/>
      <c r="I1596" s="50"/>
    </row>
    <row r="1597">
      <c r="A1597" s="34"/>
      <c r="F1597" s="50"/>
      <c r="G1597" s="50"/>
      <c r="H1597" s="50"/>
      <c r="I1597" s="50"/>
    </row>
    <row r="1598">
      <c r="A1598" s="34"/>
      <c r="F1598" s="50"/>
      <c r="G1598" s="50"/>
      <c r="H1598" s="50"/>
      <c r="I1598" s="50"/>
    </row>
    <row r="1599">
      <c r="A1599" s="34"/>
      <c r="F1599" s="50"/>
      <c r="G1599" s="50"/>
      <c r="H1599" s="50"/>
      <c r="I1599" s="50"/>
    </row>
    <row r="1600">
      <c r="A1600" s="34"/>
      <c r="F1600" s="50"/>
      <c r="G1600" s="50"/>
      <c r="H1600" s="50"/>
      <c r="I1600" s="50"/>
    </row>
    <row r="1601">
      <c r="A1601" s="34"/>
      <c r="F1601" s="50"/>
      <c r="G1601" s="50"/>
      <c r="H1601" s="50"/>
      <c r="I1601" s="50"/>
    </row>
    <row r="1602">
      <c r="A1602" s="34"/>
      <c r="F1602" s="50"/>
      <c r="G1602" s="50"/>
      <c r="H1602" s="50"/>
      <c r="I1602" s="50"/>
    </row>
    <row r="1603">
      <c r="A1603" s="34"/>
      <c r="F1603" s="50"/>
      <c r="G1603" s="50"/>
      <c r="H1603" s="50"/>
      <c r="I1603" s="50"/>
    </row>
    <row r="1604">
      <c r="A1604" s="34"/>
      <c r="F1604" s="50"/>
      <c r="G1604" s="50"/>
      <c r="H1604" s="50"/>
      <c r="I1604" s="50"/>
    </row>
    <row r="1605">
      <c r="A1605" s="34"/>
      <c r="F1605" s="50"/>
      <c r="G1605" s="50"/>
      <c r="H1605" s="50"/>
      <c r="I1605" s="50"/>
    </row>
    <row r="1606">
      <c r="A1606" s="34"/>
      <c r="F1606" s="50"/>
      <c r="G1606" s="50"/>
      <c r="H1606" s="50"/>
      <c r="I1606" s="50"/>
    </row>
    <row r="1607">
      <c r="A1607" s="34"/>
      <c r="F1607" s="50"/>
      <c r="G1607" s="50"/>
      <c r="H1607" s="50"/>
      <c r="I1607" s="50"/>
    </row>
    <row r="1608">
      <c r="A1608" s="34"/>
      <c r="F1608" s="50"/>
      <c r="G1608" s="50"/>
      <c r="H1608" s="50"/>
      <c r="I1608" s="50"/>
    </row>
    <row r="1609">
      <c r="A1609" s="34"/>
      <c r="F1609" s="50"/>
      <c r="G1609" s="50"/>
      <c r="H1609" s="50"/>
      <c r="I1609" s="50"/>
    </row>
    <row r="1610">
      <c r="A1610" s="34"/>
      <c r="F1610" s="50"/>
      <c r="G1610" s="50"/>
      <c r="H1610" s="50"/>
      <c r="I1610" s="50"/>
    </row>
    <row r="1611">
      <c r="A1611" s="34"/>
      <c r="F1611" s="50"/>
      <c r="G1611" s="50"/>
      <c r="H1611" s="50"/>
      <c r="I1611" s="50"/>
    </row>
    <row r="1612">
      <c r="A1612" s="34"/>
      <c r="F1612" s="50"/>
      <c r="G1612" s="50"/>
      <c r="H1612" s="50"/>
      <c r="I1612" s="50"/>
    </row>
    <row r="1613">
      <c r="A1613" s="34"/>
      <c r="F1613" s="50"/>
      <c r="G1613" s="50"/>
      <c r="H1613" s="50"/>
      <c r="I1613" s="50"/>
    </row>
    <row r="1614">
      <c r="A1614" s="34"/>
      <c r="F1614" s="50"/>
      <c r="G1614" s="50"/>
      <c r="H1614" s="50"/>
      <c r="I1614" s="50"/>
    </row>
    <row r="1615">
      <c r="A1615" s="34"/>
      <c r="F1615" s="50"/>
      <c r="G1615" s="50"/>
      <c r="H1615" s="50"/>
      <c r="I1615" s="50"/>
    </row>
    <row r="1616">
      <c r="A1616" s="34"/>
      <c r="F1616" s="50"/>
      <c r="G1616" s="50"/>
      <c r="H1616" s="50"/>
      <c r="I1616" s="50"/>
    </row>
    <row r="1617">
      <c r="A1617" s="34"/>
      <c r="F1617" s="50"/>
      <c r="G1617" s="50"/>
      <c r="H1617" s="50"/>
      <c r="I1617" s="50"/>
    </row>
    <row r="1618">
      <c r="A1618" s="34"/>
      <c r="F1618" s="50"/>
      <c r="G1618" s="50"/>
      <c r="H1618" s="50"/>
      <c r="I1618" s="50"/>
    </row>
    <row r="1619">
      <c r="A1619" s="34"/>
      <c r="F1619" s="50"/>
      <c r="G1619" s="50"/>
      <c r="H1619" s="50"/>
      <c r="I1619" s="50"/>
    </row>
    <row r="1620">
      <c r="A1620" s="34"/>
      <c r="F1620" s="50"/>
      <c r="G1620" s="50"/>
      <c r="H1620" s="50"/>
      <c r="I1620" s="50"/>
    </row>
    <row r="1621">
      <c r="A1621" s="34"/>
      <c r="F1621" s="50"/>
      <c r="G1621" s="50"/>
      <c r="H1621" s="50"/>
      <c r="I1621" s="50"/>
    </row>
    <row r="1622">
      <c r="A1622" s="34"/>
      <c r="F1622" s="50"/>
      <c r="G1622" s="50"/>
      <c r="H1622" s="50"/>
      <c r="I1622" s="50"/>
    </row>
    <row r="1623">
      <c r="A1623" s="34"/>
      <c r="F1623" s="50"/>
      <c r="G1623" s="50"/>
      <c r="H1623" s="50"/>
      <c r="I1623" s="50"/>
    </row>
    <row r="1624">
      <c r="A1624" s="34"/>
      <c r="F1624" s="50"/>
      <c r="G1624" s="50"/>
      <c r="H1624" s="50"/>
      <c r="I1624" s="50"/>
    </row>
    <row r="1625">
      <c r="A1625" s="34"/>
      <c r="F1625" s="50"/>
      <c r="G1625" s="50"/>
      <c r="H1625" s="50"/>
      <c r="I1625" s="50"/>
    </row>
    <row r="1626">
      <c r="A1626" s="34"/>
      <c r="F1626" s="50"/>
      <c r="G1626" s="50"/>
      <c r="H1626" s="50"/>
      <c r="I1626" s="50"/>
    </row>
    <row r="1627">
      <c r="A1627" s="34"/>
      <c r="F1627" s="50"/>
      <c r="G1627" s="50"/>
      <c r="H1627" s="50"/>
      <c r="I1627" s="50"/>
    </row>
    <row r="1628">
      <c r="A1628" s="34"/>
      <c r="F1628" s="50"/>
      <c r="G1628" s="50"/>
      <c r="H1628" s="50"/>
      <c r="I1628" s="50"/>
    </row>
    <row r="1629">
      <c r="A1629" s="34"/>
      <c r="F1629" s="50"/>
      <c r="G1629" s="50"/>
      <c r="H1629" s="50"/>
      <c r="I1629" s="50"/>
    </row>
    <row r="1630">
      <c r="A1630" s="34"/>
      <c r="F1630" s="50"/>
      <c r="G1630" s="50"/>
      <c r="H1630" s="50"/>
      <c r="I1630" s="50"/>
    </row>
    <row r="1631">
      <c r="A1631" s="34"/>
      <c r="F1631" s="50"/>
      <c r="G1631" s="50"/>
      <c r="H1631" s="50"/>
      <c r="I1631" s="50"/>
    </row>
    <row r="1632">
      <c r="A1632" s="34"/>
      <c r="F1632" s="50"/>
      <c r="G1632" s="50"/>
      <c r="H1632" s="50"/>
      <c r="I1632" s="50"/>
    </row>
    <row r="1633">
      <c r="A1633" s="34"/>
      <c r="F1633" s="50"/>
      <c r="G1633" s="50"/>
      <c r="H1633" s="50"/>
      <c r="I1633" s="50"/>
    </row>
    <row r="1634">
      <c r="A1634" s="34"/>
      <c r="F1634" s="50"/>
      <c r="G1634" s="50"/>
      <c r="H1634" s="50"/>
      <c r="I1634" s="50"/>
    </row>
    <row r="1635">
      <c r="A1635" s="34"/>
      <c r="F1635" s="50"/>
      <c r="G1635" s="50"/>
      <c r="H1635" s="50"/>
      <c r="I1635" s="50"/>
    </row>
    <row r="1636">
      <c r="A1636" s="34"/>
      <c r="F1636" s="50"/>
      <c r="G1636" s="50"/>
      <c r="H1636" s="50"/>
      <c r="I1636" s="50"/>
    </row>
    <row r="1637">
      <c r="A1637" s="34"/>
      <c r="F1637" s="50"/>
      <c r="G1637" s="50"/>
      <c r="H1637" s="50"/>
      <c r="I1637" s="50"/>
    </row>
    <row r="1638">
      <c r="A1638" s="34"/>
      <c r="F1638" s="50"/>
      <c r="G1638" s="50"/>
      <c r="H1638" s="50"/>
      <c r="I1638" s="50"/>
    </row>
    <row r="1639">
      <c r="A1639" s="34"/>
      <c r="F1639" s="50"/>
      <c r="G1639" s="50"/>
      <c r="H1639" s="50"/>
      <c r="I1639" s="50"/>
    </row>
    <row r="1640">
      <c r="A1640" s="34"/>
      <c r="F1640" s="50"/>
      <c r="G1640" s="50"/>
      <c r="H1640" s="50"/>
      <c r="I1640" s="50"/>
    </row>
    <row r="1641">
      <c r="A1641" s="34"/>
      <c r="F1641" s="50"/>
      <c r="G1641" s="50"/>
      <c r="H1641" s="50"/>
      <c r="I1641" s="50"/>
    </row>
    <row r="1642">
      <c r="A1642" s="34"/>
      <c r="F1642" s="50"/>
      <c r="G1642" s="50"/>
      <c r="H1642" s="50"/>
      <c r="I1642" s="50"/>
    </row>
    <row r="1643">
      <c r="A1643" s="34"/>
      <c r="F1643" s="50"/>
      <c r="G1643" s="50"/>
      <c r="H1643" s="50"/>
      <c r="I1643" s="50"/>
    </row>
    <row r="1644">
      <c r="A1644" s="34"/>
      <c r="F1644" s="50"/>
      <c r="G1644" s="50"/>
      <c r="H1644" s="50"/>
      <c r="I1644" s="50"/>
    </row>
    <row r="1645">
      <c r="A1645" s="34"/>
      <c r="F1645" s="50"/>
      <c r="G1645" s="50"/>
      <c r="H1645" s="50"/>
      <c r="I1645" s="50"/>
    </row>
    <row r="1646">
      <c r="A1646" s="34"/>
      <c r="F1646" s="50"/>
      <c r="G1646" s="50"/>
      <c r="H1646" s="50"/>
      <c r="I1646" s="50"/>
    </row>
    <row r="1647">
      <c r="A1647" s="34"/>
      <c r="F1647" s="50"/>
      <c r="G1647" s="50"/>
      <c r="H1647" s="50"/>
      <c r="I1647" s="50"/>
    </row>
    <row r="1648">
      <c r="A1648" s="34"/>
      <c r="F1648" s="50"/>
      <c r="G1648" s="50"/>
      <c r="H1648" s="50"/>
      <c r="I1648" s="50"/>
    </row>
    <row r="1649">
      <c r="A1649" s="34"/>
      <c r="F1649" s="50"/>
      <c r="G1649" s="50"/>
      <c r="H1649" s="50"/>
      <c r="I1649" s="50"/>
    </row>
    <row r="1650">
      <c r="A1650" s="34"/>
      <c r="F1650" s="50"/>
      <c r="G1650" s="50"/>
      <c r="H1650" s="50"/>
      <c r="I1650" s="50"/>
    </row>
    <row r="1651">
      <c r="A1651" s="34"/>
      <c r="F1651" s="50"/>
      <c r="G1651" s="50"/>
      <c r="H1651" s="50"/>
      <c r="I1651" s="50"/>
    </row>
    <row r="1652">
      <c r="A1652" s="34"/>
      <c r="F1652" s="50"/>
      <c r="G1652" s="50"/>
      <c r="H1652" s="50"/>
      <c r="I1652" s="50"/>
    </row>
    <row r="1653">
      <c r="A1653" s="34"/>
      <c r="F1653" s="50"/>
      <c r="G1653" s="50"/>
      <c r="H1653" s="50"/>
      <c r="I1653" s="50"/>
    </row>
    <row r="1654">
      <c r="A1654" s="34"/>
      <c r="F1654" s="50"/>
      <c r="G1654" s="50"/>
      <c r="H1654" s="50"/>
      <c r="I1654" s="50"/>
    </row>
    <row r="1655">
      <c r="A1655" s="34"/>
      <c r="F1655" s="50"/>
      <c r="G1655" s="50"/>
      <c r="H1655" s="50"/>
      <c r="I1655" s="50"/>
    </row>
    <row r="1656">
      <c r="A1656" s="34"/>
      <c r="F1656" s="50"/>
      <c r="G1656" s="50"/>
      <c r="H1656" s="50"/>
      <c r="I1656" s="50"/>
    </row>
    <row r="1657">
      <c r="A1657" s="34"/>
      <c r="F1657" s="50"/>
      <c r="G1657" s="50"/>
      <c r="H1657" s="50"/>
      <c r="I1657" s="50"/>
    </row>
    <row r="1658">
      <c r="A1658" s="34"/>
      <c r="F1658" s="50"/>
      <c r="G1658" s="50"/>
      <c r="H1658" s="50"/>
      <c r="I1658" s="50"/>
    </row>
    <row r="1659">
      <c r="A1659" s="34"/>
      <c r="F1659" s="50"/>
      <c r="G1659" s="50"/>
      <c r="H1659" s="50"/>
      <c r="I1659" s="50"/>
    </row>
    <row r="1660">
      <c r="A1660" s="34"/>
      <c r="F1660" s="50"/>
      <c r="G1660" s="50"/>
      <c r="H1660" s="50"/>
      <c r="I1660" s="50"/>
    </row>
    <row r="1661">
      <c r="A1661" s="34"/>
      <c r="F1661" s="50"/>
      <c r="G1661" s="50"/>
      <c r="H1661" s="50"/>
      <c r="I1661" s="50"/>
    </row>
    <row r="1662">
      <c r="A1662" s="34"/>
      <c r="F1662" s="50"/>
      <c r="G1662" s="50"/>
      <c r="H1662" s="50"/>
      <c r="I1662" s="50"/>
    </row>
    <row r="1663">
      <c r="A1663" s="34"/>
      <c r="F1663" s="50"/>
      <c r="G1663" s="50"/>
      <c r="H1663" s="50"/>
      <c r="I1663" s="50"/>
    </row>
    <row r="1664">
      <c r="A1664" s="34"/>
      <c r="F1664" s="50"/>
      <c r="G1664" s="50"/>
      <c r="H1664" s="50"/>
      <c r="I1664" s="50"/>
    </row>
    <row r="1665">
      <c r="A1665" s="34"/>
      <c r="F1665" s="50"/>
      <c r="G1665" s="50"/>
      <c r="H1665" s="50"/>
      <c r="I1665" s="50"/>
    </row>
    <row r="1666">
      <c r="A1666" s="34"/>
      <c r="F1666" s="50"/>
      <c r="G1666" s="50"/>
      <c r="H1666" s="50"/>
      <c r="I1666" s="50"/>
    </row>
    <row r="1667">
      <c r="A1667" s="34"/>
      <c r="F1667" s="50"/>
      <c r="G1667" s="50"/>
      <c r="H1667" s="50"/>
      <c r="I1667" s="50"/>
    </row>
    <row r="1668">
      <c r="A1668" s="34"/>
      <c r="F1668" s="50"/>
      <c r="G1668" s="50"/>
      <c r="H1668" s="50"/>
      <c r="I1668" s="50"/>
    </row>
    <row r="1669">
      <c r="A1669" s="34"/>
      <c r="F1669" s="50"/>
      <c r="G1669" s="50"/>
      <c r="H1669" s="50"/>
      <c r="I1669" s="50"/>
    </row>
    <row r="1670">
      <c r="A1670" s="34"/>
      <c r="F1670" s="50"/>
      <c r="G1670" s="50"/>
      <c r="H1670" s="50"/>
      <c r="I1670" s="50"/>
    </row>
    <row r="1671">
      <c r="A1671" s="34"/>
      <c r="F1671" s="50"/>
      <c r="G1671" s="50"/>
      <c r="H1671" s="50"/>
      <c r="I1671" s="50"/>
    </row>
    <row r="1672">
      <c r="A1672" s="34"/>
      <c r="F1672" s="50"/>
      <c r="G1672" s="50"/>
      <c r="H1672" s="50"/>
      <c r="I1672" s="50"/>
    </row>
    <row r="1673">
      <c r="A1673" s="34"/>
      <c r="F1673" s="50"/>
      <c r="G1673" s="50"/>
      <c r="H1673" s="50"/>
      <c r="I1673" s="50"/>
    </row>
    <row r="1674">
      <c r="A1674" s="34"/>
      <c r="F1674" s="50"/>
      <c r="G1674" s="50"/>
      <c r="H1674" s="50"/>
      <c r="I1674" s="50"/>
    </row>
    <row r="1675">
      <c r="A1675" s="34"/>
      <c r="F1675" s="50"/>
      <c r="G1675" s="50"/>
      <c r="H1675" s="50"/>
      <c r="I1675" s="50"/>
    </row>
    <row r="1676">
      <c r="A1676" s="34"/>
      <c r="F1676" s="50"/>
      <c r="G1676" s="50"/>
      <c r="H1676" s="50"/>
      <c r="I1676" s="50"/>
    </row>
    <row r="1677">
      <c r="A1677" s="34"/>
      <c r="F1677" s="50"/>
      <c r="G1677" s="50"/>
      <c r="H1677" s="50"/>
      <c r="I1677" s="50"/>
    </row>
    <row r="1678">
      <c r="A1678" s="34"/>
      <c r="F1678" s="50"/>
      <c r="G1678" s="50"/>
      <c r="H1678" s="50"/>
      <c r="I1678" s="50"/>
    </row>
    <row r="1679">
      <c r="A1679" s="34"/>
      <c r="F1679" s="50"/>
      <c r="G1679" s="50"/>
      <c r="H1679" s="50"/>
      <c r="I1679" s="50"/>
    </row>
    <row r="1680">
      <c r="A1680" s="34"/>
      <c r="F1680" s="50"/>
      <c r="G1680" s="50"/>
      <c r="H1680" s="50"/>
      <c r="I1680" s="50"/>
    </row>
    <row r="1681">
      <c r="A1681" s="34"/>
      <c r="F1681" s="50"/>
      <c r="G1681" s="50"/>
      <c r="H1681" s="50"/>
      <c r="I1681" s="50"/>
    </row>
    <row r="1682">
      <c r="A1682" s="34"/>
      <c r="F1682" s="50"/>
      <c r="G1682" s="50"/>
      <c r="H1682" s="50"/>
      <c r="I1682" s="50"/>
    </row>
    <row r="1683">
      <c r="A1683" s="34"/>
      <c r="F1683" s="50"/>
      <c r="G1683" s="50"/>
      <c r="H1683" s="50"/>
      <c r="I1683" s="50"/>
    </row>
    <row r="1684">
      <c r="A1684" s="34"/>
      <c r="F1684" s="50"/>
      <c r="G1684" s="50"/>
      <c r="H1684" s="50"/>
      <c r="I1684" s="50"/>
    </row>
    <row r="1685">
      <c r="A1685" s="34"/>
      <c r="F1685" s="50"/>
      <c r="G1685" s="50"/>
      <c r="H1685" s="50"/>
      <c r="I1685" s="50"/>
    </row>
    <row r="1686">
      <c r="A1686" s="34"/>
      <c r="F1686" s="50"/>
      <c r="G1686" s="50"/>
      <c r="H1686" s="50"/>
      <c r="I1686" s="50"/>
    </row>
    <row r="1687">
      <c r="A1687" s="34"/>
      <c r="F1687" s="50"/>
      <c r="G1687" s="50"/>
      <c r="H1687" s="50"/>
      <c r="I1687" s="50"/>
    </row>
    <row r="1688">
      <c r="A1688" s="34"/>
      <c r="F1688" s="50"/>
      <c r="G1688" s="50"/>
      <c r="H1688" s="50"/>
      <c r="I1688" s="50"/>
    </row>
    <row r="1689">
      <c r="A1689" s="34"/>
      <c r="F1689" s="50"/>
      <c r="G1689" s="50"/>
      <c r="H1689" s="50"/>
      <c r="I1689" s="50"/>
    </row>
    <row r="1690">
      <c r="A1690" s="34"/>
      <c r="F1690" s="50"/>
      <c r="G1690" s="50"/>
      <c r="H1690" s="50"/>
      <c r="I1690" s="50"/>
    </row>
    <row r="1691">
      <c r="A1691" s="34"/>
      <c r="F1691" s="50"/>
      <c r="G1691" s="50"/>
      <c r="H1691" s="50"/>
      <c r="I1691" s="50"/>
    </row>
    <row r="1692">
      <c r="A1692" s="34"/>
      <c r="F1692" s="50"/>
      <c r="G1692" s="50"/>
      <c r="H1692" s="50"/>
      <c r="I1692" s="50"/>
    </row>
    <row r="1693">
      <c r="A1693" s="34"/>
      <c r="F1693" s="50"/>
      <c r="G1693" s="50"/>
      <c r="H1693" s="50"/>
      <c r="I1693" s="50"/>
    </row>
    <row r="1694">
      <c r="A1694" s="34"/>
      <c r="F1694" s="50"/>
      <c r="G1694" s="50"/>
      <c r="H1694" s="50"/>
      <c r="I1694" s="50"/>
    </row>
    <row r="1695">
      <c r="A1695" s="34"/>
      <c r="F1695" s="50"/>
      <c r="G1695" s="50"/>
      <c r="H1695" s="50"/>
      <c r="I1695" s="50"/>
    </row>
    <row r="1696">
      <c r="A1696" s="34"/>
      <c r="F1696" s="50"/>
      <c r="G1696" s="50"/>
      <c r="H1696" s="50"/>
      <c r="I1696" s="50"/>
    </row>
    <row r="1697">
      <c r="A1697" s="34"/>
      <c r="F1697" s="50"/>
      <c r="G1697" s="50"/>
      <c r="H1697" s="50"/>
      <c r="I1697" s="50"/>
    </row>
    <row r="1698">
      <c r="A1698" s="34"/>
      <c r="F1698" s="50"/>
      <c r="G1698" s="50"/>
      <c r="H1698" s="50"/>
      <c r="I1698" s="50"/>
    </row>
    <row r="1699">
      <c r="A1699" s="34"/>
      <c r="F1699" s="50"/>
      <c r="G1699" s="50"/>
      <c r="H1699" s="50"/>
      <c r="I1699" s="50"/>
    </row>
    <row r="1700">
      <c r="A1700" s="34"/>
      <c r="F1700" s="50"/>
      <c r="G1700" s="50"/>
      <c r="H1700" s="50"/>
      <c r="I1700" s="50"/>
    </row>
    <row r="1701">
      <c r="A1701" s="34"/>
      <c r="F1701" s="50"/>
      <c r="G1701" s="50"/>
      <c r="H1701" s="50"/>
      <c r="I1701" s="50"/>
    </row>
    <row r="1702">
      <c r="A1702" s="34"/>
      <c r="F1702" s="50"/>
      <c r="G1702" s="50"/>
      <c r="H1702" s="50"/>
      <c r="I1702" s="50"/>
    </row>
    <row r="1703">
      <c r="A1703" s="34"/>
      <c r="F1703" s="50"/>
      <c r="G1703" s="50"/>
      <c r="H1703" s="50"/>
      <c r="I1703" s="50"/>
    </row>
    <row r="1704">
      <c r="A1704" s="34"/>
      <c r="F1704" s="50"/>
      <c r="G1704" s="50"/>
      <c r="H1704" s="50"/>
      <c r="I1704" s="50"/>
    </row>
    <row r="1705">
      <c r="A1705" s="34"/>
      <c r="F1705" s="50"/>
      <c r="G1705" s="50"/>
      <c r="H1705" s="50"/>
      <c r="I1705" s="50"/>
    </row>
    <row r="1706">
      <c r="A1706" s="34"/>
      <c r="F1706" s="50"/>
      <c r="G1706" s="50"/>
      <c r="H1706" s="50"/>
      <c r="I1706" s="50"/>
    </row>
    <row r="1707">
      <c r="A1707" s="34"/>
      <c r="F1707" s="50"/>
      <c r="G1707" s="50"/>
      <c r="H1707" s="50"/>
      <c r="I1707" s="50"/>
    </row>
    <row r="1708">
      <c r="A1708" s="34"/>
      <c r="F1708" s="50"/>
      <c r="G1708" s="50"/>
      <c r="H1708" s="50"/>
      <c r="I1708" s="50"/>
    </row>
    <row r="1709">
      <c r="A1709" s="34"/>
      <c r="F1709" s="50"/>
      <c r="G1709" s="50"/>
      <c r="H1709" s="50"/>
      <c r="I1709" s="50"/>
    </row>
    <row r="1710">
      <c r="A1710" s="34"/>
      <c r="F1710" s="50"/>
      <c r="G1710" s="50"/>
      <c r="H1710" s="50"/>
      <c r="I1710" s="50"/>
    </row>
    <row r="1711">
      <c r="A1711" s="34"/>
      <c r="F1711" s="50"/>
      <c r="G1711" s="50"/>
      <c r="H1711" s="50"/>
      <c r="I1711" s="50"/>
    </row>
    <row r="1712">
      <c r="A1712" s="34"/>
      <c r="F1712" s="50"/>
      <c r="G1712" s="50"/>
      <c r="H1712" s="50"/>
      <c r="I1712" s="50"/>
    </row>
    <row r="1713">
      <c r="A1713" s="34"/>
      <c r="F1713" s="50"/>
      <c r="G1713" s="50"/>
      <c r="H1713" s="50"/>
      <c r="I1713" s="50"/>
    </row>
    <row r="1714">
      <c r="A1714" s="34"/>
      <c r="F1714" s="50"/>
      <c r="G1714" s="50"/>
      <c r="H1714" s="50"/>
      <c r="I1714" s="50"/>
    </row>
    <row r="1715">
      <c r="A1715" s="34"/>
      <c r="F1715" s="50"/>
      <c r="G1715" s="50"/>
      <c r="H1715" s="50"/>
      <c r="I1715" s="50"/>
    </row>
    <row r="1716">
      <c r="A1716" s="34"/>
      <c r="F1716" s="50"/>
      <c r="G1716" s="50"/>
      <c r="H1716" s="50"/>
      <c r="I1716" s="50"/>
    </row>
    <row r="1717">
      <c r="A1717" s="34"/>
      <c r="F1717" s="50"/>
      <c r="G1717" s="50"/>
      <c r="H1717" s="50"/>
      <c r="I1717" s="50"/>
    </row>
    <row r="1718">
      <c r="A1718" s="34"/>
      <c r="F1718" s="50"/>
      <c r="G1718" s="50"/>
      <c r="H1718" s="50"/>
      <c r="I1718" s="50"/>
    </row>
    <row r="1719">
      <c r="A1719" s="34"/>
      <c r="F1719" s="50"/>
      <c r="G1719" s="50"/>
      <c r="H1719" s="50"/>
      <c r="I1719" s="50"/>
    </row>
    <row r="1720">
      <c r="A1720" s="34"/>
      <c r="F1720" s="50"/>
      <c r="G1720" s="50"/>
      <c r="H1720" s="50"/>
      <c r="I1720" s="50"/>
    </row>
    <row r="1721">
      <c r="A1721" s="34"/>
      <c r="F1721" s="50"/>
      <c r="G1721" s="50"/>
      <c r="H1721" s="50"/>
      <c r="I1721" s="50"/>
    </row>
    <row r="1722">
      <c r="A1722" s="34"/>
      <c r="F1722" s="50"/>
      <c r="G1722" s="50"/>
      <c r="H1722" s="50"/>
      <c r="I1722" s="50"/>
    </row>
    <row r="1723">
      <c r="A1723" s="34"/>
      <c r="F1723" s="50"/>
      <c r="G1723" s="50"/>
      <c r="H1723" s="50"/>
      <c r="I1723" s="50"/>
    </row>
    <row r="1724">
      <c r="A1724" s="34"/>
      <c r="F1724" s="50"/>
      <c r="G1724" s="50"/>
      <c r="H1724" s="50"/>
      <c r="I1724" s="50"/>
    </row>
    <row r="1725">
      <c r="A1725" s="34"/>
      <c r="F1725" s="50"/>
      <c r="G1725" s="50"/>
      <c r="H1725" s="50"/>
      <c r="I1725" s="50"/>
    </row>
    <row r="1726">
      <c r="A1726" s="34"/>
      <c r="F1726" s="50"/>
      <c r="G1726" s="50"/>
      <c r="H1726" s="50"/>
      <c r="I1726" s="50"/>
    </row>
    <row r="1727">
      <c r="A1727" s="34"/>
      <c r="F1727" s="50"/>
      <c r="G1727" s="50"/>
      <c r="H1727" s="50"/>
      <c r="I1727" s="50"/>
    </row>
    <row r="1728">
      <c r="A1728" s="34"/>
      <c r="F1728" s="50"/>
      <c r="G1728" s="50"/>
      <c r="H1728" s="50"/>
      <c r="I1728" s="50"/>
    </row>
    <row r="1729">
      <c r="A1729" s="34"/>
      <c r="F1729" s="50"/>
      <c r="G1729" s="50"/>
      <c r="H1729" s="50"/>
      <c r="I1729" s="50"/>
    </row>
    <row r="1730">
      <c r="A1730" s="34"/>
      <c r="F1730" s="50"/>
      <c r="G1730" s="50"/>
      <c r="H1730" s="50"/>
      <c r="I1730" s="50"/>
    </row>
    <row r="1731">
      <c r="A1731" s="34"/>
      <c r="F1731" s="50"/>
      <c r="G1731" s="50"/>
      <c r="H1731" s="50"/>
      <c r="I1731" s="50"/>
    </row>
    <row r="1732">
      <c r="A1732" s="34"/>
      <c r="F1732" s="50"/>
      <c r="G1732" s="50"/>
      <c r="H1732" s="50"/>
      <c r="I1732" s="50"/>
    </row>
    <row r="1733">
      <c r="A1733" s="34"/>
      <c r="F1733" s="50"/>
      <c r="G1733" s="50"/>
      <c r="H1733" s="50"/>
      <c r="I1733" s="50"/>
    </row>
    <row r="1734">
      <c r="A1734" s="34"/>
      <c r="F1734" s="50"/>
      <c r="G1734" s="50"/>
      <c r="H1734" s="50"/>
      <c r="I1734" s="50"/>
    </row>
    <row r="1735">
      <c r="A1735" s="34"/>
      <c r="F1735" s="50"/>
      <c r="G1735" s="50"/>
      <c r="H1735" s="50"/>
      <c r="I1735" s="50"/>
    </row>
    <row r="1736">
      <c r="A1736" s="34"/>
      <c r="F1736" s="50"/>
      <c r="G1736" s="50"/>
      <c r="H1736" s="50"/>
      <c r="I1736" s="50"/>
    </row>
    <row r="1737">
      <c r="A1737" s="34"/>
      <c r="F1737" s="50"/>
      <c r="G1737" s="50"/>
      <c r="H1737" s="50"/>
      <c r="I1737" s="50"/>
    </row>
    <row r="1738">
      <c r="A1738" s="34"/>
      <c r="F1738" s="50"/>
      <c r="G1738" s="50"/>
      <c r="H1738" s="50"/>
      <c r="I1738" s="50"/>
    </row>
    <row r="1739">
      <c r="A1739" s="34"/>
      <c r="F1739" s="50"/>
      <c r="G1739" s="50"/>
      <c r="H1739" s="50"/>
      <c r="I1739" s="50"/>
    </row>
    <row r="1740">
      <c r="A1740" s="34"/>
      <c r="F1740" s="50"/>
      <c r="G1740" s="50"/>
      <c r="H1740" s="50"/>
      <c r="I1740" s="50"/>
    </row>
    <row r="1741">
      <c r="A1741" s="34"/>
      <c r="F1741" s="50"/>
      <c r="G1741" s="50"/>
      <c r="H1741" s="50"/>
      <c r="I1741" s="50"/>
    </row>
    <row r="1742">
      <c r="A1742" s="34"/>
      <c r="F1742" s="50"/>
      <c r="G1742" s="50"/>
      <c r="H1742" s="50"/>
      <c r="I1742" s="50"/>
    </row>
    <row r="1743">
      <c r="A1743" s="34"/>
      <c r="F1743" s="50"/>
      <c r="G1743" s="50"/>
      <c r="H1743" s="50"/>
      <c r="I1743" s="50"/>
    </row>
    <row r="1744">
      <c r="A1744" s="34"/>
      <c r="F1744" s="50"/>
      <c r="G1744" s="50"/>
      <c r="H1744" s="50"/>
      <c r="I1744" s="50"/>
    </row>
    <row r="1745">
      <c r="A1745" s="34"/>
      <c r="F1745" s="50"/>
      <c r="G1745" s="50"/>
      <c r="H1745" s="50"/>
      <c r="I1745" s="50"/>
    </row>
    <row r="1746">
      <c r="A1746" s="34"/>
      <c r="F1746" s="50"/>
      <c r="G1746" s="50"/>
      <c r="H1746" s="50"/>
      <c r="I1746" s="50"/>
    </row>
    <row r="1747">
      <c r="A1747" s="34"/>
      <c r="F1747" s="50"/>
      <c r="G1747" s="50"/>
      <c r="H1747" s="50"/>
      <c r="I1747" s="50"/>
    </row>
    <row r="1748">
      <c r="A1748" s="34"/>
      <c r="F1748" s="50"/>
      <c r="G1748" s="50"/>
      <c r="H1748" s="50"/>
      <c r="I1748" s="50"/>
    </row>
    <row r="1749">
      <c r="A1749" s="34"/>
      <c r="F1749" s="50"/>
      <c r="G1749" s="50"/>
      <c r="H1749" s="50"/>
      <c r="I1749" s="50"/>
    </row>
    <row r="1750">
      <c r="A1750" s="34"/>
      <c r="F1750" s="50"/>
      <c r="G1750" s="50"/>
      <c r="H1750" s="50"/>
      <c r="I1750" s="50"/>
    </row>
    <row r="1751">
      <c r="A1751" s="34"/>
      <c r="F1751" s="50"/>
      <c r="G1751" s="50"/>
      <c r="H1751" s="50"/>
      <c r="I1751" s="50"/>
    </row>
    <row r="1752">
      <c r="A1752" s="34"/>
      <c r="F1752" s="50"/>
      <c r="G1752" s="50"/>
      <c r="H1752" s="50"/>
      <c r="I1752" s="50"/>
    </row>
    <row r="1753">
      <c r="A1753" s="34"/>
      <c r="F1753" s="50"/>
      <c r="G1753" s="50"/>
      <c r="H1753" s="50"/>
      <c r="I1753" s="50"/>
    </row>
    <row r="1754">
      <c r="A1754" s="34"/>
      <c r="F1754" s="50"/>
      <c r="G1754" s="50"/>
      <c r="H1754" s="50"/>
      <c r="I1754" s="50"/>
    </row>
    <row r="1755">
      <c r="A1755" s="34"/>
      <c r="F1755" s="50"/>
      <c r="G1755" s="50"/>
      <c r="H1755" s="50"/>
      <c r="I1755" s="50"/>
    </row>
    <row r="1756">
      <c r="A1756" s="34"/>
      <c r="F1756" s="50"/>
      <c r="G1756" s="50"/>
      <c r="H1756" s="50"/>
      <c r="I1756" s="50"/>
    </row>
    <row r="1757">
      <c r="A1757" s="34"/>
      <c r="F1757" s="50"/>
      <c r="G1757" s="50"/>
      <c r="H1757" s="50"/>
      <c r="I1757" s="50"/>
    </row>
    <row r="1758">
      <c r="A1758" s="34"/>
      <c r="F1758" s="50"/>
      <c r="G1758" s="50"/>
      <c r="H1758" s="50"/>
      <c r="I1758" s="50"/>
    </row>
    <row r="1759">
      <c r="A1759" s="34"/>
      <c r="F1759" s="50"/>
      <c r="G1759" s="50"/>
      <c r="H1759" s="50"/>
      <c r="I1759" s="50"/>
    </row>
    <row r="1760">
      <c r="A1760" s="34"/>
      <c r="F1760" s="50"/>
      <c r="G1760" s="50"/>
      <c r="H1760" s="50"/>
      <c r="I1760" s="50"/>
    </row>
    <row r="1761">
      <c r="A1761" s="34"/>
      <c r="F1761" s="50"/>
      <c r="G1761" s="50"/>
      <c r="H1761" s="50"/>
      <c r="I1761" s="50"/>
    </row>
    <row r="1762">
      <c r="A1762" s="34"/>
      <c r="F1762" s="50"/>
      <c r="G1762" s="50"/>
      <c r="H1762" s="50"/>
      <c r="I1762" s="50"/>
    </row>
    <row r="1763">
      <c r="A1763" s="34"/>
      <c r="F1763" s="50"/>
      <c r="G1763" s="50"/>
      <c r="H1763" s="50"/>
      <c r="I1763" s="50"/>
    </row>
    <row r="1764">
      <c r="A1764" s="34"/>
      <c r="F1764" s="50"/>
      <c r="G1764" s="50"/>
      <c r="H1764" s="50"/>
      <c r="I1764" s="50"/>
    </row>
    <row r="1765">
      <c r="A1765" s="34"/>
      <c r="F1765" s="50"/>
      <c r="G1765" s="50"/>
      <c r="H1765" s="50"/>
      <c r="I1765" s="50"/>
    </row>
    <row r="1766">
      <c r="A1766" s="34"/>
      <c r="F1766" s="50"/>
      <c r="G1766" s="50"/>
      <c r="H1766" s="50"/>
      <c r="I1766" s="50"/>
    </row>
    <row r="1767">
      <c r="A1767" s="34"/>
      <c r="F1767" s="50"/>
      <c r="G1767" s="50"/>
      <c r="H1767" s="50"/>
      <c r="I1767" s="50"/>
    </row>
    <row r="1768">
      <c r="A1768" s="34"/>
      <c r="F1768" s="50"/>
      <c r="G1768" s="50"/>
      <c r="H1768" s="50"/>
      <c r="I1768" s="50"/>
    </row>
    <row r="1769">
      <c r="A1769" s="34"/>
      <c r="F1769" s="50"/>
      <c r="G1769" s="50"/>
      <c r="H1769" s="50"/>
      <c r="I1769" s="50"/>
    </row>
    <row r="1770">
      <c r="A1770" s="34"/>
      <c r="F1770" s="50"/>
      <c r="G1770" s="50"/>
      <c r="H1770" s="50"/>
      <c r="I1770" s="50"/>
    </row>
    <row r="1771">
      <c r="A1771" s="34"/>
      <c r="F1771" s="50"/>
      <c r="G1771" s="50"/>
      <c r="H1771" s="50"/>
      <c r="I1771" s="50"/>
    </row>
    <row r="1772">
      <c r="A1772" s="34"/>
      <c r="F1772" s="50"/>
      <c r="G1772" s="50"/>
      <c r="H1772" s="50"/>
      <c r="I1772" s="50"/>
    </row>
    <row r="1773">
      <c r="A1773" s="34"/>
      <c r="F1773" s="50"/>
      <c r="G1773" s="50"/>
      <c r="H1773" s="50"/>
      <c r="I1773" s="50"/>
    </row>
    <row r="1774">
      <c r="A1774" s="34"/>
      <c r="F1774" s="50"/>
      <c r="G1774" s="50"/>
      <c r="H1774" s="50"/>
      <c r="I1774" s="50"/>
    </row>
    <row r="1775">
      <c r="A1775" s="34"/>
      <c r="F1775" s="50"/>
      <c r="G1775" s="50"/>
      <c r="H1775" s="50"/>
      <c r="I1775" s="50"/>
    </row>
    <row r="1776">
      <c r="A1776" s="34"/>
      <c r="F1776" s="50"/>
      <c r="G1776" s="50"/>
      <c r="H1776" s="50"/>
      <c r="I1776" s="50"/>
    </row>
    <row r="1777">
      <c r="A1777" s="34"/>
      <c r="F1777" s="50"/>
      <c r="G1777" s="50"/>
      <c r="H1777" s="50"/>
      <c r="I1777" s="50"/>
    </row>
    <row r="1778">
      <c r="A1778" s="34"/>
      <c r="F1778" s="50"/>
      <c r="G1778" s="50"/>
      <c r="H1778" s="50"/>
      <c r="I1778" s="50"/>
    </row>
    <row r="1779">
      <c r="A1779" s="34"/>
      <c r="F1779" s="50"/>
      <c r="G1779" s="50"/>
      <c r="H1779" s="50"/>
      <c r="I1779" s="50"/>
    </row>
    <row r="1780">
      <c r="A1780" s="34"/>
      <c r="F1780" s="50"/>
      <c r="G1780" s="50"/>
      <c r="H1780" s="50"/>
      <c r="I1780" s="50"/>
    </row>
    <row r="1781">
      <c r="A1781" s="34"/>
      <c r="F1781" s="50"/>
      <c r="G1781" s="50"/>
      <c r="H1781" s="50"/>
      <c r="I1781" s="50"/>
    </row>
    <row r="1782">
      <c r="A1782" s="34"/>
      <c r="F1782" s="50"/>
      <c r="G1782" s="50"/>
      <c r="H1782" s="50"/>
      <c r="I1782" s="50"/>
    </row>
    <row r="1783">
      <c r="A1783" s="34"/>
      <c r="F1783" s="50"/>
      <c r="G1783" s="50"/>
      <c r="H1783" s="50"/>
      <c r="I1783" s="50"/>
    </row>
    <row r="1784">
      <c r="A1784" s="34"/>
      <c r="F1784" s="50"/>
      <c r="G1784" s="50"/>
      <c r="H1784" s="50"/>
      <c r="I1784" s="50"/>
    </row>
    <row r="1785">
      <c r="A1785" s="34"/>
      <c r="F1785" s="50"/>
      <c r="G1785" s="50"/>
      <c r="H1785" s="50"/>
      <c r="I1785" s="50"/>
    </row>
    <row r="1786">
      <c r="A1786" s="34"/>
      <c r="F1786" s="50"/>
      <c r="G1786" s="50"/>
      <c r="H1786" s="50"/>
      <c r="I1786" s="50"/>
    </row>
    <row r="1787">
      <c r="A1787" s="34"/>
      <c r="F1787" s="50"/>
      <c r="G1787" s="50"/>
      <c r="H1787" s="50"/>
      <c r="I1787" s="50"/>
    </row>
    <row r="1788">
      <c r="A1788" s="34"/>
      <c r="F1788" s="50"/>
      <c r="G1788" s="50"/>
      <c r="H1788" s="50"/>
      <c r="I1788" s="50"/>
    </row>
    <row r="1789">
      <c r="A1789" s="34"/>
      <c r="F1789" s="50"/>
      <c r="G1789" s="50"/>
      <c r="H1789" s="50"/>
      <c r="I1789" s="50"/>
    </row>
    <row r="1790">
      <c r="A1790" s="34"/>
      <c r="F1790" s="50"/>
      <c r="G1790" s="50"/>
      <c r="H1790" s="50"/>
      <c r="I1790" s="50"/>
    </row>
    <row r="1791">
      <c r="A1791" s="34"/>
      <c r="F1791" s="50"/>
      <c r="G1791" s="50"/>
      <c r="H1791" s="50"/>
      <c r="I1791" s="50"/>
    </row>
    <row r="1792">
      <c r="A1792" s="34"/>
      <c r="F1792" s="50"/>
      <c r="G1792" s="50"/>
      <c r="H1792" s="50"/>
      <c r="I1792" s="50"/>
    </row>
    <row r="1793">
      <c r="A1793" s="34"/>
      <c r="F1793" s="50"/>
      <c r="G1793" s="50"/>
      <c r="H1793" s="50"/>
      <c r="I1793" s="50"/>
    </row>
    <row r="1794">
      <c r="A1794" s="34"/>
      <c r="F1794" s="50"/>
      <c r="G1794" s="50"/>
      <c r="H1794" s="50"/>
      <c r="I1794" s="50"/>
    </row>
    <row r="1795">
      <c r="A1795" s="34"/>
      <c r="F1795" s="50"/>
      <c r="G1795" s="50"/>
      <c r="H1795" s="50"/>
      <c r="I1795" s="50"/>
    </row>
    <row r="1796">
      <c r="A1796" s="34"/>
      <c r="F1796" s="50"/>
      <c r="G1796" s="50"/>
      <c r="H1796" s="50"/>
      <c r="I1796" s="50"/>
    </row>
    <row r="1797">
      <c r="A1797" s="34"/>
      <c r="F1797" s="50"/>
      <c r="G1797" s="50"/>
      <c r="H1797" s="50"/>
      <c r="I1797" s="50"/>
    </row>
    <row r="1798">
      <c r="A1798" s="34"/>
      <c r="F1798" s="50"/>
      <c r="G1798" s="50"/>
      <c r="H1798" s="50"/>
      <c r="I1798" s="50"/>
    </row>
    <row r="1799">
      <c r="A1799" s="34"/>
      <c r="F1799" s="50"/>
      <c r="G1799" s="50"/>
      <c r="H1799" s="50"/>
      <c r="I1799" s="50"/>
    </row>
    <row r="1800">
      <c r="A1800" s="34"/>
      <c r="F1800" s="50"/>
      <c r="G1800" s="50"/>
      <c r="H1800" s="50"/>
      <c r="I1800" s="50"/>
    </row>
    <row r="1801">
      <c r="A1801" s="34"/>
      <c r="F1801" s="50"/>
      <c r="G1801" s="50"/>
      <c r="H1801" s="50"/>
      <c r="I1801" s="50"/>
    </row>
    <row r="1802">
      <c r="A1802" s="34"/>
      <c r="F1802" s="50"/>
      <c r="G1802" s="50"/>
      <c r="H1802" s="50"/>
      <c r="I1802" s="50"/>
    </row>
    <row r="1803">
      <c r="A1803" s="34"/>
      <c r="F1803" s="50"/>
      <c r="G1803" s="50"/>
      <c r="H1803" s="50"/>
      <c r="I1803" s="50"/>
    </row>
    <row r="1804">
      <c r="A1804" s="34"/>
      <c r="F1804" s="50"/>
      <c r="G1804" s="50"/>
      <c r="H1804" s="50"/>
      <c r="I1804" s="50"/>
    </row>
    <row r="1805">
      <c r="A1805" s="34"/>
      <c r="F1805" s="50"/>
      <c r="G1805" s="50"/>
      <c r="H1805" s="50"/>
      <c r="I1805" s="50"/>
    </row>
    <row r="1806">
      <c r="A1806" s="34"/>
      <c r="F1806" s="50"/>
      <c r="G1806" s="50"/>
      <c r="H1806" s="50"/>
      <c r="I1806" s="50"/>
    </row>
    <row r="1807">
      <c r="A1807" s="34"/>
      <c r="F1807" s="50"/>
      <c r="G1807" s="50"/>
      <c r="H1807" s="50"/>
      <c r="I1807" s="50"/>
    </row>
    <row r="1808">
      <c r="A1808" s="34"/>
      <c r="F1808" s="50"/>
      <c r="G1808" s="50"/>
      <c r="H1808" s="50"/>
      <c r="I1808" s="50"/>
    </row>
    <row r="1809">
      <c r="A1809" s="34"/>
      <c r="F1809" s="50"/>
      <c r="G1809" s="50"/>
      <c r="H1809" s="50"/>
      <c r="I1809" s="50"/>
    </row>
    <row r="1810">
      <c r="A1810" s="34"/>
      <c r="F1810" s="50"/>
      <c r="G1810" s="50"/>
      <c r="H1810" s="50"/>
      <c r="I1810" s="50"/>
    </row>
    <row r="1811">
      <c r="A1811" s="34"/>
      <c r="F1811" s="50"/>
      <c r="G1811" s="50"/>
      <c r="H1811" s="50"/>
      <c r="I1811" s="50"/>
    </row>
    <row r="1812">
      <c r="A1812" s="34"/>
      <c r="F1812" s="50"/>
      <c r="G1812" s="50"/>
      <c r="H1812" s="50"/>
      <c r="I1812" s="50"/>
    </row>
    <row r="1813">
      <c r="A1813" s="34"/>
      <c r="F1813" s="50"/>
      <c r="G1813" s="50"/>
      <c r="H1813" s="50"/>
      <c r="I1813" s="50"/>
    </row>
    <row r="1814">
      <c r="A1814" s="34"/>
      <c r="F1814" s="50"/>
      <c r="G1814" s="50"/>
      <c r="H1814" s="50"/>
      <c r="I1814" s="50"/>
    </row>
    <row r="1815">
      <c r="A1815" s="34"/>
      <c r="F1815" s="50"/>
      <c r="G1815" s="50"/>
      <c r="H1815" s="50"/>
      <c r="I1815" s="50"/>
    </row>
    <row r="1816">
      <c r="A1816" s="34"/>
      <c r="F1816" s="50"/>
      <c r="G1816" s="50"/>
      <c r="H1816" s="50"/>
      <c r="I1816" s="50"/>
    </row>
    <row r="1817">
      <c r="A1817" s="34"/>
      <c r="F1817" s="50"/>
      <c r="G1817" s="50"/>
      <c r="H1817" s="50"/>
      <c r="I1817" s="50"/>
    </row>
    <row r="1818">
      <c r="A1818" s="34"/>
      <c r="F1818" s="50"/>
      <c r="G1818" s="50"/>
      <c r="H1818" s="50"/>
      <c r="I1818" s="50"/>
    </row>
    <row r="1819">
      <c r="A1819" s="34"/>
      <c r="F1819" s="50"/>
      <c r="G1819" s="50"/>
      <c r="H1819" s="50"/>
      <c r="I1819" s="50"/>
    </row>
    <row r="1820">
      <c r="A1820" s="34"/>
      <c r="F1820" s="50"/>
      <c r="G1820" s="50"/>
      <c r="H1820" s="50"/>
      <c r="I1820" s="50"/>
    </row>
    <row r="1821">
      <c r="A1821" s="34"/>
      <c r="F1821" s="50"/>
      <c r="G1821" s="50"/>
      <c r="H1821" s="50"/>
      <c r="I1821" s="50"/>
    </row>
    <row r="1822">
      <c r="A1822" s="34"/>
      <c r="F1822" s="50"/>
      <c r="G1822" s="50"/>
      <c r="H1822" s="50"/>
      <c r="I1822" s="50"/>
    </row>
    <row r="1823">
      <c r="A1823" s="34"/>
      <c r="F1823" s="50"/>
      <c r="G1823" s="50"/>
      <c r="H1823" s="50"/>
      <c r="I1823" s="50"/>
    </row>
    <row r="1824">
      <c r="A1824" s="34"/>
      <c r="F1824" s="50"/>
      <c r="G1824" s="50"/>
      <c r="H1824" s="50"/>
      <c r="I1824" s="50"/>
    </row>
    <row r="1825">
      <c r="A1825" s="34"/>
      <c r="F1825" s="50"/>
      <c r="G1825" s="50"/>
      <c r="H1825" s="50"/>
      <c r="I1825" s="50"/>
    </row>
    <row r="1826">
      <c r="A1826" s="34"/>
      <c r="F1826" s="50"/>
      <c r="G1826" s="50"/>
      <c r="H1826" s="50"/>
      <c r="I1826" s="50"/>
    </row>
    <row r="1827">
      <c r="A1827" s="34"/>
      <c r="F1827" s="50"/>
      <c r="G1827" s="50"/>
      <c r="H1827" s="50"/>
      <c r="I1827" s="50"/>
    </row>
    <row r="1828">
      <c r="A1828" s="34"/>
      <c r="F1828" s="50"/>
      <c r="G1828" s="50"/>
      <c r="H1828" s="50"/>
      <c r="I1828" s="50"/>
    </row>
    <row r="1829">
      <c r="A1829" s="34"/>
      <c r="F1829" s="50"/>
      <c r="G1829" s="50"/>
      <c r="H1829" s="50"/>
      <c r="I1829" s="50"/>
    </row>
    <row r="1830">
      <c r="A1830" s="34"/>
      <c r="F1830" s="50"/>
      <c r="G1830" s="50"/>
      <c r="H1830" s="50"/>
      <c r="I1830" s="50"/>
    </row>
    <row r="1831">
      <c r="A1831" s="34"/>
      <c r="F1831" s="50"/>
      <c r="G1831" s="50"/>
      <c r="H1831" s="50"/>
      <c r="I1831" s="50"/>
    </row>
    <row r="1832">
      <c r="A1832" s="34"/>
      <c r="F1832" s="50"/>
      <c r="G1832" s="50"/>
      <c r="H1832" s="50"/>
      <c r="I1832" s="50"/>
    </row>
    <row r="1833">
      <c r="A1833" s="34"/>
      <c r="F1833" s="50"/>
      <c r="G1833" s="50"/>
      <c r="H1833" s="50"/>
      <c r="I1833" s="50"/>
    </row>
    <row r="1834">
      <c r="A1834" s="34"/>
      <c r="F1834" s="50"/>
      <c r="G1834" s="50"/>
      <c r="H1834" s="50"/>
      <c r="I1834" s="50"/>
    </row>
    <row r="1835">
      <c r="A1835" s="34"/>
      <c r="F1835" s="50"/>
      <c r="G1835" s="50"/>
      <c r="H1835" s="50"/>
      <c r="I1835" s="50"/>
    </row>
    <row r="1836">
      <c r="A1836" s="34"/>
      <c r="F1836" s="50"/>
      <c r="G1836" s="50"/>
      <c r="H1836" s="50"/>
      <c r="I1836" s="50"/>
    </row>
    <row r="1837">
      <c r="A1837" s="34"/>
      <c r="F1837" s="50"/>
      <c r="G1837" s="50"/>
      <c r="H1837" s="50"/>
      <c r="I1837" s="50"/>
    </row>
    <row r="1838">
      <c r="A1838" s="34"/>
      <c r="F1838" s="50"/>
      <c r="G1838" s="50"/>
      <c r="H1838" s="50"/>
      <c r="I1838" s="50"/>
    </row>
    <row r="1839">
      <c r="A1839" s="34"/>
      <c r="F1839" s="50"/>
      <c r="G1839" s="50"/>
      <c r="H1839" s="50"/>
      <c r="I1839" s="50"/>
    </row>
    <row r="1840">
      <c r="A1840" s="34"/>
      <c r="F1840" s="50"/>
      <c r="G1840" s="50"/>
      <c r="H1840" s="50"/>
      <c r="I1840" s="50"/>
    </row>
    <row r="1841">
      <c r="A1841" s="34"/>
      <c r="F1841" s="50"/>
      <c r="G1841" s="50"/>
      <c r="H1841" s="50"/>
      <c r="I1841" s="50"/>
    </row>
    <row r="1842">
      <c r="A1842" s="34"/>
      <c r="F1842" s="50"/>
      <c r="G1842" s="50"/>
      <c r="H1842" s="50"/>
      <c r="I1842" s="50"/>
    </row>
    <row r="1843">
      <c r="A1843" s="34"/>
      <c r="F1843" s="50"/>
      <c r="G1843" s="50"/>
      <c r="H1843" s="50"/>
      <c r="I1843" s="50"/>
    </row>
    <row r="1844">
      <c r="A1844" s="34"/>
      <c r="F1844" s="50"/>
      <c r="G1844" s="50"/>
      <c r="H1844" s="50"/>
      <c r="I1844" s="50"/>
    </row>
    <row r="1845">
      <c r="A1845" s="34"/>
      <c r="F1845" s="50"/>
      <c r="G1845" s="50"/>
      <c r="H1845" s="50"/>
      <c r="I1845" s="50"/>
    </row>
    <row r="1846">
      <c r="A1846" s="34"/>
      <c r="F1846" s="50"/>
      <c r="G1846" s="50"/>
      <c r="H1846" s="50"/>
      <c r="I1846" s="50"/>
    </row>
    <row r="1847">
      <c r="A1847" s="34"/>
      <c r="F1847" s="50"/>
      <c r="G1847" s="50"/>
      <c r="H1847" s="50"/>
      <c r="I1847" s="50"/>
    </row>
    <row r="1848">
      <c r="A1848" s="34"/>
      <c r="F1848" s="50"/>
      <c r="G1848" s="50"/>
      <c r="H1848" s="50"/>
      <c r="I1848" s="50"/>
    </row>
    <row r="1849">
      <c r="A1849" s="34"/>
      <c r="F1849" s="50"/>
      <c r="G1849" s="50"/>
      <c r="H1849" s="50"/>
      <c r="I1849" s="50"/>
    </row>
    <row r="1850">
      <c r="A1850" s="34"/>
      <c r="F1850" s="50"/>
      <c r="G1850" s="50"/>
      <c r="H1850" s="50"/>
      <c r="I1850" s="50"/>
    </row>
    <row r="1851">
      <c r="A1851" s="34"/>
      <c r="F1851" s="50"/>
      <c r="G1851" s="50"/>
      <c r="H1851" s="50"/>
      <c r="I1851" s="50"/>
    </row>
    <row r="1852">
      <c r="A1852" s="34"/>
      <c r="F1852" s="50"/>
      <c r="G1852" s="50"/>
      <c r="H1852" s="50"/>
      <c r="I1852" s="50"/>
    </row>
    <row r="1853">
      <c r="A1853" s="34"/>
      <c r="F1853" s="50"/>
      <c r="G1853" s="50"/>
      <c r="H1853" s="50"/>
      <c r="I1853" s="50"/>
    </row>
    <row r="1854">
      <c r="A1854" s="34"/>
      <c r="F1854" s="50"/>
      <c r="G1854" s="50"/>
      <c r="H1854" s="50"/>
      <c r="I1854" s="50"/>
    </row>
    <row r="1855">
      <c r="A1855" s="34"/>
      <c r="F1855" s="50"/>
      <c r="G1855" s="50"/>
      <c r="H1855" s="50"/>
      <c r="I1855" s="50"/>
    </row>
    <row r="1856">
      <c r="A1856" s="34"/>
      <c r="F1856" s="50"/>
      <c r="G1856" s="50"/>
      <c r="H1856" s="50"/>
      <c r="I1856" s="50"/>
    </row>
    <row r="1857">
      <c r="A1857" s="34"/>
      <c r="F1857" s="50"/>
      <c r="G1857" s="50"/>
      <c r="H1857" s="50"/>
      <c r="I1857" s="50"/>
    </row>
    <row r="1858">
      <c r="A1858" s="34"/>
      <c r="F1858" s="50"/>
      <c r="G1858" s="50"/>
      <c r="H1858" s="50"/>
      <c r="I1858" s="50"/>
    </row>
    <row r="1859">
      <c r="A1859" s="34"/>
      <c r="F1859" s="50"/>
      <c r="G1859" s="50"/>
      <c r="H1859" s="50"/>
      <c r="I1859" s="50"/>
    </row>
    <row r="1860">
      <c r="A1860" s="34"/>
      <c r="F1860" s="50"/>
      <c r="G1860" s="50"/>
      <c r="H1860" s="50"/>
      <c r="I1860" s="50"/>
    </row>
    <row r="1861">
      <c r="A1861" s="34"/>
      <c r="F1861" s="50"/>
      <c r="G1861" s="50"/>
      <c r="H1861" s="50"/>
      <c r="I1861" s="50"/>
    </row>
    <row r="1862">
      <c r="A1862" s="34"/>
      <c r="F1862" s="50"/>
      <c r="G1862" s="50"/>
      <c r="H1862" s="50"/>
      <c r="I1862" s="50"/>
    </row>
    <row r="1863">
      <c r="A1863" s="34"/>
      <c r="F1863" s="50"/>
      <c r="G1863" s="50"/>
      <c r="H1863" s="50"/>
      <c r="I1863" s="50"/>
    </row>
    <row r="1864">
      <c r="A1864" s="34"/>
      <c r="F1864" s="50"/>
      <c r="G1864" s="50"/>
      <c r="H1864" s="50"/>
      <c r="I1864" s="50"/>
    </row>
    <row r="1865">
      <c r="A1865" s="34"/>
      <c r="F1865" s="50"/>
      <c r="G1865" s="50"/>
      <c r="H1865" s="50"/>
      <c r="I1865" s="50"/>
    </row>
    <row r="1866">
      <c r="A1866" s="34"/>
      <c r="F1866" s="50"/>
      <c r="G1866" s="50"/>
      <c r="H1866" s="50"/>
      <c r="I1866" s="50"/>
    </row>
    <row r="1867">
      <c r="A1867" s="34"/>
      <c r="F1867" s="50"/>
      <c r="G1867" s="50"/>
      <c r="H1867" s="50"/>
      <c r="I1867" s="50"/>
    </row>
    <row r="1868">
      <c r="A1868" s="34"/>
      <c r="F1868" s="50"/>
      <c r="G1868" s="50"/>
      <c r="H1868" s="50"/>
      <c r="I1868" s="50"/>
    </row>
    <row r="1869">
      <c r="A1869" s="34"/>
      <c r="F1869" s="50"/>
      <c r="G1869" s="50"/>
      <c r="H1869" s="50"/>
      <c r="I1869" s="50"/>
    </row>
    <row r="1870">
      <c r="A1870" s="34"/>
      <c r="F1870" s="50"/>
      <c r="G1870" s="50"/>
      <c r="H1870" s="50"/>
      <c r="I1870" s="50"/>
    </row>
    <row r="1871">
      <c r="A1871" s="34"/>
      <c r="F1871" s="50"/>
      <c r="G1871" s="50"/>
      <c r="H1871" s="50"/>
      <c r="I1871" s="50"/>
    </row>
    <row r="1872">
      <c r="A1872" s="34"/>
      <c r="F1872" s="50"/>
      <c r="G1872" s="50"/>
      <c r="H1872" s="50"/>
      <c r="I1872" s="50"/>
    </row>
    <row r="1873">
      <c r="A1873" s="34"/>
      <c r="F1873" s="50"/>
      <c r="G1873" s="50"/>
      <c r="H1873" s="50"/>
      <c r="I1873" s="50"/>
    </row>
    <row r="1874">
      <c r="A1874" s="34"/>
      <c r="F1874" s="50"/>
      <c r="G1874" s="50"/>
      <c r="H1874" s="50"/>
      <c r="I1874" s="50"/>
    </row>
    <row r="1875">
      <c r="A1875" s="34"/>
      <c r="F1875" s="50"/>
      <c r="G1875" s="50"/>
      <c r="H1875" s="50"/>
      <c r="I1875" s="50"/>
    </row>
    <row r="1876">
      <c r="A1876" s="34"/>
      <c r="F1876" s="50"/>
      <c r="G1876" s="50"/>
      <c r="H1876" s="50"/>
      <c r="I1876" s="50"/>
    </row>
    <row r="1877">
      <c r="A1877" s="34"/>
      <c r="F1877" s="50"/>
      <c r="G1877" s="50"/>
      <c r="H1877" s="50"/>
      <c r="I1877" s="50"/>
    </row>
    <row r="1878">
      <c r="A1878" s="34"/>
      <c r="F1878" s="50"/>
      <c r="G1878" s="50"/>
      <c r="H1878" s="50"/>
      <c r="I1878" s="50"/>
    </row>
    <row r="1879">
      <c r="A1879" s="34"/>
      <c r="F1879" s="50"/>
      <c r="G1879" s="50"/>
      <c r="H1879" s="50"/>
      <c r="I1879" s="50"/>
    </row>
    <row r="1880">
      <c r="A1880" s="34"/>
      <c r="F1880" s="50"/>
      <c r="G1880" s="50"/>
      <c r="H1880" s="50"/>
      <c r="I1880" s="50"/>
    </row>
    <row r="1881">
      <c r="A1881" s="34"/>
      <c r="F1881" s="50"/>
      <c r="G1881" s="50"/>
      <c r="H1881" s="50"/>
      <c r="I1881" s="50"/>
    </row>
    <row r="1882">
      <c r="A1882" s="34"/>
      <c r="F1882" s="50"/>
      <c r="G1882" s="50"/>
      <c r="H1882" s="50"/>
      <c r="I1882" s="50"/>
    </row>
    <row r="1883">
      <c r="A1883" s="34"/>
      <c r="F1883" s="50"/>
      <c r="G1883" s="50"/>
      <c r="H1883" s="50"/>
      <c r="I1883" s="50"/>
    </row>
    <row r="1884">
      <c r="A1884" s="34"/>
      <c r="F1884" s="50"/>
      <c r="G1884" s="50"/>
      <c r="H1884" s="50"/>
      <c r="I1884" s="50"/>
    </row>
    <row r="1885">
      <c r="A1885" s="34"/>
      <c r="F1885" s="50"/>
      <c r="G1885" s="50"/>
      <c r="H1885" s="50"/>
      <c r="I1885" s="50"/>
    </row>
    <row r="1886">
      <c r="A1886" s="34"/>
      <c r="F1886" s="50"/>
      <c r="G1886" s="50"/>
      <c r="H1886" s="50"/>
      <c r="I1886" s="50"/>
    </row>
    <row r="1887">
      <c r="A1887" s="34"/>
      <c r="F1887" s="50"/>
      <c r="G1887" s="50"/>
      <c r="H1887" s="50"/>
      <c r="I1887" s="50"/>
    </row>
    <row r="1888">
      <c r="A1888" s="34"/>
      <c r="F1888" s="50"/>
      <c r="G1888" s="50"/>
      <c r="H1888" s="50"/>
      <c r="I1888" s="50"/>
    </row>
    <row r="1889">
      <c r="A1889" s="34"/>
      <c r="F1889" s="50"/>
      <c r="G1889" s="50"/>
      <c r="H1889" s="50"/>
      <c r="I1889" s="50"/>
    </row>
    <row r="1890">
      <c r="A1890" s="34"/>
      <c r="F1890" s="50"/>
      <c r="G1890" s="50"/>
      <c r="H1890" s="50"/>
      <c r="I1890" s="50"/>
    </row>
    <row r="1891">
      <c r="A1891" s="34"/>
      <c r="F1891" s="50"/>
      <c r="G1891" s="50"/>
      <c r="H1891" s="50"/>
      <c r="I1891" s="50"/>
    </row>
    <row r="1892">
      <c r="A1892" s="34"/>
      <c r="F1892" s="50"/>
      <c r="G1892" s="50"/>
      <c r="H1892" s="50"/>
      <c r="I1892" s="50"/>
    </row>
    <row r="1893">
      <c r="A1893" s="34"/>
      <c r="F1893" s="50"/>
      <c r="G1893" s="50"/>
      <c r="H1893" s="50"/>
      <c r="I1893" s="50"/>
    </row>
    <row r="1894">
      <c r="A1894" s="34"/>
      <c r="F1894" s="50"/>
      <c r="G1894" s="50"/>
      <c r="H1894" s="50"/>
      <c r="I1894" s="50"/>
    </row>
    <row r="1895">
      <c r="A1895" s="34"/>
      <c r="F1895" s="50"/>
      <c r="G1895" s="50"/>
      <c r="H1895" s="50"/>
      <c r="I1895" s="50"/>
    </row>
    <row r="1896">
      <c r="A1896" s="34"/>
      <c r="F1896" s="50"/>
      <c r="G1896" s="50"/>
      <c r="H1896" s="50"/>
      <c r="I1896" s="50"/>
    </row>
    <row r="1897">
      <c r="A1897" s="34"/>
      <c r="F1897" s="50"/>
      <c r="G1897" s="50"/>
      <c r="H1897" s="50"/>
      <c r="I1897" s="50"/>
    </row>
    <row r="1898">
      <c r="A1898" s="34"/>
      <c r="F1898" s="50"/>
      <c r="G1898" s="50"/>
      <c r="H1898" s="50"/>
      <c r="I1898" s="50"/>
    </row>
    <row r="1899">
      <c r="A1899" s="34"/>
      <c r="F1899" s="50"/>
      <c r="G1899" s="50"/>
      <c r="H1899" s="50"/>
      <c r="I1899" s="50"/>
    </row>
    <row r="1900">
      <c r="A1900" s="34"/>
      <c r="F1900" s="50"/>
      <c r="G1900" s="50"/>
      <c r="H1900" s="50"/>
      <c r="I1900" s="50"/>
    </row>
    <row r="1901">
      <c r="A1901" s="34"/>
      <c r="F1901" s="50"/>
      <c r="G1901" s="50"/>
      <c r="H1901" s="50"/>
      <c r="I1901" s="50"/>
    </row>
    <row r="1902">
      <c r="A1902" s="34"/>
      <c r="F1902" s="50"/>
      <c r="G1902" s="50"/>
      <c r="H1902" s="50"/>
      <c r="I1902" s="50"/>
    </row>
    <row r="1903">
      <c r="A1903" s="34"/>
      <c r="F1903" s="50"/>
      <c r="G1903" s="50"/>
      <c r="H1903" s="50"/>
      <c r="I1903" s="50"/>
    </row>
    <row r="1904">
      <c r="A1904" s="34"/>
      <c r="F1904" s="50"/>
      <c r="G1904" s="50"/>
      <c r="H1904" s="50"/>
      <c r="I1904" s="50"/>
    </row>
    <row r="1905">
      <c r="A1905" s="34"/>
      <c r="F1905" s="50"/>
      <c r="G1905" s="50"/>
      <c r="H1905" s="50"/>
      <c r="I1905" s="50"/>
    </row>
    <row r="1906">
      <c r="A1906" s="34"/>
      <c r="F1906" s="50"/>
      <c r="G1906" s="50"/>
      <c r="H1906" s="50"/>
      <c r="I1906" s="50"/>
    </row>
    <row r="1907">
      <c r="A1907" s="34"/>
      <c r="F1907" s="50"/>
      <c r="G1907" s="50"/>
      <c r="H1907" s="50"/>
      <c r="I1907" s="50"/>
    </row>
    <row r="1908">
      <c r="A1908" s="34"/>
      <c r="F1908" s="50"/>
      <c r="G1908" s="50"/>
      <c r="H1908" s="50"/>
      <c r="I1908" s="50"/>
    </row>
    <row r="1909">
      <c r="A1909" s="34"/>
      <c r="F1909" s="50"/>
      <c r="G1909" s="50"/>
      <c r="H1909" s="50"/>
      <c r="I1909" s="50"/>
    </row>
    <row r="1910">
      <c r="A1910" s="34"/>
      <c r="F1910" s="50"/>
      <c r="G1910" s="50"/>
      <c r="H1910" s="50"/>
      <c r="I1910" s="50"/>
    </row>
    <row r="1911">
      <c r="A1911" s="34"/>
      <c r="F1911" s="50"/>
      <c r="G1911" s="50"/>
      <c r="H1911" s="50"/>
      <c r="I1911" s="50"/>
    </row>
    <row r="1912">
      <c r="A1912" s="34"/>
      <c r="F1912" s="50"/>
      <c r="G1912" s="50"/>
      <c r="H1912" s="50"/>
      <c r="I1912" s="50"/>
    </row>
    <row r="1913">
      <c r="A1913" s="34"/>
      <c r="F1913" s="50"/>
      <c r="G1913" s="50"/>
      <c r="H1913" s="50"/>
      <c r="I1913" s="50"/>
    </row>
    <row r="1914">
      <c r="A1914" s="34"/>
      <c r="F1914" s="50"/>
      <c r="G1914" s="50"/>
      <c r="H1914" s="50"/>
      <c r="I1914" s="50"/>
    </row>
    <row r="1915">
      <c r="A1915" s="34"/>
      <c r="F1915" s="50"/>
      <c r="G1915" s="50"/>
      <c r="H1915" s="50"/>
      <c r="I1915" s="50"/>
    </row>
    <row r="1916">
      <c r="A1916" s="34"/>
      <c r="F1916" s="50"/>
      <c r="G1916" s="50"/>
      <c r="H1916" s="50"/>
      <c r="I1916" s="50"/>
    </row>
    <row r="1917">
      <c r="A1917" s="34"/>
      <c r="F1917" s="50"/>
      <c r="G1917" s="50"/>
      <c r="H1917" s="50"/>
      <c r="I1917" s="50"/>
    </row>
    <row r="1918">
      <c r="A1918" s="34"/>
      <c r="F1918" s="50"/>
      <c r="G1918" s="50"/>
      <c r="H1918" s="50"/>
      <c r="I1918" s="50"/>
    </row>
    <row r="1919">
      <c r="A1919" s="34"/>
      <c r="F1919" s="50"/>
      <c r="G1919" s="50"/>
      <c r="H1919" s="50"/>
      <c r="I1919" s="50"/>
    </row>
    <row r="1920">
      <c r="A1920" s="34"/>
      <c r="F1920" s="50"/>
      <c r="G1920" s="50"/>
      <c r="H1920" s="50"/>
      <c r="I1920" s="50"/>
    </row>
    <row r="1921">
      <c r="A1921" s="34"/>
      <c r="F1921" s="50"/>
      <c r="G1921" s="50"/>
      <c r="H1921" s="50"/>
      <c r="I1921" s="50"/>
    </row>
    <row r="1922">
      <c r="A1922" s="34"/>
      <c r="F1922" s="50"/>
      <c r="G1922" s="50"/>
      <c r="H1922" s="50"/>
      <c r="I1922" s="50"/>
    </row>
    <row r="1923">
      <c r="A1923" s="34"/>
      <c r="F1923" s="50"/>
      <c r="G1923" s="50"/>
      <c r="H1923" s="50"/>
      <c r="I1923" s="50"/>
    </row>
    <row r="1924">
      <c r="A1924" s="34"/>
      <c r="F1924" s="50"/>
      <c r="G1924" s="50"/>
      <c r="H1924" s="50"/>
      <c r="I1924" s="50"/>
    </row>
    <row r="1925">
      <c r="A1925" s="34"/>
      <c r="F1925" s="50"/>
      <c r="G1925" s="50"/>
      <c r="H1925" s="50"/>
      <c r="I1925" s="50"/>
    </row>
    <row r="1926">
      <c r="A1926" s="34"/>
      <c r="F1926" s="50"/>
      <c r="G1926" s="50"/>
      <c r="H1926" s="50"/>
      <c r="I1926" s="50"/>
    </row>
    <row r="1927">
      <c r="A1927" s="34"/>
      <c r="F1927" s="50"/>
      <c r="G1927" s="50"/>
      <c r="H1927" s="50"/>
      <c r="I1927" s="50"/>
    </row>
    <row r="1928">
      <c r="A1928" s="34"/>
      <c r="F1928" s="50"/>
      <c r="G1928" s="50"/>
      <c r="H1928" s="50"/>
      <c r="I1928" s="50"/>
    </row>
    <row r="1929">
      <c r="A1929" s="34"/>
      <c r="F1929" s="50"/>
      <c r="G1929" s="50"/>
      <c r="H1929" s="50"/>
      <c r="I1929" s="50"/>
    </row>
    <row r="1930">
      <c r="F1930" s="50"/>
      <c r="G1930" s="50"/>
      <c r="H1930" s="50"/>
      <c r="I1930" s="50"/>
    </row>
    <row r="1931">
      <c r="F1931" s="50"/>
      <c r="G1931" s="50"/>
      <c r="H1931" s="50"/>
      <c r="I1931" s="50"/>
    </row>
    <row r="1932">
      <c r="F1932" s="50"/>
      <c r="G1932" s="50"/>
      <c r="H1932" s="50"/>
      <c r="I1932" s="50"/>
    </row>
    <row r="1933">
      <c r="F1933" s="50"/>
      <c r="G1933" s="50"/>
      <c r="H1933" s="50"/>
      <c r="I1933" s="50"/>
    </row>
    <row r="1934">
      <c r="F1934" s="50"/>
      <c r="G1934" s="50"/>
      <c r="H1934" s="50"/>
      <c r="I1934" s="50"/>
    </row>
    <row r="1935">
      <c r="F1935" s="50"/>
      <c r="G1935" s="50"/>
      <c r="H1935" s="50"/>
      <c r="I1935" s="50"/>
    </row>
    <row r="1936">
      <c r="F1936" s="50"/>
      <c r="G1936" s="50"/>
      <c r="H1936" s="50"/>
      <c r="I1936" s="50"/>
    </row>
    <row r="1937">
      <c r="F1937" s="50"/>
      <c r="G1937" s="50"/>
      <c r="H1937" s="50"/>
      <c r="I1937" s="50"/>
    </row>
    <row r="1938">
      <c r="F1938" s="50"/>
      <c r="G1938" s="50"/>
      <c r="H1938" s="50"/>
      <c r="I1938" s="50"/>
    </row>
    <row r="1939">
      <c r="F1939" s="50"/>
      <c r="G1939" s="50"/>
      <c r="H1939" s="50"/>
      <c r="I1939" s="50"/>
    </row>
    <row r="1940">
      <c r="F1940" s="50"/>
      <c r="G1940" s="50"/>
      <c r="H1940" s="50"/>
      <c r="I1940" s="50"/>
    </row>
    <row r="1941">
      <c r="F1941" s="50"/>
      <c r="G1941" s="50"/>
      <c r="H1941" s="50"/>
      <c r="I1941" s="50"/>
    </row>
    <row r="1942">
      <c r="F1942" s="50"/>
      <c r="G1942" s="50"/>
      <c r="H1942" s="50"/>
      <c r="I1942" s="50"/>
    </row>
    <row r="1943">
      <c r="F1943" s="50"/>
      <c r="G1943" s="50"/>
      <c r="H1943" s="50"/>
      <c r="I1943" s="50"/>
    </row>
    <row r="1944">
      <c r="F1944" s="50"/>
      <c r="G1944" s="50"/>
      <c r="H1944" s="50"/>
      <c r="I1944" s="50"/>
    </row>
    <row r="1945">
      <c r="F1945" s="50"/>
      <c r="G1945" s="50"/>
      <c r="H1945" s="50"/>
      <c r="I1945" s="50"/>
    </row>
    <row r="1946">
      <c r="F1946" s="50"/>
      <c r="G1946" s="50"/>
      <c r="H1946" s="50"/>
      <c r="I1946" s="50"/>
    </row>
    <row r="1947">
      <c r="F1947" s="50"/>
      <c r="G1947" s="50"/>
      <c r="H1947" s="50"/>
      <c r="I1947" s="50"/>
    </row>
    <row r="1948">
      <c r="F1948" s="50"/>
      <c r="G1948" s="50"/>
      <c r="H1948" s="50"/>
      <c r="I1948" s="50"/>
    </row>
    <row r="1949">
      <c r="F1949" s="50"/>
      <c r="G1949" s="50"/>
      <c r="H1949" s="50"/>
      <c r="I1949" s="50"/>
    </row>
    <row r="1950">
      <c r="F1950" s="50"/>
      <c r="G1950" s="50"/>
      <c r="H1950" s="50"/>
      <c r="I1950" s="50"/>
    </row>
    <row r="1951">
      <c r="F1951" s="50"/>
      <c r="G1951" s="50"/>
      <c r="H1951" s="50"/>
      <c r="I1951" s="50"/>
    </row>
    <row r="1952">
      <c r="F1952" s="50"/>
      <c r="G1952" s="50"/>
      <c r="H1952" s="50"/>
      <c r="I1952" s="50"/>
    </row>
    <row r="1953">
      <c r="F1953" s="50"/>
      <c r="G1953" s="50"/>
      <c r="H1953" s="50"/>
      <c r="I1953" s="50"/>
    </row>
    <row r="1954">
      <c r="F1954" s="50"/>
      <c r="G1954" s="50"/>
      <c r="H1954" s="50"/>
      <c r="I1954" s="50"/>
    </row>
    <row r="1955">
      <c r="F1955" s="50"/>
      <c r="G1955" s="50"/>
      <c r="H1955" s="50"/>
      <c r="I1955" s="50"/>
    </row>
    <row r="1956">
      <c r="F1956" s="50"/>
      <c r="G1956" s="50"/>
      <c r="H1956" s="50"/>
      <c r="I1956" s="50"/>
    </row>
    <row r="1957">
      <c r="F1957" s="50"/>
      <c r="G1957" s="50"/>
      <c r="H1957" s="50"/>
      <c r="I1957" s="50"/>
    </row>
    <row r="1958">
      <c r="F1958" s="50"/>
      <c r="G1958" s="50"/>
      <c r="H1958" s="50"/>
      <c r="I1958" s="50"/>
    </row>
    <row r="1959">
      <c r="F1959" s="50"/>
      <c r="G1959" s="50"/>
      <c r="H1959" s="50"/>
      <c r="I1959" s="50"/>
    </row>
    <row r="1960">
      <c r="F1960" s="50"/>
      <c r="G1960" s="50"/>
      <c r="H1960" s="50"/>
      <c r="I1960" s="50"/>
    </row>
    <row r="1961">
      <c r="F1961" s="50"/>
      <c r="G1961" s="50"/>
      <c r="H1961" s="50"/>
      <c r="I1961" s="50"/>
    </row>
    <row r="1962">
      <c r="F1962" s="50"/>
      <c r="G1962" s="50"/>
      <c r="H1962" s="50"/>
      <c r="I1962" s="50"/>
    </row>
    <row r="1963">
      <c r="F1963" s="50"/>
      <c r="G1963" s="50"/>
      <c r="H1963" s="50"/>
      <c r="I1963" s="50"/>
    </row>
    <row r="1964">
      <c r="F1964" s="50"/>
      <c r="G1964" s="50"/>
      <c r="H1964" s="50"/>
      <c r="I1964" s="50"/>
    </row>
    <row r="1965">
      <c r="F1965" s="50"/>
      <c r="G1965" s="50"/>
      <c r="H1965" s="50"/>
      <c r="I1965" s="50"/>
    </row>
    <row r="1966">
      <c r="F1966" s="50"/>
      <c r="G1966" s="50"/>
      <c r="H1966" s="50"/>
      <c r="I1966" s="50"/>
    </row>
    <row r="1967">
      <c r="F1967" s="50"/>
      <c r="G1967" s="50"/>
      <c r="H1967" s="50"/>
      <c r="I1967" s="50"/>
    </row>
    <row r="1968">
      <c r="F1968" s="50"/>
      <c r="G1968" s="50"/>
      <c r="H1968" s="50"/>
      <c r="I1968" s="50"/>
    </row>
    <row r="1969">
      <c r="F1969" s="50"/>
      <c r="G1969" s="50"/>
      <c r="H1969" s="50"/>
      <c r="I1969" s="50"/>
    </row>
    <row r="1970">
      <c r="F1970" s="50"/>
      <c r="G1970" s="50"/>
      <c r="H1970" s="50"/>
      <c r="I1970" s="50"/>
    </row>
    <row r="1971">
      <c r="F1971" s="50"/>
      <c r="G1971" s="50"/>
      <c r="H1971" s="50"/>
      <c r="I1971" s="50"/>
    </row>
    <row r="1972">
      <c r="F1972" s="50"/>
      <c r="G1972" s="50"/>
      <c r="H1972" s="50"/>
      <c r="I1972" s="50"/>
    </row>
    <row r="1973">
      <c r="F1973" s="50"/>
      <c r="G1973" s="50"/>
      <c r="H1973" s="50"/>
      <c r="I1973" s="50"/>
    </row>
    <row r="1974">
      <c r="F1974" s="50"/>
      <c r="G1974" s="50"/>
      <c r="H1974" s="50"/>
      <c r="I1974" s="50"/>
    </row>
    <row r="1975">
      <c r="F1975" s="50"/>
      <c r="G1975" s="50"/>
      <c r="H1975" s="50"/>
      <c r="I1975" s="50"/>
    </row>
    <row r="1976">
      <c r="F1976" s="50"/>
      <c r="G1976" s="50"/>
      <c r="H1976" s="50"/>
      <c r="I1976" s="50"/>
    </row>
    <row r="1977">
      <c r="F1977" s="50"/>
      <c r="G1977" s="50"/>
      <c r="H1977" s="50"/>
      <c r="I1977" s="50"/>
    </row>
    <row r="1978">
      <c r="F1978" s="50"/>
      <c r="G1978" s="50"/>
      <c r="H1978" s="50"/>
      <c r="I1978" s="50"/>
    </row>
    <row r="1979">
      <c r="F1979" s="50"/>
      <c r="G1979" s="50"/>
      <c r="H1979" s="50"/>
      <c r="I1979" s="50"/>
    </row>
    <row r="1980">
      <c r="F1980" s="50"/>
      <c r="G1980" s="50"/>
      <c r="H1980" s="50"/>
      <c r="I1980" s="50"/>
    </row>
    <row r="1981">
      <c r="F1981" s="50"/>
      <c r="G1981" s="50"/>
      <c r="H1981" s="50"/>
      <c r="I1981" s="50"/>
    </row>
    <row r="1982">
      <c r="F1982" s="50"/>
      <c r="G1982" s="50"/>
      <c r="H1982" s="50"/>
      <c r="I1982" s="50"/>
    </row>
    <row r="1983">
      <c r="F1983" s="50"/>
      <c r="G1983" s="50"/>
      <c r="H1983" s="50"/>
      <c r="I1983" s="50"/>
    </row>
    <row r="1984">
      <c r="F1984" s="50"/>
      <c r="G1984" s="50"/>
      <c r="H1984" s="50"/>
      <c r="I1984" s="50"/>
    </row>
    <row r="1985">
      <c r="F1985" s="50"/>
      <c r="G1985" s="50"/>
      <c r="H1985" s="50"/>
      <c r="I1985" s="50"/>
    </row>
    <row r="1986">
      <c r="F1986" s="50"/>
      <c r="G1986" s="50"/>
      <c r="H1986" s="50"/>
      <c r="I1986" s="50"/>
    </row>
    <row r="1987">
      <c r="F1987" s="50"/>
      <c r="G1987" s="50"/>
      <c r="H1987" s="50"/>
      <c r="I1987" s="50"/>
    </row>
    <row r="1988">
      <c r="F1988" s="50"/>
      <c r="G1988" s="50"/>
      <c r="H1988" s="50"/>
      <c r="I1988" s="50"/>
    </row>
    <row r="1989">
      <c r="F1989" s="50"/>
      <c r="G1989" s="50"/>
      <c r="H1989" s="50"/>
      <c r="I1989" s="50"/>
    </row>
    <row r="1990">
      <c r="F1990" s="50"/>
      <c r="G1990" s="50"/>
      <c r="H1990" s="50"/>
      <c r="I1990" s="50"/>
    </row>
    <row r="1991">
      <c r="F1991" s="50"/>
      <c r="G1991" s="50"/>
      <c r="H1991" s="50"/>
      <c r="I1991" s="50"/>
    </row>
    <row r="1992">
      <c r="F1992" s="50"/>
      <c r="G1992" s="50"/>
      <c r="H1992" s="50"/>
      <c r="I1992" s="50"/>
    </row>
    <row r="1993">
      <c r="F1993" s="50"/>
      <c r="G1993" s="50"/>
      <c r="H1993" s="50"/>
      <c r="I1993" s="50"/>
    </row>
    <row r="1994">
      <c r="F1994" s="50"/>
      <c r="G1994" s="50"/>
      <c r="H1994" s="50"/>
      <c r="I1994" s="50"/>
    </row>
    <row r="1995">
      <c r="F1995" s="50"/>
      <c r="G1995" s="50"/>
      <c r="H1995" s="50"/>
      <c r="I1995" s="50"/>
    </row>
    <row r="1996">
      <c r="F1996" s="50"/>
      <c r="G1996" s="50"/>
      <c r="H1996" s="50"/>
      <c r="I1996" s="50"/>
    </row>
    <row r="1997">
      <c r="F1997" s="50"/>
      <c r="G1997" s="50"/>
      <c r="H1997" s="50"/>
      <c r="I1997" s="50"/>
    </row>
    <row r="1998">
      <c r="F1998" s="50"/>
      <c r="G1998" s="50"/>
      <c r="H1998" s="50"/>
      <c r="I1998" s="50"/>
    </row>
    <row r="1999">
      <c r="F1999" s="50"/>
      <c r="G1999" s="50"/>
      <c r="H1999" s="50"/>
      <c r="I1999" s="50"/>
    </row>
    <row r="2000">
      <c r="F2000" s="50"/>
      <c r="G2000" s="50"/>
      <c r="H2000" s="50"/>
      <c r="I2000" s="50"/>
    </row>
    <row r="2001">
      <c r="F2001" s="50"/>
      <c r="G2001" s="50"/>
      <c r="H2001" s="50"/>
      <c r="I2001" s="50"/>
    </row>
    <row r="2002">
      <c r="F2002" s="50"/>
      <c r="G2002" s="50"/>
      <c r="H2002" s="50"/>
      <c r="I2002" s="50"/>
    </row>
    <row r="2003">
      <c r="F2003" s="50"/>
      <c r="G2003" s="50"/>
      <c r="H2003" s="50"/>
      <c r="I2003" s="50"/>
    </row>
    <row r="2004">
      <c r="F2004" s="50"/>
      <c r="G2004" s="50"/>
      <c r="H2004" s="50"/>
      <c r="I2004" s="50"/>
    </row>
    <row r="2005">
      <c r="F2005" s="50"/>
      <c r="G2005" s="50"/>
      <c r="H2005" s="50"/>
      <c r="I2005" s="50"/>
    </row>
    <row r="2006">
      <c r="F2006" s="50"/>
      <c r="G2006" s="50"/>
      <c r="H2006" s="50"/>
      <c r="I2006" s="50"/>
    </row>
    <row r="2007">
      <c r="F2007" s="50"/>
      <c r="G2007" s="50"/>
      <c r="H2007" s="50"/>
      <c r="I2007" s="50"/>
    </row>
    <row r="2008">
      <c r="F2008" s="50"/>
      <c r="G2008" s="50"/>
      <c r="H2008" s="50"/>
      <c r="I2008" s="50"/>
    </row>
    <row r="2009">
      <c r="F2009" s="50"/>
      <c r="G2009" s="50"/>
      <c r="H2009" s="50"/>
      <c r="I2009" s="50"/>
    </row>
    <row r="2010">
      <c r="F2010" s="50"/>
      <c r="G2010" s="50"/>
      <c r="H2010" s="50"/>
      <c r="I2010" s="50"/>
    </row>
    <row r="2011">
      <c r="F2011" s="50"/>
      <c r="G2011" s="50"/>
      <c r="H2011" s="50"/>
      <c r="I2011" s="50"/>
    </row>
    <row r="2012">
      <c r="F2012" s="50"/>
      <c r="G2012" s="50"/>
      <c r="H2012" s="50"/>
      <c r="I2012" s="50"/>
    </row>
    <row r="2013">
      <c r="F2013" s="50"/>
      <c r="G2013" s="50"/>
      <c r="H2013" s="50"/>
      <c r="I2013" s="50"/>
    </row>
    <row r="2014">
      <c r="F2014" s="50"/>
      <c r="G2014" s="50"/>
      <c r="H2014" s="50"/>
      <c r="I2014" s="50"/>
    </row>
    <row r="2015">
      <c r="F2015" s="50"/>
      <c r="G2015" s="50"/>
      <c r="H2015" s="50"/>
      <c r="I2015" s="50"/>
    </row>
    <row r="2016">
      <c r="F2016" s="50"/>
      <c r="G2016" s="50"/>
      <c r="H2016" s="50"/>
      <c r="I2016" s="50"/>
    </row>
    <row r="2017">
      <c r="F2017" s="50"/>
      <c r="G2017" s="50"/>
      <c r="H2017" s="50"/>
      <c r="I2017" s="50"/>
    </row>
    <row r="2018">
      <c r="F2018" s="50"/>
      <c r="G2018" s="50"/>
      <c r="H2018" s="50"/>
      <c r="I2018" s="50"/>
    </row>
    <row r="2019">
      <c r="F2019" s="50"/>
      <c r="G2019" s="50"/>
      <c r="H2019" s="50"/>
      <c r="I2019" s="50"/>
    </row>
    <row r="2020">
      <c r="F2020" s="50"/>
      <c r="G2020" s="50"/>
      <c r="H2020" s="50"/>
      <c r="I2020" s="50"/>
    </row>
    <row r="2021">
      <c r="F2021" s="50"/>
      <c r="G2021" s="50"/>
      <c r="H2021" s="50"/>
      <c r="I2021" s="50"/>
    </row>
    <row r="2022">
      <c r="F2022" s="50"/>
      <c r="G2022" s="50"/>
      <c r="H2022" s="50"/>
      <c r="I2022" s="50"/>
    </row>
    <row r="2023">
      <c r="F2023" s="50"/>
      <c r="G2023" s="50"/>
      <c r="H2023" s="50"/>
      <c r="I2023" s="50"/>
    </row>
    <row r="2024">
      <c r="F2024" s="50"/>
      <c r="G2024" s="50"/>
      <c r="H2024" s="50"/>
      <c r="I2024" s="50"/>
    </row>
    <row r="2025">
      <c r="F2025" s="50"/>
      <c r="G2025" s="50"/>
      <c r="H2025" s="50"/>
      <c r="I2025" s="50"/>
    </row>
    <row r="2026">
      <c r="F2026" s="50"/>
      <c r="G2026" s="50"/>
      <c r="H2026" s="50"/>
      <c r="I2026" s="50"/>
    </row>
    <row r="2027">
      <c r="F2027" s="50"/>
      <c r="G2027" s="50"/>
      <c r="H2027" s="50"/>
      <c r="I2027" s="50"/>
    </row>
    <row r="2028">
      <c r="F2028" s="50"/>
      <c r="G2028" s="50"/>
      <c r="H2028" s="50"/>
      <c r="I2028" s="50"/>
    </row>
    <row r="2029">
      <c r="F2029" s="50"/>
      <c r="G2029" s="50"/>
      <c r="H2029" s="50"/>
      <c r="I2029" s="50"/>
    </row>
    <row r="2030">
      <c r="F2030" s="50"/>
      <c r="G2030" s="50"/>
      <c r="H2030" s="50"/>
      <c r="I2030" s="50"/>
    </row>
    <row r="2031">
      <c r="F2031" s="50"/>
      <c r="G2031" s="50"/>
      <c r="H2031" s="50"/>
      <c r="I2031" s="50"/>
    </row>
    <row r="2032">
      <c r="F2032" s="50"/>
      <c r="G2032" s="50"/>
      <c r="H2032" s="50"/>
      <c r="I2032" s="50"/>
    </row>
    <row r="2033">
      <c r="F2033" s="50"/>
      <c r="G2033" s="50"/>
      <c r="H2033" s="50"/>
      <c r="I2033" s="50"/>
    </row>
    <row r="2034">
      <c r="F2034" s="50"/>
      <c r="G2034" s="50"/>
      <c r="H2034" s="50"/>
      <c r="I2034" s="50"/>
    </row>
    <row r="2035">
      <c r="F2035" s="50"/>
      <c r="G2035" s="50"/>
      <c r="H2035" s="50"/>
      <c r="I2035" s="50"/>
    </row>
    <row r="2036">
      <c r="F2036" s="50"/>
      <c r="G2036" s="50"/>
      <c r="H2036" s="50"/>
      <c r="I2036" s="50"/>
    </row>
    <row r="2037">
      <c r="F2037" s="50"/>
      <c r="G2037" s="50"/>
      <c r="H2037" s="50"/>
      <c r="I2037" s="50"/>
    </row>
    <row r="2038">
      <c r="F2038" s="50"/>
      <c r="G2038" s="50"/>
      <c r="H2038" s="50"/>
      <c r="I2038" s="50"/>
    </row>
    <row r="2039">
      <c r="F2039" s="50"/>
      <c r="G2039" s="50"/>
      <c r="H2039" s="50"/>
      <c r="I2039" s="50"/>
    </row>
    <row r="2040">
      <c r="F2040" s="50"/>
      <c r="G2040" s="50"/>
      <c r="H2040" s="50"/>
      <c r="I2040" s="50"/>
    </row>
    <row r="2041">
      <c r="F2041" s="50"/>
      <c r="G2041" s="50"/>
      <c r="H2041" s="50"/>
      <c r="I2041" s="50"/>
    </row>
    <row r="2042">
      <c r="F2042" s="50"/>
      <c r="G2042" s="50"/>
      <c r="H2042" s="50"/>
      <c r="I2042" s="50"/>
    </row>
    <row r="2043">
      <c r="F2043" s="50"/>
      <c r="G2043" s="50"/>
      <c r="H2043" s="50"/>
      <c r="I2043" s="50"/>
    </row>
    <row r="2044">
      <c r="F2044" s="50"/>
      <c r="G2044" s="50"/>
      <c r="H2044" s="50"/>
      <c r="I2044" s="50"/>
    </row>
    <row r="2045">
      <c r="F2045" s="50"/>
      <c r="G2045" s="50"/>
      <c r="H2045" s="50"/>
      <c r="I2045" s="50"/>
    </row>
    <row r="2046">
      <c r="F2046" s="50"/>
      <c r="G2046" s="50"/>
      <c r="H2046" s="50"/>
      <c r="I2046" s="50"/>
    </row>
    <row r="2047">
      <c r="F2047" s="50"/>
      <c r="G2047" s="50"/>
      <c r="H2047" s="50"/>
      <c r="I2047" s="50"/>
    </row>
    <row r="2048">
      <c r="F2048" s="50"/>
      <c r="G2048" s="50"/>
      <c r="H2048" s="50"/>
      <c r="I2048" s="50"/>
    </row>
    <row r="2049">
      <c r="F2049" s="50"/>
      <c r="G2049" s="50"/>
      <c r="H2049" s="50"/>
      <c r="I2049" s="50"/>
    </row>
    <row r="2050">
      <c r="F2050" s="50"/>
      <c r="G2050" s="50"/>
      <c r="H2050" s="50"/>
      <c r="I2050" s="50"/>
    </row>
    <row r="2051">
      <c r="F2051" s="50"/>
      <c r="G2051" s="50"/>
      <c r="H2051" s="50"/>
      <c r="I2051" s="50"/>
    </row>
    <row r="2052">
      <c r="F2052" s="50"/>
      <c r="G2052" s="50"/>
      <c r="H2052" s="50"/>
      <c r="I2052" s="50"/>
    </row>
    <row r="2053">
      <c r="F2053" s="50"/>
      <c r="G2053" s="50"/>
      <c r="H2053" s="50"/>
      <c r="I2053" s="50"/>
    </row>
    <row r="2054">
      <c r="F2054" s="50"/>
      <c r="G2054" s="50"/>
      <c r="H2054" s="50"/>
      <c r="I2054" s="50"/>
    </row>
    <row r="2055">
      <c r="F2055" s="50"/>
      <c r="G2055" s="50"/>
      <c r="H2055" s="50"/>
      <c r="I2055" s="50"/>
    </row>
    <row r="2056">
      <c r="F2056" s="50"/>
      <c r="G2056" s="50"/>
      <c r="H2056" s="50"/>
      <c r="I2056" s="50"/>
    </row>
    <row r="2057">
      <c r="F2057" s="50"/>
      <c r="G2057" s="50"/>
      <c r="H2057" s="50"/>
      <c r="I2057" s="50"/>
    </row>
    <row r="2058">
      <c r="F2058" s="50"/>
      <c r="G2058" s="50"/>
      <c r="H2058" s="50"/>
      <c r="I2058" s="50"/>
    </row>
    <row r="2059">
      <c r="F2059" s="50"/>
      <c r="G2059" s="50"/>
      <c r="H2059" s="50"/>
      <c r="I2059" s="50"/>
    </row>
    <row r="2060">
      <c r="F2060" s="50"/>
      <c r="G2060" s="50"/>
      <c r="H2060" s="50"/>
      <c r="I2060" s="50"/>
    </row>
    <row r="2061">
      <c r="F2061" s="50"/>
      <c r="G2061" s="50"/>
      <c r="H2061" s="50"/>
      <c r="I2061" s="50"/>
    </row>
    <row r="2062">
      <c r="F2062" s="50"/>
      <c r="G2062" s="50"/>
      <c r="H2062" s="50"/>
      <c r="I2062" s="50"/>
    </row>
    <row r="2063">
      <c r="F2063" s="50"/>
      <c r="G2063" s="50"/>
      <c r="H2063" s="50"/>
      <c r="I2063" s="50"/>
    </row>
    <row r="2064">
      <c r="F2064" s="50"/>
      <c r="G2064" s="50"/>
      <c r="H2064" s="50"/>
      <c r="I2064" s="50"/>
    </row>
    <row r="2065">
      <c r="F2065" s="50"/>
      <c r="G2065" s="50"/>
      <c r="H2065" s="50"/>
      <c r="I2065" s="50"/>
    </row>
    <row r="2066">
      <c r="F2066" s="50"/>
      <c r="G2066" s="50"/>
      <c r="H2066" s="50"/>
      <c r="I2066" s="50"/>
    </row>
    <row r="2067">
      <c r="F2067" s="50"/>
      <c r="G2067" s="50"/>
      <c r="H2067" s="50"/>
      <c r="I2067" s="50"/>
    </row>
    <row r="2068">
      <c r="F2068" s="50"/>
      <c r="G2068" s="50"/>
      <c r="H2068" s="50"/>
      <c r="I2068" s="50"/>
    </row>
    <row r="2069">
      <c r="F2069" s="50"/>
      <c r="G2069" s="50"/>
      <c r="H2069" s="50"/>
      <c r="I2069" s="50"/>
    </row>
    <row r="2070">
      <c r="F2070" s="50"/>
      <c r="G2070" s="50"/>
      <c r="H2070" s="50"/>
      <c r="I2070" s="50"/>
    </row>
    <row r="2071">
      <c r="F2071" s="50"/>
      <c r="G2071" s="50"/>
      <c r="H2071" s="50"/>
      <c r="I2071" s="50"/>
    </row>
    <row r="2072">
      <c r="F2072" s="50"/>
      <c r="G2072" s="50"/>
      <c r="H2072" s="50"/>
      <c r="I2072" s="50"/>
    </row>
    <row r="2073">
      <c r="F2073" s="50"/>
      <c r="G2073" s="50"/>
      <c r="H2073" s="50"/>
      <c r="I2073" s="50"/>
    </row>
    <row r="2074">
      <c r="F2074" s="50"/>
      <c r="G2074" s="50"/>
      <c r="H2074" s="50"/>
      <c r="I2074" s="50"/>
    </row>
    <row r="2075">
      <c r="F2075" s="50"/>
      <c r="G2075" s="50"/>
      <c r="H2075" s="50"/>
      <c r="I2075" s="50"/>
    </row>
    <row r="2076">
      <c r="F2076" s="50"/>
      <c r="G2076" s="50"/>
      <c r="H2076" s="50"/>
      <c r="I2076" s="50"/>
    </row>
    <row r="2077">
      <c r="F2077" s="50"/>
      <c r="G2077" s="50"/>
      <c r="H2077" s="50"/>
      <c r="I2077" s="50"/>
    </row>
    <row r="2078">
      <c r="F2078" s="50"/>
      <c r="G2078" s="50"/>
      <c r="H2078" s="50"/>
      <c r="I2078" s="50"/>
    </row>
    <row r="2079">
      <c r="F2079" s="50"/>
      <c r="G2079" s="50"/>
      <c r="H2079" s="50"/>
      <c r="I2079" s="50"/>
    </row>
    <row r="2080">
      <c r="F2080" s="50"/>
      <c r="G2080" s="50"/>
      <c r="H2080" s="50"/>
      <c r="I2080" s="50"/>
    </row>
    <row r="2081">
      <c r="F2081" s="50"/>
      <c r="G2081" s="50"/>
      <c r="H2081" s="50"/>
      <c r="I2081" s="50"/>
    </row>
    <row r="2082">
      <c r="F2082" s="50"/>
      <c r="G2082" s="50"/>
      <c r="H2082" s="50"/>
      <c r="I2082" s="50"/>
    </row>
    <row r="2083">
      <c r="F2083" s="50"/>
      <c r="G2083" s="50"/>
      <c r="H2083" s="50"/>
      <c r="I2083" s="50"/>
    </row>
    <row r="2084">
      <c r="F2084" s="50"/>
      <c r="G2084" s="50"/>
      <c r="H2084" s="50"/>
      <c r="I2084" s="50"/>
    </row>
    <row r="2085">
      <c r="F2085" s="50"/>
      <c r="G2085" s="50"/>
      <c r="H2085" s="50"/>
      <c r="I2085" s="50"/>
    </row>
    <row r="2086">
      <c r="F2086" s="50"/>
      <c r="G2086" s="50"/>
      <c r="H2086" s="50"/>
      <c r="I2086" s="50"/>
    </row>
    <row r="2087">
      <c r="F2087" s="50"/>
      <c r="G2087" s="50"/>
      <c r="H2087" s="50"/>
      <c r="I2087" s="50"/>
    </row>
    <row r="2088">
      <c r="F2088" s="50"/>
      <c r="G2088" s="50"/>
      <c r="H2088" s="50"/>
      <c r="I2088" s="50"/>
    </row>
    <row r="2089">
      <c r="F2089" s="50"/>
      <c r="G2089" s="50"/>
      <c r="H2089" s="50"/>
      <c r="I2089" s="50"/>
    </row>
    <row r="2090">
      <c r="F2090" s="50"/>
      <c r="G2090" s="50"/>
      <c r="H2090" s="50"/>
      <c r="I2090" s="50"/>
    </row>
    <row r="2091">
      <c r="F2091" s="50"/>
      <c r="G2091" s="50"/>
      <c r="H2091" s="50"/>
      <c r="I2091" s="50"/>
    </row>
    <row r="2092">
      <c r="F2092" s="50"/>
      <c r="G2092" s="50"/>
      <c r="H2092" s="50"/>
      <c r="I2092" s="50"/>
    </row>
    <row r="2093">
      <c r="F2093" s="50"/>
      <c r="G2093" s="50"/>
      <c r="H2093" s="50"/>
      <c r="I2093" s="50"/>
    </row>
    <row r="2094">
      <c r="F2094" s="50"/>
      <c r="G2094" s="50"/>
      <c r="H2094" s="50"/>
      <c r="I2094" s="50"/>
    </row>
    <row r="2095">
      <c r="F2095" s="50"/>
      <c r="G2095" s="50"/>
      <c r="H2095" s="50"/>
      <c r="I2095" s="50"/>
    </row>
    <row r="2096">
      <c r="F2096" s="50"/>
      <c r="G2096" s="50"/>
      <c r="H2096" s="50"/>
      <c r="I2096" s="50"/>
    </row>
    <row r="2097">
      <c r="F2097" s="50"/>
      <c r="G2097" s="50"/>
      <c r="H2097" s="50"/>
      <c r="I2097" s="50"/>
    </row>
    <row r="2098">
      <c r="F2098" s="50"/>
      <c r="G2098" s="50"/>
      <c r="H2098" s="50"/>
      <c r="I2098" s="50"/>
    </row>
    <row r="2099">
      <c r="F2099" s="50"/>
      <c r="G2099" s="50"/>
      <c r="H2099" s="50"/>
      <c r="I2099" s="50"/>
    </row>
    <row r="2100">
      <c r="F2100" s="50"/>
      <c r="G2100" s="50"/>
      <c r="H2100" s="50"/>
      <c r="I2100" s="50"/>
    </row>
    <row r="2101">
      <c r="F2101" s="50"/>
      <c r="G2101" s="50"/>
      <c r="H2101" s="50"/>
      <c r="I2101" s="50"/>
    </row>
    <row r="2102">
      <c r="F2102" s="50"/>
      <c r="G2102" s="50"/>
      <c r="H2102" s="50"/>
      <c r="I2102" s="50"/>
    </row>
    <row r="2103">
      <c r="F2103" s="50"/>
      <c r="G2103" s="50"/>
      <c r="H2103" s="50"/>
      <c r="I2103" s="50"/>
    </row>
    <row r="2104">
      <c r="F2104" s="50"/>
      <c r="G2104" s="50"/>
      <c r="H2104" s="50"/>
      <c r="I2104" s="50"/>
    </row>
    <row r="2105">
      <c r="F2105" s="50"/>
      <c r="G2105" s="50"/>
      <c r="H2105" s="50"/>
      <c r="I2105" s="50"/>
    </row>
    <row r="2106">
      <c r="F2106" s="50"/>
      <c r="G2106" s="50"/>
      <c r="H2106" s="50"/>
      <c r="I2106" s="50"/>
    </row>
    <row r="2107">
      <c r="F2107" s="50"/>
      <c r="G2107" s="50"/>
      <c r="H2107" s="50"/>
      <c r="I2107" s="50"/>
    </row>
    <row r="2108">
      <c r="F2108" s="50"/>
      <c r="G2108" s="50"/>
      <c r="H2108" s="50"/>
      <c r="I2108" s="50"/>
    </row>
    <row r="2109">
      <c r="F2109" s="50"/>
      <c r="G2109" s="50"/>
      <c r="H2109" s="50"/>
      <c r="I2109" s="50"/>
    </row>
    <row r="2110">
      <c r="F2110" s="50"/>
      <c r="G2110" s="50"/>
      <c r="H2110" s="50"/>
      <c r="I2110" s="50"/>
    </row>
    <row r="2111">
      <c r="F2111" s="50"/>
      <c r="G2111" s="50"/>
      <c r="H2111" s="50"/>
      <c r="I2111" s="50"/>
    </row>
    <row r="2112">
      <c r="F2112" s="50"/>
      <c r="G2112" s="50"/>
      <c r="H2112" s="50"/>
      <c r="I2112" s="50"/>
    </row>
    <row r="2113">
      <c r="F2113" s="50"/>
      <c r="G2113" s="50"/>
      <c r="H2113" s="50"/>
      <c r="I2113" s="50"/>
    </row>
    <row r="2114">
      <c r="F2114" s="50"/>
      <c r="G2114" s="50"/>
      <c r="H2114" s="50"/>
      <c r="I2114" s="50"/>
    </row>
    <row r="2115">
      <c r="F2115" s="50"/>
      <c r="G2115" s="50"/>
      <c r="H2115" s="50"/>
      <c r="I2115" s="50"/>
    </row>
    <row r="2116">
      <c r="F2116" s="50"/>
      <c r="G2116" s="50"/>
      <c r="H2116" s="50"/>
      <c r="I2116" s="50"/>
    </row>
    <row r="2117">
      <c r="F2117" s="50"/>
      <c r="G2117" s="50"/>
      <c r="H2117" s="50"/>
      <c r="I2117" s="50"/>
    </row>
    <row r="2118">
      <c r="F2118" s="50"/>
      <c r="G2118" s="50"/>
      <c r="H2118" s="50"/>
      <c r="I2118" s="50"/>
    </row>
    <row r="2119">
      <c r="F2119" s="50"/>
      <c r="G2119" s="50"/>
      <c r="H2119" s="50"/>
      <c r="I2119" s="50"/>
    </row>
    <row r="2120">
      <c r="F2120" s="50"/>
      <c r="G2120" s="50"/>
      <c r="H2120" s="50"/>
      <c r="I2120" s="50"/>
    </row>
    <row r="2121">
      <c r="F2121" s="50"/>
      <c r="G2121" s="50"/>
      <c r="H2121" s="50"/>
      <c r="I2121" s="50"/>
    </row>
    <row r="2122">
      <c r="F2122" s="50"/>
      <c r="G2122" s="50"/>
      <c r="H2122" s="50"/>
      <c r="I2122" s="50"/>
    </row>
    <row r="2123">
      <c r="F2123" s="50"/>
      <c r="G2123" s="50"/>
      <c r="H2123" s="50"/>
      <c r="I2123" s="50"/>
    </row>
    <row r="2124">
      <c r="F2124" s="50"/>
      <c r="G2124" s="50"/>
      <c r="H2124" s="50"/>
      <c r="I2124" s="50"/>
    </row>
    <row r="2125">
      <c r="F2125" s="50"/>
      <c r="G2125" s="50"/>
      <c r="H2125" s="50"/>
      <c r="I2125" s="50"/>
    </row>
    <row r="2126">
      <c r="F2126" s="50"/>
      <c r="G2126" s="50"/>
      <c r="H2126" s="50"/>
      <c r="I2126" s="50"/>
    </row>
    <row r="2127">
      <c r="F2127" s="50"/>
      <c r="G2127" s="50"/>
      <c r="H2127" s="50"/>
      <c r="I2127" s="50"/>
    </row>
    <row r="2128">
      <c r="F2128" s="50"/>
      <c r="G2128" s="50"/>
      <c r="H2128" s="50"/>
      <c r="I2128" s="50"/>
    </row>
    <row r="2129">
      <c r="F2129" s="50"/>
      <c r="G2129" s="50"/>
      <c r="H2129" s="50"/>
      <c r="I2129" s="50"/>
    </row>
    <row r="2130">
      <c r="F2130" s="50"/>
      <c r="G2130" s="50"/>
      <c r="H2130" s="50"/>
      <c r="I2130" s="50"/>
    </row>
    <row r="2131">
      <c r="F2131" s="50"/>
      <c r="G2131" s="50"/>
      <c r="H2131" s="50"/>
      <c r="I2131" s="50"/>
    </row>
    <row r="2132">
      <c r="F2132" s="50"/>
      <c r="G2132" s="50"/>
      <c r="H2132" s="50"/>
      <c r="I2132" s="50"/>
    </row>
    <row r="2133">
      <c r="F2133" s="50"/>
      <c r="G2133" s="50"/>
      <c r="H2133" s="50"/>
      <c r="I2133" s="50"/>
    </row>
    <row r="2134">
      <c r="F2134" s="50"/>
      <c r="G2134" s="50"/>
      <c r="H2134" s="50"/>
      <c r="I2134" s="50"/>
    </row>
    <row r="2135">
      <c r="F2135" s="50"/>
      <c r="G2135" s="50"/>
      <c r="H2135" s="50"/>
      <c r="I2135" s="50"/>
    </row>
    <row r="2136">
      <c r="F2136" s="50"/>
      <c r="G2136" s="50"/>
      <c r="H2136" s="50"/>
      <c r="I2136" s="50"/>
    </row>
    <row r="2137">
      <c r="F2137" s="50"/>
      <c r="G2137" s="50"/>
      <c r="H2137" s="50"/>
      <c r="I2137" s="50"/>
    </row>
    <row r="2138">
      <c r="F2138" s="50"/>
      <c r="G2138" s="50"/>
      <c r="H2138" s="50"/>
      <c r="I2138" s="50"/>
    </row>
    <row r="2139">
      <c r="F2139" s="50"/>
      <c r="G2139" s="50"/>
      <c r="H2139" s="50"/>
      <c r="I2139" s="50"/>
    </row>
    <row r="2140">
      <c r="F2140" s="50"/>
      <c r="G2140" s="50"/>
      <c r="H2140" s="50"/>
      <c r="I2140" s="50"/>
    </row>
    <row r="2141">
      <c r="F2141" s="50"/>
      <c r="G2141" s="50"/>
      <c r="H2141" s="50"/>
      <c r="I2141" s="50"/>
    </row>
    <row r="2142">
      <c r="F2142" s="50"/>
      <c r="G2142" s="50"/>
      <c r="H2142" s="50"/>
      <c r="I2142" s="50"/>
    </row>
    <row r="2143">
      <c r="F2143" s="50"/>
      <c r="G2143" s="50"/>
      <c r="H2143" s="50"/>
      <c r="I2143" s="50"/>
    </row>
    <row r="2144">
      <c r="F2144" s="50"/>
      <c r="G2144" s="50"/>
      <c r="H2144" s="50"/>
      <c r="I2144" s="50"/>
    </row>
    <row r="2145">
      <c r="F2145" s="50"/>
      <c r="G2145" s="50"/>
      <c r="H2145" s="50"/>
      <c r="I2145" s="50"/>
    </row>
    <row r="2146">
      <c r="F2146" s="50"/>
      <c r="G2146" s="50"/>
      <c r="H2146" s="50"/>
      <c r="I2146" s="50"/>
    </row>
    <row r="2147">
      <c r="F2147" s="50"/>
      <c r="G2147" s="50"/>
      <c r="H2147" s="50"/>
      <c r="I2147" s="50"/>
    </row>
    <row r="2148">
      <c r="F2148" s="50"/>
      <c r="G2148" s="50"/>
      <c r="H2148" s="50"/>
      <c r="I2148" s="50"/>
    </row>
    <row r="2149">
      <c r="F2149" s="50"/>
      <c r="G2149" s="50"/>
      <c r="H2149" s="50"/>
      <c r="I2149" s="50"/>
    </row>
    <row r="2150">
      <c r="F2150" s="50"/>
      <c r="G2150" s="50"/>
      <c r="H2150" s="50"/>
      <c r="I2150" s="50"/>
    </row>
    <row r="2151">
      <c r="F2151" s="50"/>
      <c r="G2151" s="50"/>
      <c r="H2151" s="50"/>
      <c r="I2151" s="50"/>
    </row>
    <row r="2152">
      <c r="F2152" s="50"/>
      <c r="G2152" s="50"/>
      <c r="H2152" s="50"/>
      <c r="I2152" s="50"/>
    </row>
    <row r="2153">
      <c r="F2153" s="50"/>
      <c r="G2153" s="50"/>
      <c r="H2153" s="50"/>
      <c r="I2153" s="50"/>
    </row>
    <row r="2154">
      <c r="F2154" s="50"/>
      <c r="G2154" s="50"/>
      <c r="H2154" s="50"/>
      <c r="I2154" s="50"/>
    </row>
    <row r="2155">
      <c r="F2155" s="50"/>
      <c r="G2155" s="50"/>
      <c r="H2155" s="50"/>
      <c r="I2155" s="50"/>
    </row>
    <row r="2156">
      <c r="F2156" s="50"/>
      <c r="G2156" s="50"/>
      <c r="H2156" s="50"/>
      <c r="I2156" s="50"/>
    </row>
    <row r="2157">
      <c r="F2157" s="50"/>
      <c r="G2157" s="50"/>
      <c r="H2157" s="50"/>
      <c r="I2157" s="50"/>
    </row>
    <row r="2158">
      <c r="F2158" s="50"/>
      <c r="G2158" s="50"/>
      <c r="H2158" s="50"/>
      <c r="I2158" s="50"/>
    </row>
    <row r="2159">
      <c r="F2159" s="50"/>
      <c r="G2159" s="50"/>
      <c r="H2159" s="50"/>
      <c r="I2159" s="50"/>
    </row>
    <row r="2160">
      <c r="F2160" s="50"/>
      <c r="G2160" s="50"/>
      <c r="H2160" s="50"/>
      <c r="I2160" s="50"/>
    </row>
    <row r="2161">
      <c r="F2161" s="50"/>
      <c r="G2161" s="50"/>
      <c r="H2161" s="50"/>
      <c r="I2161" s="50"/>
    </row>
    <row r="2162">
      <c r="F2162" s="50"/>
      <c r="G2162" s="50"/>
      <c r="H2162" s="50"/>
      <c r="I2162" s="50"/>
    </row>
    <row r="2163">
      <c r="F2163" s="50"/>
      <c r="G2163" s="50"/>
      <c r="H2163" s="50"/>
      <c r="I2163" s="50"/>
    </row>
    <row r="2164">
      <c r="F2164" s="50"/>
      <c r="G2164" s="50"/>
      <c r="H2164" s="50"/>
      <c r="I2164" s="50"/>
    </row>
    <row r="2165">
      <c r="F2165" s="50"/>
      <c r="G2165" s="50"/>
      <c r="H2165" s="50"/>
      <c r="I2165" s="50"/>
    </row>
    <row r="2166">
      <c r="F2166" s="50"/>
      <c r="G2166" s="50"/>
      <c r="H2166" s="50"/>
      <c r="I2166" s="50"/>
    </row>
    <row r="2167">
      <c r="F2167" s="50"/>
      <c r="G2167" s="50"/>
      <c r="H2167" s="50"/>
      <c r="I2167" s="50"/>
    </row>
    <row r="2168">
      <c r="F2168" s="50"/>
      <c r="G2168" s="50"/>
      <c r="H2168" s="50"/>
      <c r="I2168" s="50"/>
    </row>
    <row r="2169">
      <c r="F2169" s="50"/>
      <c r="G2169" s="50"/>
      <c r="H2169" s="50"/>
      <c r="I2169" s="50"/>
    </row>
    <row r="2170">
      <c r="F2170" s="50"/>
      <c r="G2170" s="50"/>
      <c r="H2170" s="50"/>
      <c r="I2170" s="50"/>
    </row>
    <row r="2171">
      <c r="F2171" s="50"/>
      <c r="G2171" s="50"/>
      <c r="H2171" s="50"/>
      <c r="I2171" s="50"/>
    </row>
    <row r="2172">
      <c r="F2172" s="50"/>
      <c r="G2172" s="50"/>
      <c r="H2172" s="50"/>
      <c r="I2172" s="50"/>
    </row>
    <row r="2173">
      <c r="F2173" s="50"/>
      <c r="G2173" s="50"/>
      <c r="H2173" s="50"/>
      <c r="I2173" s="50"/>
    </row>
    <row r="2174">
      <c r="F2174" s="50"/>
      <c r="G2174" s="50"/>
      <c r="H2174" s="50"/>
      <c r="I2174" s="50"/>
    </row>
    <row r="2175">
      <c r="F2175" s="50"/>
      <c r="G2175" s="50"/>
      <c r="H2175" s="50"/>
      <c r="I2175" s="50"/>
    </row>
    <row r="2176">
      <c r="F2176" s="50"/>
      <c r="G2176" s="50"/>
      <c r="H2176" s="50"/>
      <c r="I2176" s="50"/>
    </row>
    <row r="2177">
      <c r="F2177" s="50"/>
      <c r="G2177" s="50"/>
      <c r="H2177" s="50"/>
      <c r="I2177" s="50"/>
    </row>
    <row r="2178">
      <c r="F2178" s="50"/>
      <c r="G2178" s="50"/>
      <c r="H2178" s="50"/>
      <c r="I2178" s="50"/>
    </row>
    <row r="2179">
      <c r="F2179" s="50"/>
      <c r="G2179" s="50"/>
      <c r="H2179" s="50"/>
      <c r="I2179" s="50"/>
    </row>
    <row r="2180">
      <c r="F2180" s="50"/>
      <c r="G2180" s="50"/>
      <c r="H2180" s="50"/>
      <c r="I2180" s="50"/>
    </row>
    <row r="2181">
      <c r="F2181" s="50"/>
      <c r="G2181" s="50"/>
      <c r="H2181" s="50"/>
      <c r="I2181" s="50"/>
    </row>
    <row r="2182">
      <c r="F2182" s="50"/>
      <c r="G2182" s="50"/>
      <c r="H2182" s="50"/>
      <c r="I2182" s="50"/>
    </row>
    <row r="2183">
      <c r="F2183" s="50"/>
      <c r="G2183" s="50"/>
      <c r="H2183" s="50"/>
      <c r="I2183" s="50"/>
    </row>
    <row r="2184">
      <c r="F2184" s="50"/>
      <c r="G2184" s="50"/>
      <c r="H2184" s="50"/>
      <c r="I2184" s="50"/>
    </row>
    <row r="2185">
      <c r="F2185" s="50"/>
      <c r="G2185" s="50"/>
      <c r="H2185" s="50"/>
      <c r="I2185" s="50"/>
    </row>
    <row r="2186">
      <c r="F2186" s="50"/>
      <c r="G2186" s="50"/>
      <c r="H2186" s="50"/>
      <c r="I2186" s="50"/>
    </row>
    <row r="2187">
      <c r="F2187" s="50"/>
      <c r="G2187" s="50"/>
      <c r="H2187" s="50"/>
      <c r="I2187" s="50"/>
    </row>
    <row r="2188">
      <c r="F2188" s="50"/>
      <c r="G2188" s="50"/>
      <c r="H2188" s="50"/>
      <c r="I2188" s="50"/>
    </row>
    <row r="2189">
      <c r="F2189" s="50"/>
      <c r="G2189" s="50"/>
      <c r="H2189" s="50"/>
      <c r="I2189" s="50"/>
    </row>
    <row r="2190">
      <c r="F2190" s="50"/>
      <c r="G2190" s="50"/>
      <c r="H2190" s="50"/>
      <c r="I2190" s="50"/>
    </row>
    <row r="2191">
      <c r="F2191" s="50"/>
      <c r="G2191" s="50"/>
      <c r="H2191" s="50"/>
      <c r="I2191" s="50"/>
    </row>
    <row r="2192">
      <c r="F2192" s="50"/>
      <c r="G2192" s="50"/>
      <c r="H2192" s="50"/>
      <c r="I2192" s="50"/>
    </row>
    <row r="2193">
      <c r="F2193" s="50"/>
      <c r="G2193" s="50"/>
      <c r="H2193" s="50"/>
      <c r="I2193" s="50"/>
    </row>
    <row r="2194">
      <c r="F2194" s="50"/>
      <c r="G2194" s="50"/>
      <c r="H2194" s="50"/>
      <c r="I2194" s="50"/>
    </row>
    <row r="2195">
      <c r="F2195" s="50"/>
      <c r="G2195" s="50"/>
      <c r="H2195" s="50"/>
      <c r="I2195" s="50"/>
    </row>
    <row r="2196">
      <c r="F2196" s="50"/>
      <c r="G2196" s="50"/>
      <c r="H2196" s="50"/>
      <c r="I2196" s="50"/>
    </row>
    <row r="2197">
      <c r="F2197" s="50"/>
      <c r="G2197" s="50"/>
      <c r="H2197" s="50"/>
      <c r="I2197" s="50"/>
    </row>
    <row r="2198">
      <c r="F2198" s="50"/>
      <c r="G2198" s="50"/>
      <c r="H2198" s="50"/>
      <c r="I2198" s="50"/>
    </row>
    <row r="2199">
      <c r="F2199" s="50"/>
      <c r="G2199" s="50"/>
      <c r="H2199" s="50"/>
      <c r="I2199" s="50"/>
    </row>
    <row r="2200">
      <c r="F2200" s="50"/>
      <c r="G2200" s="50"/>
      <c r="H2200" s="50"/>
      <c r="I2200" s="50"/>
    </row>
    <row r="2201">
      <c r="F2201" s="50"/>
      <c r="G2201" s="50"/>
      <c r="H2201" s="50"/>
      <c r="I2201" s="50"/>
    </row>
    <row r="2202">
      <c r="F2202" s="50"/>
      <c r="G2202" s="50"/>
      <c r="H2202" s="50"/>
      <c r="I2202" s="50"/>
    </row>
    <row r="2203">
      <c r="F2203" s="50"/>
      <c r="G2203" s="50"/>
      <c r="H2203" s="50"/>
      <c r="I2203" s="50"/>
    </row>
    <row r="2204">
      <c r="F2204" s="50"/>
      <c r="G2204" s="50"/>
      <c r="H2204" s="50"/>
      <c r="I2204" s="50"/>
    </row>
    <row r="2205">
      <c r="F2205" s="50"/>
      <c r="G2205" s="50"/>
      <c r="H2205" s="50"/>
      <c r="I2205" s="50"/>
    </row>
    <row r="2206">
      <c r="F2206" s="50"/>
      <c r="G2206" s="50"/>
      <c r="H2206" s="50"/>
      <c r="I2206" s="50"/>
    </row>
    <row r="2207">
      <c r="F2207" s="50"/>
      <c r="G2207" s="50"/>
      <c r="H2207" s="50"/>
      <c r="I2207" s="50"/>
    </row>
    <row r="2208">
      <c r="F2208" s="50"/>
      <c r="G2208" s="50"/>
      <c r="H2208" s="50"/>
      <c r="I2208" s="50"/>
    </row>
    <row r="2209">
      <c r="F2209" s="50"/>
      <c r="G2209" s="50"/>
      <c r="H2209" s="50"/>
      <c r="I2209" s="50"/>
    </row>
    <row r="2210">
      <c r="F2210" s="50"/>
      <c r="G2210" s="50"/>
      <c r="H2210" s="50"/>
      <c r="I2210" s="50"/>
    </row>
    <row r="2211">
      <c r="F2211" s="50"/>
      <c r="G2211" s="50"/>
      <c r="H2211" s="50"/>
      <c r="I2211" s="50"/>
    </row>
    <row r="2212">
      <c r="F2212" s="50"/>
      <c r="G2212" s="50"/>
      <c r="H2212" s="50"/>
      <c r="I2212" s="50"/>
    </row>
    <row r="2213">
      <c r="F2213" s="50"/>
      <c r="G2213" s="50"/>
      <c r="H2213" s="50"/>
      <c r="I2213" s="50"/>
    </row>
    <row r="2214">
      <c r="F2214" s="50"/>
      <c r="G2214" s="50"/>
      <c r="H2214" s="50"/>
      <c r="I2214" s="50"/>
    </row>
    <row r="2215">
      <c r="F2215" s="50"/>
      <c r="G2215" s="50"/>
      <c r="H2215" s="50"/>
      <c r="I2215" s="50"/>
    </row>
    <row r="2216">
      <c r="F2216" s="50"/>
      <c r="G2216" s="50"/>
      <c r="H2216" s="50"/>
      <c r="I2216" s="50"/>
    </row>
    <row r="2217">
      <c r="F2217" s="50"/>
      <c r="G2217" s="50"/>
      <c r="H2217" s="50"/>
      <c r="I2217" s="50"/>
    </row>
    <row r="2218">
      <c r="F2218" s="50"/>
      <c r="G2218" s="50"/>
      <c r="H2218" s="50"/>
      <c r="I2218" s="50"/>
    </row>
    <row r="2219">
      <c r="F2219" s="50"/>
      <c r="G2219" s="50"/>
      <c r="H2219" s="50"/>
      <c r="I2219" s="50"/>
    </row>
    <row r="2220">
      <c r="F2220" s="50"/>
      <c r="G2220" s="50"/>
      <c r="H2220" s="50"/>
      <c r="I2220" s="50"/>
    </row>
    <row r="2221">
      <c r="F2221" s="50"/>
      <c r="G2221" s="50"/>
      <c r="H2221" s="50"/>
      <c r="I2221" s="50"/>
    </row>
    <row r="2222">
      <c r="F2222" s="50"/>
      <c r="G2222" s="50"/>
      <c r="H2222" s="50"/>
      <c r="I2222" s="50"/>
    </row>
    <row r="2223">
      <c r="F2223" s="50"/>
      <c r="G2223" s="50"/>
      <c r="H2223" s="50"/>
      <c r="I2223" s="50"/>
    </row>
    <row r="2224">
      <c r="F2224" s="50"/>
      <c r="G2224" s="50"/>
      <c r="H2224" s="50"/>
      <c r="I2224" s="50"/>
    </row>
    <row r="2225">
      <c r="F2225" s="50"/>
      <c r="G2225" s="50"/>
      <c r="H2225" s="50"/>
      <c r="I2225" s="50"/>
    </row>
    <row r="2226">
      <c r="F2226" s="50"/>
      <c r="G2226" s="50"/>
      <c r="H2226" s="50"/>
      <c r="I2226" s="50"/>
    </row>
    <row r="2227">
      <c r="F2227" s="50"/>
      <c r="G2227" s="50"/>
      <c r="H2227" s="50"/>
      <c r="I2227" s="50"/>
    </row>
    <row r="2228">
      <c r="F2228" s="50"/>
      <c r="G2228" s="50"/>
      <c r="H2228" s="50"/>
      <c r="I2228" s="50"/>
    </row>
    <row r="2229">
      <c r="F2229" s="50"/>
      <c r="G2229" s="50"/>
      <c r="H2229" s="50"/>
      <c r="I2229" s="50"/>
    </row>
    <row r="2230">
      <c r="F2230" s="50"/>
      <c r="G2230" s="50"/>
      <c r="H2230" s="50"/>
      <c r="I2230" s="50"/>
    </row>
    <row r="2231">
      <c r="F2231" s="50"/>
      <c r="G2231" s="50"/>
      <c r="H2231" s="50"/>
      <c r="I2231" s="50"/>
    </row>
    <row r="2232">
      <c r="F2232" s="50"/>
      <c r="G2232" s="50"/>
      <c r="H2232" s="50"/>
      <c r="I2232" s="50"/>
    </row>
    <row r="2233">
      <c r="F2233" s="50"/>
      <c r="G2233" s="50"/>
      <c r="H2233" s="50"/>
      <c r="I2233" s="50"/>
    </row>
    <row r="2234">
      <c r="F2234" s="50"/>
      <c r="G2234" s="50"/>
      <c r="H2234" s="50"/>
      <c r="I2234" s="50"/>
    </row>
    <row r="2235">
      <c r="F2235" s="50"/>
      <c r="G2235" s="50"/>
      <c r="H2235" s="50"/>
      <c r="I2235" s="50"/>
    </row>
    <row r="2236">
      <c r="F2236" s="50"/>
      <c r="G2236" s="50"/>
      <c r="H2236" s="50"/>
      <c r="I2236" s="50"/>
    </row>
    <row r="2237">
      <c r="F2237" s="50"/>
      <c r="G2237" s="50"/>
      <c r="H2237" s="50"/>
      <c r="I2237" s="50"/>
    </row>
    <row r="2238">
      <c r="F2238" s="50"/>
      <c r="G2238" s="50"/>
      <c r="H2238" s="50"/>
      <c r="I2238" s="50"/>
    </row>
    <row r="2239">
      <c r="F2239" s="50"/>
      <c r="G2239" s="50"/>
      <c r="H2239" s="50"/>
      <c r="I2239" s="50"/>
    </row>
    <row r="2240">
      <c r="F2240" s="50"/>
      <c r="G2240" s="50"/>
      <c r="H2240" s="50"/>
      <c r="I2240" s="50"/>
    </row>
    <row r="2241">
      <c r="F2241" s="50"/>
      <c r="G2241" s="50"/>
      <c r="H2241" s="50"/>
      <c r="I2241" s="50"/>
    </row>
    <row r="2242">
      <c r="F2242" s="50"/>
      <c r="G2242" s="50"/>
      <c r="H2242" s="50"/>
      <c r="I2242" s="50"/>
    </row>
    <row r="2243">
      <c r="F2243" s="50"/>
      <c r="G2243" s="50"/>
      <c r="H2243" s="50"/>
      <c r="I2243" s="50"/>
    </row>
    <row r="2244">
      <c r="F2244" s="50"/>
      <c r="G2244" s="50"/>
      <c r="H2244" s="50"/>
      <c r="I2244" s="50"/>
    </row>
    <row r="2245">
      <c r="F2245" s="50"/>
      <c r="G2245" s="50"/>
      <c r="H2245" s="50"/>
      <c r="I2245" s="50"/>
    </row>
    <row r="2246">
      <c r="F2246" s="50"/>
      <c r="G2246" s="50"/>
      <c r="H2246" s="50"/>
      <c r="I2246" s="50"/>
    </row>
    <row r="2247">
      <c r="F2247" s="50"/>
      <c r="G2247" s="50"/>
      <c r="H2247" s="50"/>
      <c r="I2247" s="50"/>
    </row>
    <row r="2248">
      <c r="F2248" s="50"/>
      <c r="G2248" s="50"/>
      <c r="H2248" s="50"/>
      <c r="I2248" s="50"/>
    </row>
    <row r="2249">
      <c r="F2249" s="50"/>
      <c r="G2249" s="50"/>
      <c r="H2249" s="50"/>
      <c r="I2249" s="50"/>
    </row>
    <row r="2250">
      <c r="F2250" s="50"/>
      <c r="G2250" s="50"/>
      <c r="H2250" s="50"/>
      <c r="I2250" s="50"/>
    </row>
    <row r="2251">
      <c r="F2251" s="50"/>
      <c r="G2251" s="50"/>
      <c r="H2251" s="50"/>
      <c r="I2251" s="50"/>
    </row>
    <row r="2252">
      <c r="F2252" s="50"/>
      <c r="G2252" s="50"/>
      <c r="H2252" s="50"/>
      <c r="I2252" s="50"/>
    </row>
    <row r="2253">
      <c r="F2253" s="50"/>
      <c r="G2253" s="50"/>
      <c r="H2253" s="50"/>
      <c r="I2253" s="50"/>
    </row>
    <row r="2254">
      <c r="F2254" s="50"/>
      <c r="G2254" s="50"/>
      <c r="H2254" s="50"/>
      <c r="I2254" s="50"/>
    </row>
    <row r="2255">
      <c r="F2255" s="50"/>
      <c r="G2255" s="50"/>
      <c r="H2255" s="50"/>
      <c r="I2255" s="50"/>
    </row>
    <row r="2256">
      <c r="F2256" s="50"/>
      <c r="G2256" s="50"/>
      <c r="H2256" s="50"/>
      <c r="I2256" s="50"/>
    </row>
    <row r="2257">
      <c r="F2257" s="50"/>
      <c r="G2257" s="50"/>
      <c r="H2257" s="50"/>
      <c r="I2257" s="50"/>
    </row>
    <row r="2258">
      <c r="F2258" s="50"/>
      <c r="G2258" s="50"/>
      <c r="H2258" s="50"/>
      <c r="I2258" s="50"/>
    </row>
    <row r="2259">
      <c r="F2259" s="50"/>
      <c r="G2259" s="50"/>
      <c r="H2259" s="50"/>
      <c r="I2259" s="50"/>
    </row>
    <row r="2260">
      <c r="F2260" s="50"/>
      <c r="G2260" s="50"/>
      <c r="H2260" s="50"/>
      <c r="I2260" s="50"/>
    </row>
    <row r="2261">
      <c r="F2261" s="50"/>
      <c r="G2261" s="50"/>
      <c r="H2261" s="50"/>
      <c r="I2261" s="50"/>
    </row>
    <row r="2262">
      <c r="F2262" s="50"/>
      <c r="G2262" s="50"/>
      <c r="H2262" s="50"/>
      <c r="I2262" s="50"/>
    </row>
    <row r="2263">
      <c r="F2263" s="50"/>
      <c r="G2263" s="50"/>
      <c r="H2263" s="50"/>
      <c r="I2263" s="50"/>
    </row>
    <row r="2264">
      <c r="F2264" s="50"/>
      <c r="G2264" s="50"/>
      <c r="H2264" s="50"/>
      <c r="I2264" s="50"/>
    </row>
    <row r="2265">
      <c r="F2265" s="50"/>
      <c r="G2265" s="50"/>
      <c r="H2265" s="50"/>
      <c r="I2265" s="50"/>
    </row>
    <row r="2266">
      <c r="F2266" s="50"/>
      <c r="G2266" s="50"/>
      <c r="H2266" s="50"/>
      <c r="I2266" s="50"/>
    </row>
    <row r="2267">
      <c r="F2267" s="50"/>
      <c r="G2267" s="50"/>
      <c r="H2267" s="50"/>
      <c r="I2267" s="50"/>
    </row>
    <row r="2268">
      <c r="F2268" s="50"/>
      <c r="G2268" s="50"/>
      <c r="H2268" s="50"/>
      <c r="I2268" s="50"/>
    </row>
    <row r="2269">
      <c r="F2269" s="50"/>
      <c r="G2269" s="50"/>
      <c r="H2269" s="50"/>
      <c r="I2269" s="50"/>
    </row>
    <row r="2270">
      <c r="F2270" s="50"/>
      <c r="G2270" s="50"/>
      <c r="H2270" s="50"/>
      <c r="I2270" s="50"/>
    </row>
    <row r="2271">
      <c r="F2271" s="50"/>
      <c r="G2271" s="50"/>
      <c r="H2271" s="50"/>
      <c r="I2271" s="50"/>
    </row>
    <row r="2272">
      <c r="F2272" s="50"/>
      <c r="G2272" s="50"/>
      <c r="H2272" s="50"/>
      <c r="I2272" s="50"/>
    </row>
    <row r="2273">
      <c r="F2273" s="50"/>
      <c r="G2273" s="50"/>
      <c r="H2273" s="50"/>
      <c r="I2273" s="50"/>
    </row>
    <row r="2274">
      <c r="F2274" s="50"/>
      <c r="G2274" s="50"/>
      <c r="H2274" s="50"/>
      <c r="I2274" s="50"/>
    </row>
    <row r="2275">
      <c r="F2275" s="50"/>
      <c r="G2275" s="50"/>
      <c r="H2275" s="50"/>
      <c r="I2275" s="50"/>
    </row>
    <row r="2276">
      <c r="F2276" s="50"/>
      <c r="G2276" s="50"/>
      <c r="H2276" s="50"/>
      <c r="I2276" s="50"/>
    </row>
    <row r="2277">
      <c r="F2277" s="50"/>
      <c r="G2277" s="50"/>
      <c r="H2277" s="50"/>
      <c r="I2277" s="50"/>
    </row>
    <row r="2278">
      <c r="F2278" s="50"/>
      <c r="G2278" s="50"/>
      <c r="H2278" s="50"/>
      <c r="I2278" s="50"/>
    </row>
    <row r="2279">
      <c r="F2279" s="50"/>
      <c r="G2279" s="50"/>
      <c r="H2279" s="50"/>
      <c r="I2279" s="50"/>
    </row>
    <row r="2280">
      <c r="F2280" s="50"/>
      <c r="G2280" s="50"/>
      <c r="H2280" s="50"/>
      <c r="I2280" s="50"/>
    </row>
    <row r="2281">
      <c r="F2281" s="50"/>
      <c r="G2281" s="50"/>
      <c r="H2281" s="50"/>
      <c r="I2281" s="50"/>
    </row>
    <row r="2282">
      <c r="F2282" s="50"/>
      <c r="G2282" s="50"/>
      <c r="H2282" s="50"/>
      <c r="I2282" s="50"/>
    </row>
    <row r="2283">
      <c r="F2283" s="50"/>
      <c r="G2283" s="50"/>
      <c r="H2283" s="50"/>
      <c r="I2283" s="50"/>
    </row>
    <row r="2284">
      <c r="F2284" s="50"/>
      <c r="G2284" s="50"/>
      <c r="H2284" s="50"/>
      <c r="I2284" s="50"/>
    </row>
    <row r="2285">
      <c r="F2285" s="50"/>
      <c r="G2285" s="50"/>
      <c r="H2285" s="50"/>
      <c r="I2285" s="50"/>
    </row>
    <row r="2286">
      <c r="F2286" s="50"/>
      <c r="G2286" s="50"/>
      <c r="H2286" s="50"/>
      <c r="I2286" s="50"/>
    </row>
    <row r="2287">
      <c r="F2287" s="50"/>
      <c r="G2287" s="50"/>
      <c r="H2287" s="50"/>
      <c r="I2287" s="50"/>
    </row>
    <row r="2288">
      <c r="F2288" s="50"/>
      <c r="G2288" s="50"/>
      <c r="H2288" s="50"/>
      <c r="I2288" s="50"/>
    </row>
    <row r="2289">
      <c r="F2289" s="50"/>
      <c r="G2289" s="50"/>
      <c r="H2289" s="50"/>
      <c r="I2289" s="50"/>
    </row>
    <row r="2290">
      <c r="F2290" s="50"/>
      <c r="G2290" s="50"/>
      <c r="H2290" s="50"/>
      <c r="I2290" s="50"/>
    </row>
    <row r="2291">
      <c r="F2291" s="50"/>
      <c r="G2291" s="50"/>
      <c r="H2291" s="50"/>
      <c r="I2291" s="50"/>
    </row>
    <row r="2292">
      <c r="F2292" s="50"/>
      <c r="G2292" s="50"/>
      <c r="H2292" s="50"/>
      <c r="I2292" s="50"/>
    </row>
    <row r="2293">
      <c r="F2293" s="50"/>
      <c r="G2293" s="50"/>
      <c r="H2293" s="50"/>
      <c r="I2293" s="50"/>
    </row>
    <row r="2294">
      <c r="F2294" s="50"/>
      <c r="G2294" s="50"/>
      <c r="H2294" s="50"/>
      <c r="I2294" s="50"/>
    </row>
    <row r="2295">
      <c r="F2295" s="50"/>
      <c r="G2295" s="50"/>
      <c r="H2295" s="50"/>
      <c r="I2295" s="50"/>
    </row>
    <row r="2296">
      <c r="F2296" s="50"/>
      <c r="G2296" s="50"/>
      <c r="H2296" s="50"/>
      <c r="I2296" s="50"/>
    </row>
    <row r="2297">
      <c r="F2297" s="50"/>
      <c r="G2297" s="50"/>
      <c r="H2297" s="50"/>
      <c r="I2297" s="50"/>
    </row>
    <row r="2298">
      <c r="F2298" s="50"/>
      <c r="G2298" s="50"/>
      <c r="H2298" s="50"/>
      <c r="I2298" s="50"/>
    </row>
    <row r="2299">
      <c r="F2299" s="50"/>
      <c r="G2299" s="50"/>
      <c r="H2299" s="50"/>
      <c r="I2299" s="50"/>
    </row>
    <row r="2300">
      <c r="F2300" s="50"/>
      <c r="G2300" s="50"/>
      <c r="H2300" s="50"/>
      <c r="I2300" s="50"/>
    </row>
    <row r="2301">
      <c r="F2301" s="50"/>
      <c r="G2301" s="50"/>
      <c r="H2301" s="50"/>
      <c r="I2301" s="50"/>
    </row>
    <row r="2302">
      <c r="F2302" s="50"/>
      <c r="G2302" s="50"/>
      <c r="H2302" s="50"/>
      <c r="I2302" s="50"/>
    </row>
    <row r="2303">
      <c r="F2303" s="50"/>
      <c r="G2303" s="50"/>
      <c r="H2303" s="50"/>
      <c r="I2303" s="50"/>
    </row>
    <row r="2304">
      <c r="F2304" s="50"/>
      <c r="G2304" s="50"/>
      <c r="H2304" s="50"/>
      <c r="I2304" s="50"/>
    </row>
    <row r="2305">
      <c r="F2305" s="50"/>
      <c r="G2305" s="50"/>
      <c r="H2305" s="50"/>
      <c r="I2305" s="50"/>
    </row>
    <row r="2306">
      <c r="F2306" s="50"/>
      <c r="G2306" s="50"/>
      <c r="H2306" s="50"/>
      <c r="I2306" s="50"/>
    </row>
    <row r="2307">
      <c r="F2307" s="50"/>
      <c r="G2307" s="50"/>
      <c r="H2307" s="50"/>
      <c r="I2307" s="50"/>
    </row>
    <row r="2308">
      <c r="F2308" s="50"/>
      <c r="G2308" s="50"/>
      <c r="H2308" s="50"/>
      <c r="I2308" s="50"/>
    </row>
    <row r="2309">
      <c r="F2309" s="50"/>
      <c r="G2309" s="50"/>
      <c r="H2309" s="50"/>
      <c r="I2309" s="50"/>
    </row>
    <row r="2310">
      <c r="F2310" s="50"/>
      <c r="G2310" s="50"/>
      <c r="H2310" s="50"/>
      <c r="I2310" s="50"/>
    </row>
    <row r="2311">
      <c r="F2311" s="50"/>
      <c r="G2311" s="50"/>
      <c r="H2311" s="50"/>
      <c r="I2311" s="50"/>
    </row>
    <row r="2312">
      <c r="F2312" s="50"/>
      <c r="G2312" s="50"/>
      <c r="H2312" s="50"/>
      <c r="I2312" s="50"/>
    </row>
    <row r="2313">
      <c r="F2313" s="50"/>
      <c r="G2313" s="50"/>
      <c r="H2313" s="50"/>
      <c r="I2313" s="50"/>
    </row>
    <row r="2314">
      <c r="F2314" s="50"/>
      <c r="G2314" s="50"/>
      <c r="H2314" s="50"/>
      <c r="I2314" s="50"/>
    </row>
    <row r="2315">
      <c r="F2315" s="50"/>
      <c r="G2315" s="50"/>
      <c r="H2315" s="50"/>
      <c r="I2315" s="50"/>
    </row>
    <row r="2316">
      <c r="F2316" s="50"/>
      <c r="G2316" s="50"/>
      <c r="H2316" s="50"/>
      <c r="I2316" s="50"/>
    </row>
    <row r="2317">
      <c r="F2317" s="50"/>
      <c r="G2317" s="50"/>
      <c r="H2317" s="50"/>
      <c r="I2317" s="50"/>
    </row>
    <row r="2318">
      <c r="F2318" s="50"/>
      <c r="G2318" s="50"/>
      <c r="H2318" s="50"/>
      <c r="I2318" s="50"/>
    </row>
    <row r="2319">
      <c r="F2319" s="50"/>
      <c r="G2319" s="50"/>
      <c r="H2319" s="50"/>
      <c r="I2319" s="50"/>
    </row>
    <row r="2320">
      <c r="F2320" s="50"/>
      <c r="G2320" s="50"/>
      <c r="H2320" s="50"/>
      <c r="I2320" s="50"/>
    </row>
    <row r="2321">
      <c r="F2321" s="50"/>
      <c r="G2321" s="50"/>
      <c r="H2321" s="50"/>
      <c r="I2321" s="50"/>
    </row>
    <row r="2322">
      <c r="F2322" s="50"/>
      <c r="G2322" s="50"/>
      <c r="H2322" s="50"/>
      <c r="I2322" s="50"/>
    </row>
    <row r="2323">
      <c r="F2323" s="50"/>
      <c r="G2323" s="50"/>
      <c r="H2323" s="50"/>
      <c r="I2323" s="50"/>
    </row>
    <row r="2324">
      <c r="F2324" s="50"/>
      <c r="G2324" s="50"/>
      <c r="H2324" s="50"/>
      <c r="I2324" s="50"/>
    </row>
    <row r="2325">
      <c r="F2325" s="50"/>
      <c r="G2325" s="50"/>
      <c r="H2325" s="50"/>
      <c r="I2325" s="50"/>
    </row>
    <row r="2326">
      <c r="F2326" s="50"/>
      <c r="G2326" s="50"/>
      <c r="H2326" s="50"/>
      <c r="I2326" s="50"/>
    </row>
    <row r="2327">
      <c r="F2327" s="50"/>
      <c r="G2327" s="50"/>
      <c r="H2327" s="50"/>
      <c r="I2327" s="50"/>
    </row>
    <row r="2328">
      <c r="F2328" s="50"/>
      <c r="G2328" s="50"/>
      <c r="H2328" s="50"/>
      <c r="I2328" s="50"/>
    </row>
    <row r="2329">
      <c r="F2329" s="50"/>
      <c r="G2329" s="50"/>
      <c r="H2329" s="50"/>
      <c r="I2329" s="50"/>
    </row>
    <row r="2330">
      <c r="F2330" s="50"/>
      <c r="G2330" s="50"/>
      <c r="H2330" s="50"/>
      <c r="I2330" s="50"/>
    </row>
    <row r="2331">
      <c r="F2331" s="50"/>
      <c r="G2331" s="50"/>
      <c r="H2331" s="50"/>
      <c r="I2331" s="50"/>
    </row>
    <row r="2332">
      <c r="F2332" s="50"/>
      <c r="G2332" s="50"/>
      <c r="H2332" s="50"/>
      <c r="I2332" s="50"/>
    </row>
    <row r="2333">
      <c r="F2333" s="50"/>
      <c r="G2333" s="50"/>
      <c r="H2333" s="50"/>
      <c r="I2333" s="50"/>
    </row>
    <row r="2334">
      <c r="F2334" s="50"/>
      <c r="G2334" s="50"/>
      <c r="H2334" s="50"/>
      <c r="I2334" s="50"/>
    </row>
    <row r="2335">
      <c r="F2335" s="50"/>
      <c r="G2335" s="50"/>
      <c r="H2335" s="50"/>
      <c r="I2335" s="50"/>
    </row>
    <row r="2336">
      <c r="F2336" s="50"/>
      <c r="G2336" s="50"/>
      <c r="H2336" s="50"/>
      <c r="I2336" s="50"/>
    </row>
    <row r="2337">
      <c r="F2337" s="50"/>
      <c r="G2337" s="50"/>
      <c r="H2337" s="50"/>
      <c r="I2337" s="50"/>
    </row>
    <row r="2338">
      <c r="F2338" s="50"/>
      <c r="G2338" s="50"/>
      <c r="H2338" s="50"/>
      <c r="I2338" s="50"/>
    </row>
    <row r="2339">
      <c r="F2339" s="50"/>
      <c r="G2339" s="50"/>
      <c r="H2339" s="50"/>
      <c r="I2339" s="50"/>
    </row>
    <row r="2340">
      <c r="F2340" s="50"/>
      <c r="G2340" s="50"/>
      <c r="H2340" s="50"/>
      <c r="I2340" s="50"/>
    </row>
    <row r="2341">
      <c r="F2341" s="50"/>
      <c r="G2341" s="50"/>
      <c r="H2341" s="50"/>
      <c r="I2341" s="50"/>
    </row>
    <row r="2342">
      <c r="F2342" s="50"/>
      <c r="G2342" s="50"/>
      <c r="H2342" s="50"/>
      <c r="I2342" s="50"/>
    </row>
    <row r="2343">
      <c r="F2343" s="50"/>
      <c r="G2343" s="50"/>
      <c r="H2343" s="50"/>
      <c r="I2343" s="50"/>
    </row>
    <row r="2344">
      <c r="F2344" s="50"/>
      <c r="G2344" s="50"/>
      <c r="H2344" s="50"/>
      <c r="I2344" s="50"/>
    </row>
    <row r="2345">
      <c r="F2345" s="50"/>
      <c r="G2345" s="50"/>
      <c r="H2345" s="50"/>
      <c r="I2345" s="50"/>
    </row>
    <row r="2346">
      <c r="F2346" s="50"/>
      <c r="G2346" s="50"/>
      <c r="H2346" s="50"/>
      <c r="I2346" s="50"/>
    </row>
    <row r="2347">
      <c r="F2347" s="50"/>
      <c r="G2347" s="50"/>
      <c r="H2347" s="50"/>
      <c r="I2347" s="50"/>
    </row>
    <row r="2348">
      <c r="F2348" s="50"/>
      <c r="G2348" s="50"/>
      <c r="H2348" s="50"/>
      <c r="I2348" s="50"/>
    </row>
    <row r="2349">
      <c r="F2349" s="50"/>
      <c r="G2349" s="50"/>
      <c r="H2349" s="50"/>
      <c r="I2349" s="50"/>
    </row>
    <row r="2350">
      <c r="F2350" s="50"/>
      <c r="G2350" s="50"/>
      <c r="H2350" s="50"/>
      <c r="I2350" s="50"/>
    </row>
    <row r="2351">
      <c r="F2351" s="50"/>
      <c r="G2351" s="50"/>
      <c r="H2351" s="50"/>
      <c r="I2351" s="50"/>
    </row>
    <row r="2352">
      <c r="F2352" s="50"/>
      <c r="G2352" s="50"/>
      <c r="H2352" s="50"/>
      <c r="I2352" s="50"/>
    </row>
    <row r="2353">
      <c r="F2353" s="50"/>
      <c r="G2353" s="50"/>
      <c r="H2353" s="50"/>
      <c r="I2353" s="50"/>
    </row>
    <row r="2354">
      <c r="F2354" s="50"/>
      <c r="G2354" s="50"/>
      <c r="H2354" s="50"/>
      <c r="I2354" s="50"/>
    </row>
    <row r="2355">
      <c r="F2355" s="50"/>
      <c r="G2355" s="50"/>
      <c r="H2355" s="50"/>
      <c r="I2355" s="50"/>
    </row>
    <row r="2356">
      <c r="F2356" s="50"/>
      <c r="G2356" s="50"/>
      <c r="H2356" s="50"/>
      <c r="I2356" s="50"/>
    </row>
    <row r="2357">
      <c r="F2357" s="50"/>
      <c r="G2357" s="50"/>
      <c r="H2357" s="50"/>
      <c r="I2357" s="50"/>
    </row>
    <row r="2358">
      <c r="F2358" s="50"/>
      <c r="G2358" s="50"/>
      <c r="H2358" s="50"/>
      <c r="I2358" s="50"/>
    </row>
    <row r="2359">
      <c r="F2359" s="50"/>
      <c r="G2359" s="50"/>
      <c r="H2359" s="50"/>
      <c r="I2359" s="50"/>
    </row>
    <row r="2360">
      <c r="F2360" s="50"/>
      <c r="G2360" s="50"/>
      <c r="H2360" s="50"/>
      <c r="I2360" s="50"/>
    </row>
    <row r="2361">
      <c r="F2361" s="50"/>
      <c r="G2361" s="50"/>
      <c r="H2361" s="50"/>
      <c r="I2361" s="50"/>
    </row>
    <row r="2362">
      <c r="F2362" s="50"/>
      <c r="G2362" s="50"/>
      <c r="H2362" s="50"/>
      <c r="I2362" s="50"/>
    </row>
    <row r="2363">
      <c r="F2363" s="50"/>
      <c r="G2363" s="50"/>
      <c r="H2363" s="50"/>
      <c r="I2363" s="50"/>
    </row>
    <row r="2364">
      <c r="F2364" s="50"/>
      <c r="G2364" s="50"/>
      <c r="H2364" s="50"/>
      <c r="I2364" s="50"/>
    </row>
    <row r="2365">
      <c r="F2365" s="50"/>
      <c r="G2365" s="50"/>
      <c r="H2365" s="50"/>
      <c r="I2365" s="50"/>
    </row>
    <row r="2366">
      <c r="F2366" s="50"/>
      <c r="G2366" s="50"/>
      <c r="H2366" s="50"/>
      <c r="I2366" s="50"/>
    </row>
    <row r="2367">
      <c r="F2367" s="50"/>
      <c r="G2367" s="50"/>
      <c r="H2367" s="50"/>
      <c r="I2367" s="50"/>
    </row>
    <row r="2368">
      <c r="F2368" s="50"/>
      <c r="G2368" s="50"/>
      <c r="H2368" s="50"/>
      <c r="I2368" s="50"/>
    </row>
    <row r="2369">
      <c r="F2369" s="50"/>
      <c r="G2369" s="50"/>
      <c r="H2369" s="50"/>
      <c r="I2369" s="50"/>
    </row>
    <row r="2370">
      <c r="F2370" s="50"/>
      <c r="G2370" s="50"/>
      <c r="H2370" s="50"/>
      <c r="I2370" s="50"/>
    </row>
    <row r="2371">
      <c r="F2371" s="50"/>
      <c r="G2371" s="50"/>
      <c r="H2371" s="50"/>
      <c r="I2371" s="50"/>
    </row>
    <row r="2372">
      <c r="F2372" s="50"/>
      <c r="G2372" s="50"/>
      <c r="H2372" s="50"/>
      <c r="I2372" s="50"/>
    </row>
    <row r="2373">
      <c r="F2373" s="50"/>
      <c r="G2373" s="50"/>
      <c r="H2373" s="50"/>
      <c r="I2373" s="50"/>
    </row>
    <row r="2374">
      <c r="F2374" s="50"/>
      <c r="G2374" s="50"/>
      <c r="H2374" s="50"/>
      <c r="I2374" s="50"/>
    </row>
    <row r="2375">
      <c r="F2375" s="50"/>
      <c r="G2375" s="50"/>
      <c r="H2375" s="50"/>
      <c r="I2375" s="50"/>
    </row>
    <row r="2376">
      <c r="F2376" s="50"/>
      <c r="G2376" s="50"/>
      <c r="H2376" s="50"/>
      <c r="I2376" s="50"/>
    </row>
    <row r="2377">
      <c r="F2377" s="50"/>
      <c r="G2377" s="50"/>
      <c r="H2377" s="50"/>
      <c r="I2377" s="50"/>
    </row>
    <row r="2378">
      <c r="F2378" s="50"/>
      <c r="G2378" s="50"/>
      <c r="H2378" s="50"/>
      <c r="I2378" s="50"/>
    </row>
    <row r="2379">
      <c r="F2379" s="50"/>
      <c r="G2379" s="50"/>
      <c r="H2379" s="50"/>
      <c r="I2379" s="50"/>
    </row>
    <row r="2380">
      <c r="F2380" s="50"/>
      <c r="G2380" s="50"/>
      <c r="H2380" s="50"/>
      <c r="I2380" s="50"/>
    </row>
    <row r="2381">
      <c r="F2381" s="50"/>
      <c r="G2381" s="50"/>
      <c r="H2381" s="50"/>
      <c r="I2381" s="50"/>
    </row>
    <row r="2382">
      <c r="F2382" s="50"/>
      <c r="G2382" s="50"/>
      <c r="H2382" s="50"/>
      <c r="I2382" s="50"/>
    </row>
    <row r="2383">
      <c r="F2383" s="50"/>
      <c r="G2383" s="50"/>
      <c r="H2383" s="50"/>
      <c r="I2383" s="50"/>
    </row>
    <row r="2384">
      <c r="F2384" s="50"/>
      <c r="G2384" s="50"/>
      <c r="H2384" s="50"/>
      <c r="I2384" s="50"/>
    </row>
    <row r="2385">
      <c r="F2385" s="50"/>
      <c r="G2385" s="50"/>
      <c r="H2385" s="50"/>
      <c r="I2385" s="50"/>
    </row>
    <row r="2386">
      <c r="F2386" s="50"/>
      <c r="G2386" s="50"/>
      <c r="H2386" s="50"/>
      <c r="I2386" s="50"/>
    </row>
    <row r="2387">
      <c r="F2387" s="50"/>
      <c r="G2387" s="50"/>
      <c r="H2387" s="50"/>
      <c r="I2387" s="50"/>
    </row>
    <row r="2388">
      <c r="F2388" s="50"/>
      <c r="G2388" s="50"/>
      <c r="H2388" s="50"/>
      <c r="I2388" s="50"/>
    </row>
    <row r="2389">
      <c r="F2389" s="50"/>
      <c r="G2389" s="50"/>
      <c r="H2389" s="50"/>
      <c r="I2389" s="50"/>
    </row>
    <row r="2390">
      <c r="F2390" s="50"/>
      <c r="G2390" s="50"/>
      <c r="H2390" s="50"/>
      <c r="I2390" s="50"/>
    </row>
    <row r="2391">
      <c r="F2391" s="50"/>
      <c r="G2391" s="50"/>
      <c r="H2391" s="50"/>
      <c r="I2391" s="50"/>
    </row>
    <row r="2392">
      <c r="F2392" s="50"/>
      <c r="G2392" s="50"/>
      <c r="H2392" s="50"/>
      <c r="I2392" s="50"/>
    </row>
    <row r="2393">
      <c r="F2393" s="50"/>
      <c r="G2393" s="50"/>
      <c r="H2393" s="50"/>
      <c r="I2393" s="50"/>
    </row>
    <row r="2394">
      <c r="F2394" s="50"/>
      <c r="G2394" s="50"/>
      <c r="H2394" s="50"/>
      <c r="I2394" s="50"/>
    </row>
    <row r="2395">
      <c r="F2395" s="50"/>
      <c r="G2395" s="50"/>
      <c r="H2395" s="50"/>
      <c r="I2395" s="50"/>
    </row>
    <row r="2396">
      <c r="F2396" s="50"/>
      <c r="G2396" s="50"/>
      <c r="H2396" s="50"/>
      <c r="I2396" s="50"/>
    </row>
    <row r="2397">
      <c r="F2397" s="50"/>
      <c r="G2397" s="50"/>
      <c r="H2397" s="50"/>
      <c r="I2397" s="50"/>
    </row>
    <row r="2398">
      <c r="F2398" s="50"/>
      <c r="G2398" s="50"/>
      <c r="H2398" s="50"/>
      <c r="I2398" s="50"/>
    </row>
    <row r="2399">
      <c r="F2399" s="50"/>
      <c r="G2399" s="50"/>
      <c r="H2399" s="50"/>
      <c r="I2399" s="50"/>
    </row>
    <row r="2400">
      <c r="F2400" s="50"/>
      <c r="G2400" s="50"/>
      <c r="H2400" s="50"/>
      <c r="I2400" s="50"/>
    </row>
    <row r="2401">
      <c r="F2401" s="50"/>
      <c r="G2401" s="50"/>
      <c r="H2401" s="50"/>
      <c r="I2401" s="50"/>
    </row>
    <row r="2402">
      <c r="F2402" s="50"/>
      <c r="G2402" s="50"/>
      <c r="H2402" s="50"/>
      <c r="I2402" s="50"/>
    </row>
    <row r="2403">
      <c r="F2403" s="50"/>
      <c r="G2403" s="50"/>
      <c r="H2403" s="50"/>
      <c r="I2403" s="50"/>
    </row>
    <row r="2404">
      <c r="F2404" s="50"/>
      <c r="G2404" s="50"/>
      <c r="H2404" s="50"/>
      <c r="I2404" s="50"/>
    </row>
    <row r="2405">
      <c r="F2405" s="50"/>
      <c r="G2405" s="50"/>
      <c r="H2405" s="50"/>
      <c r="I2405" s="50"/>
    </row>
    <row r="2406">
      <c r="F2406" s="50"/>
      <c r="G2406" s="50"/>
      <c r="H2406" s="50"/>
      <c r="I2406" s="50"/>
    </row>
    <row r="2407">
      <c r="F2407" s="50"/>
      <c r="G2407" s="50"/>
      <c r="H2407" s="50"/>
      <c r="I2407" s="50"/>
    </row>
    <row r="2408">
      <c r="F2408" s="50"/>
      <c r="G2408" s="50"/>
      <c r="H2408" s="50"/>
      <c r="I2408" s="50"/>
    </row>
    <row r="2409">
      <c r="F2409" s="50"/>
      <c r="G2409" s="50"/>
      <c r="H2409" s="50"/>
      <c r="I2409" s="50"/>
    </row>
    <row r="2410">
      <c r="F2410" s="50"/>
      <c r="G2410" s="50"/>
      <c r="H2410" s="50"/>
      <c r="I2410" s="50"/>
    </row>
    <row r="2411">
      <c r="F2411" s="50"/>
      <c r="G2411" s="50"/>
      <c r="H2411" s="50"/>
      <c r="I2411" s="50"/>
    </row>
    <row r="2412">
      <c r="F2412" s="50"/>
      <c r="G2412" s="50"/>
      <c r="H2412" s="50"/>
      <c r="I2412" s="50"/>
    </row>
    <row r="2413">
      <c r="F2413" s="50"/>
      <c r="G2413" s="50"/>
      <c r="H2413" s="50"/>
      <c r="I2413" s="50"/>
    </row>
    <row r="2414">
      <c r="F2414" s="50"/>
      <c r="G2414" s="50"/>
      <c r="H2414" s="50"/>
      <c r="I2414" s="50"/>
    </row>
    <row r="2415">
      <c r="F2415" s="50"/>
      <c r="G2415" s="50"/>
      <c r="H2415" s="50"/>
      <c r="I2415" s="50"/>
    </row>
    <row r="2416">
      <c r="F2416" s="50"/>
      <c r="G2416" s="50"/>
      <c r="H2416" s="50"/>
      <c r="I2416" s="50"/>
    </row>
    <row r="2417">
      <c r="F2417" s="50"/>
      <c r="G2417" s="50"/>
      <c r="H2417" s="50"/>
      <c r="I2417" s="50"/>
    </row>
    <row r="2418">
      <c r="F2418" s="50"/>
      <c r="G2418" s="50"/>
      <c r="H2418" s="50"/>
      <c r="I2418" s="50"/>
    </row>
    <row r="2419">
      <c r="F2419" s="50"/>
      <c r="G2419" s="50"/>
      <c r="H2419" s="50"/>
      <c r="I2419" s="50"/>
    </row>
    <row r="2420">
      <c r="F2420" s="50"/>
      <c r="G2420" s="50"/>
      <c r="H2420" s="50"/>
      <c r="I2420" s="50"/>
    </row>
    <row r="2421">
      <c r="F2421" s="50"/>
      <c r="G2421" s="50"/>
      <c r="H2421" s="50"/>
      <c r="I2421" s="50"/>
    </row>
    <row r="2422">
      <c r="F2422" s="50"/>
      <c r="G2422" s="50"/>
      <c r="H2422" s="50"/>
      <c r="I2422" s="50"/>
    </row>
    <row r="2423">
      <c r="F2423" s="50"/>
      <c r="G2423" s="50"/>
      <c r="H2423" s="50"/>
      <c r="I2423" s="50"/>
    </row>
    <row r="2424">
      <c r="F2424" s="50"/>
      <c r="G2424" s="50"/>
      <c r="H2424" s="50"/>
      <c r="I2424" s="50"/>
    </row>
    <row r="2425">
      <c r="F2425" s="50"/>
      <c r="G2425" s="50"/>
      <c r="H2425" s="50"/>
      <c r="I2425" s="50"/>
    </row>
    <row r="2426">
      <c r="F2426" s="50"/>
      <c r="G2426" s="50"/>
      <c r="H2426" s="50"/>
      <c r="I2426" s="50"/>
    </row>
    <row r="2427">
      <c r="F2427" s="50"/>
      <c r="G2427" s="50"/>
      <c r="H2427" s="50"/>
      <c r="I2427" s="50"/>
    </row>
    <row r="2428">
      <c r="F2428" s="50"/>
      <c r="G2428" s="50"/>
      <c r="H2428" s="50"/>
      <c r="I2428" s="50"/>
    </row>
    <row r="2429">
      <c r="F2429" s="50"/>
      <c r="G2429" s="50"/>
      <c r="H2429" s="50"/>
      <c r="I2429" s="50"/>
    </row>
    <row r="2430">
      <c r="F2430" s="50"/>
      <c r="G2430" s="50"/>
      <c r="H2430" s="50"/>
      <c r="I2430" s="50"/>
    </row>
    <row r="2431">
      <c r="F2431" s="50"/>
      <c r="G2431" s="50"/>
      <c r="H2431" s="50"/>
      <c r="I2431" s="50"/>
    </row>
    <row r="2432">
      <c r="F2432" s="50"/>
      <c r="G2432" s="50"/>
      <c r="H2432" s="50"/>
      <c r="I2432" s="50"/>
    </row>
    <row r="2433">
      <c r="F2433" s="50"/>
      <c r="G2433" s="50"/>
      <c r="H2433" s="50"/>
      <c r="I2433" s="50"/>
    </row>
    <row r="2434">
      <c r="F2434" s="50"/>
      <c r="G2434" s="50"/>
      <c r="H2434" s="50"/>
      <c r="I2434" s="50"/>
    </row>
    <row r="2435">
      <c r="F2435" s="50"/>
      <c r="G2435" s="50"/>
      <c r="H2435" s="50"/>
      <c r="I2435" s="50"/>
    </row>
    <row r="2436">
      <c r="F2436" s="50"/>
      <c r="G2436" s="50"/>
      <c r="H2436" s="50"/>
      <c r="I2436" s="50"/>
    </row>
    <row r="2437">
      <c r="F2437" s="50"/>
      <c r="G2437" s="50"/>
      <c r="H2437" s="50"/>
      <c r="I2437" s="50"/>
    </row>
    <row r="2438">
      <c r="F2438" s="50"/>
      <c r="G2438" s="50"/>
      <c r="H2438" s="50"/>
      <c r="I2438" s="50"/>
    </row>
    <row r="2439">
      <c r="F2439" s="50"/>
      <c r="G2439" s="50"/>
      <c r="H2439" s="50"/>
      <c r="I2439" s="50"/>
    </row>
    <row r="2440">
      <c r="F2440" s="50"/>
      <c r="G2440" s="50"/>
      <c r="H2440" s="50"/>
      <c r="I2440" s="50"/>
    </row>
    <row r="2441">
      <c r="F2441" s="50"/>
      <c r="G2441" s="50"/>
      <c r="H2441" s="50"/>
      <c r="I2441" s="50"/>
    </row>
    <row r="2442">
      <c r="F2442" s="50"/>
      <c r="G2442" s="50"/>
      <c r="H2442" s="50"/>
      <c r="I2442" s="50"/>
    </row>
    <row r="2443">
      <c r="F2443" s="50"/>
      <c r="G2443" s="50"/>
      <c r="H2443" s="50"/>
      <c r="I2443" s="50"/>
    </row>
    <row r="2444">
      <c r="F2444" s="50"/>
      <c r="G2444" s="50"/>
      <c r="H2444" s="50"/>
      <c r="I2444" s="50"/>
    </row>
    <row r="2445">
      <c r="F2445" s="50"/>
      <c r="G2445" s="50"/>
      <c r="H2445" s="50"/>
      <c r="I2445" s="50"/>
    </row>
    <row r="2446">
      <c r="F2446" s="50"/>
      <c r="G2446" s="50"/>
      <c r="H2446" s="50"/>
      <c r="I2446" s="50"/>
    </row>
    <row r="2447">
      <c r="F2447" s="50"/>
      <c r="G2447" s="50"/>
      <c r="H2447" s="50"/>
      <c r="I2447" s="50"/>
    </row>
    <row r="2448">
      <c r="F2448" s="50"/>
      <c r="G2448" s="50"/>
      <c r="H2448" s="50"/>
      <c r="I2448" s="50"/>
    </row>
    <row r="2449">
      <c r="F2449" s="50"/>
      <c r="G2449" s="50"/>
      <c r="H2449" s="50"/>
      <c r="I2449" s="50"/>
    </row>
    <row r="2450">
      <c r="F2450" s="50"/>
      <c r="G2450" s="50"/>
      <c r="H2450" s="50"/>
      <c r="I2450" s="50"/>
    </row>
    <row r="2451">
      <c r="F2451" s="50"/>
      <c r="G2451" s="50"/>
      <c r="H2451" s="50"/>
      <c r="I2451" s="50"/>
    </row>
    <row r="2452">
      <c r="F2452" s="50"/>
      <c r="G2452" s="50"/>
      <c r="H2452" s="50"/>
      <c r="I2452" s="50"/>
    </row>
    <row r="2453">
      <c r="F2453" s="50"/>
      <c r="G2453" s="50"/>
      <c r="H2453" s="50"/>
      <c r="I2453" s="50"/>
    </row>
    <row r="2454">
      <c r="F2454" s="50"/>
      <c r="G2454" s="50"/>
      <c r="H2454" s="50"/>
      <c r="I2454" s="50"/>
    </row>
    <row r="2455">
      <c r="F2455" s="50"/>
      <c r="G2455" s="50"/>
      <c r="H2455" s="50"/>
      <c r="I2455" s="50"/>
    </row>
    <row r="2456">
      <c r="F2456" s="50"/>
      <c r="G2456" s="50"/>
      <c r="H2456" s="50"/>
      <c r="I2456" s="50"/>
    </row>
    <row r="2457">
      <c r="F2457" s="50"/>
      <c r="G2457" s="50"/>
      <c r="H2457" s="50"/>
      <c r="I2457" s="50"/>
    </row>
    <row r="2458">
      <c r="F2458" s="50"/>
      <c r="G2458" s="50"/>
      <c r="H2458" s="50"/>
      <c r="I2458" s="50"/>
    </row>
    <row r="2459">
      <c r="F2459" s="50"/>
      <c r="G2459" s="50"/>
      <c r="H2459" s="50"/>
      <c r="I2459" s="50"/>
    </row>
    <row r="2460">
      <c r="F2460" s="50"/>
      <c r="G2460" s="50"/>
      <c r="H2460" s="50"/>
      <c r="I2460" s="50"/>
    </row>
    <row r="2461">
      <c r="F2461" s="50"/>
      <c r="G2461" s="50"/>
      <c r="H2461" s="50"/>
      <c r="I2461" s="50"/>
    </row>
    <row r="2462">
      <c r="F2462" s="50"/>
      <c r="G2462" s="50"/>
      <c r="H2462" s="50"/>
      <c r="I2462" s="50"/>
    </row>
    <row r="2463">
      <c r="F2463" s="50"/>
      <c r="G2463" s="50"/>
      <c r="H2463" s="50"/>
      <c r="I2463" s="50"/>
    </row>
    <row r="2464">
      <c r="F2464" s="50"/>
      <c r="G2464" s="50"/>
      <c r="H2464" s="50"/>
      <c r="I2464" s="50"/>
    </row>
    <row r="2465">
      <c r="F2465" s="50"/>
      <c r="G2465" s="50"/>
      <c r="H2465" s="50"/>
      <c r="I2465" s="50"/>
    </row>
    <row r="2466">
      <c r="F2466" s="50"/>
      <c r="G2466" s="50"/>
      <c r="H2466" s="50"/>
      <c r="I2466" s="50"/>
    </row>
    <row r="2467">
      <c r="F2467" s="50"/>
      <c r="G2467" s="50"/>
      <c r="H2467" s="50"/>
      <c r="I2467" s="50"/>
    </row>
    <row r="2468">
      <c r="F2468" s="50"/>
      <c r="G2468" s="50"/>
      <c r="H2468" s="50"/>
      <c r="I2468" s="50"/>
    </row>
    <row r="2469">
      <c r="F2469" s="50"/>
      <c r="G2469" s="50"/>
      <c r="H2469" s="50"/>
      <c r="I2469" s="50"/>
    </row>
    <row r="2470">
      <c r="F2470" s="50"/>
      <c r="G2470" s="50"/>
      <c r="H2470" s="50"/>
      <c r="I2470" s="50"/>
    </row>
    <row r="2471">
      <c r="F2471" s="50"/>
      <c r="G2471" s="50"/>
      <c r="H2471" s="50"/>
      <c r="I2471" s="50"/>
    </row>
    <row r="2472">
      <c r="F2472" s="50"/>
      <c r="G2472" s="50"/>
      <c r="H2472" s="50"/>
      <c r="I2472" s="50"/>
    </row>
    <row r="2473">
      <c r="F2473" s="50"/>
      <c r="G2473" s="50"/>
      <c r="H2473" s="50"/>
      <c r="I2473" s="50"/>
    </row>
    <row r="2474">
      <c r="F2474" s="50"/>
      <c r="G2474" s="50"/>
      <c r="H2474" s="50"/>
      <c r="I2474" s="50"/>
    </row>
    <row r="2475">
      <c r="F2475" s="50"/>
      <c r="G2475" s="50"/>
      <c r="H2475" s="50"/>
      <c r="I2475" s="50"/>
    </row>
    <row r="2476">
      <c r="F2476" s="50"/>
      <c r="G2476" s="50"/>
      <c r="H2476" s="50"/>
      <c r="I2476" s="50"/>
    </row>
    <row r="2477">
      <c r="F2477" s="50"/>
      <c r="G2477" s="50"/>
      <c r="H2477" s="50"/>
      <c r="I2477" s="50"/>
    </row>
    <row r="2478">
      <c r="F2478" s="50"/>
      <c r="G2478" s="50"/>
      <c r="H2478" s="50"/>
      <c r="I2478" s="50"/>
    </row>
    <row r="2479">
      <c r="F2479" s="50"/>
      <c r="G2479" s="50"/>
      <c r="H2479" s="50"/>
      <c r="I2479" s="50"/>
    </row>
    <row r="2480">
      <c r="F2480" s="50"/>
      <c r="G2480" s="50"/>
      <c r="H2480" s="50"/>
      <c r="I2480" s="50"/>
    </row>
    <row r="2481">
      <c r="F2481" s="50"/>
      <c r="G2481" s="50"/>
      <c r="H2481" s="50"/>
      <c r="I2481" s="50"/>
    </row>
    <row r="2482">
      <c r="F2482" s="50"/>
      <c r="G2482" s="50"/>
      <c r="H2482" s="50"/>
      <c r="I2482" s="50"/>
    </row>
    <row r="2483">
      <c r="F2483" s="50"/>
      <c r="G2483" s="50"/>
      <c r="H2483" s="50"/>
      <c r="I2483" s="50"/>
    </row>
    <row r="2484">
      <c r="F2484" s="50"/>
      <c r="G2484" s="50"/>
      <c r="H2484" s="50"/>
      <c r="I2484" s="50"/>
    </row>
    <row r="2485">
      <c r="F2485" s="50"/>
      <c r="G2485" s="50"/>
      <c r="H2485" s="50"/>
      <c r="I2485" s="50"/>
    </row>
    <row r="2486">
      <c r="F2486" s="50"/>
      <c r="G2486" s="50"/>
      <c r="H2486" s="50"/>
      <c r="I2486" s="50"/>
    </row>
    <row r="2487">
      <c r="F2487" s="50"/>
      <c r="G2487" s="50"/>
      <c r="H2487" s="50"/>
      <c r="I2487" s="50"/>
    </row>
    <row r="2488">
      <c r="F2488" s="50"/>
      <c r="G2488" s="50"/>
      <c r="H2488" s="50"/>
      <c r="I2488" s="50"/>
    </row>
    <row r="2489">
      <c r="F2489" s="50"/>
      <c r="G2489" s="50"/>
      <c r="H2489" s="50"/>
      <c r="I2489" s="50"/>
    </row>
    <row r="2490">
      <c r="F2490" s="50"/>
      <c r="G2490" s="50"/>
      <c r="H2490" s="50"/>
      <c r="I2490" s="50"/>
    </row>
    <row r="2491">
      <c r="F2491" s="50"/>
      <c r="G2491" s="50"/>
      <c r="H2491" s="50"/>
      <c r="I2491" s="50"/>
    </row>
    <row r="2492">
      <c r="F2492" s="50"/>
      <c r="G2492" s="50"/>
      <c r="H2492" s="50"/>
      <c r="I2492" s="50"/>
    </row>
    <row r="2493">
      <c r="F2493" s="50"/>
      <c r="G2493" s="50"/>
      <c r="H2493" s="50"/>
      <c r="I2493" s="50"/>
    </row>
    <row r="2494">
      <c r="F2494" s="50"/>
      <c r="G2494" s="50"/>
      <c r="H2494" s="50"/>
      <c r="I2494" s="50"/>
    </row>
    <row r="2495">
      <c r="F2495" s="50"/>
      <c r="G2495" s="50"/>
      <c r="H2495" s="50"/>
      <c r="I2495" s="50"/>
    </row>
    <row r="2496">
      <c r="F2496" s="50"/>
      <c r="G2496" s="50"/>
      <c r="H2496" s="50"/>
      <c r="I2496" s="50"/>
    </row>
    <row r="2497">
      <c r="F2497" s="50"/>
      <c r="G2497" s="50"/>
      <c r="H2497" s="50"/>
      <c r="I2497" s="50"/>
    </row>
    <row r="2498">
      <c r="F2498" s="50"/>
      <c r="G2498" s="50"/>
      <c r="H2498" s="50"/>
      <c r="I2498" s="50"/>
    </row>
    <row r="2499">
      <c r="F2499" s="50"/>
      <c r="G2499" s="50"/>
      <c r="H2499" s="50"/>
      <c r="I2499" s="50"/>
    </row>
    <row r="2500">
      <c r="F2500" s="50"/>
      <c r="G2500" s="50"/>
      <c r="H2500" s="50"/>
      <c r="I2500" s="50"/>
    </row>
    <row r="2501">
      <c r="F2501" s="50"/>
      <c r="G2501" s="50"/>
      <c r="H2501" s="50"/>
      <c r="I2501" s="50"/>
    </row>
    <row r="2502">
      <c r="F2502" s="50"/>
      <c r="G2502" s="50"/>
      <c r="H2502" s="50"/>
      <c r="I2502" s="50"/>
    </row>
    <row r="2503">
      <c r="F2503" s="50"/>
      <c r="G2503" s="50"/>
      <c r="H2503" s="50"/>
      <c r="I2503" s="50"/>
    </row>
    <row r="2504">
      <c r="F2504" s="50"/>
      <c r="G2504" s="50"/>
      <c r="H2504" s="50"/>
      <c r="I2504" s="50"/>
    </row>
    <row r="2505">
      <c r="F2505" s="50"/>
      <c r="G2505" s="50"/>
      <c r="H2505" s="50"/>
      <c r="I2505" s="50"/>
    </row>
    <row r="2506">
      <c r="F2506" s="50"/>
      <c r="G2506" s="50"/>
      <c r="H2506" s="50"/>
      <c r="I2506" s="50"/>
    </row>
    <row r="2507">
      <c r="F2507" s="50"/>
      <c r="G2507" s="50"/>
      <c r="H2507" s="50"/>
      <c r="I2507" s="50"/>
    </row>
    <row r="2508">
      <c r="F2508" s="50"/>
      <c r="G2508" s="50"/>
      <c r="H2508" s="50"/>
      <c r="I2508" s="50"/>
    </row>
    <row r="2509">
      <c r="F2509" s="50"/>
      <c r="G2509" s="50"/>
      <c r="H2509" s="50"/>
      <c r="I2509" s="50"/>
    </row>
    <row r="2510">
      <c r="F2510" s="50"/>
      <c r="G2510" s="50"/>
      <c r="H2510" s="50"/>
      <c r="I2510" s="50"/>
    </row>
    <row r="2511">
      <c r="F2511" s="50"/>
      <c r="G2511" s="50"/>
      <c r="H2511" s="50"/>
      <c r="I2511" s="50"/>
    </row>
    <row r="2512">
      <c r="F2512" s="50"/>
      <c r="G2512" s="50"/>
      <c r="H2512" s="50"/>
      <c r="I2512" s="50"/>
    </row>
    <row r="2513">
      <c r="F2513" s="50"/>
      <c r="G2513" s="50"/>
      <c r="H2513" s="50"/>
      <c r="I2513" s="50"/>
    </row>
    <row r="2514">
      <c r="F2514" s="50"/>
      <c r="G2514" s="50"/>
      <c r="H2514" s="50"/>
      <c r="I2514" s="50"/>
    </row>
    <row r="2515">
      <c r="F2515" s="50"/>
      <c r="G2515" s="50"/>
      <c r="H2515" s="50"/>
      <c r="I2515" s="50"/>
    </row>
    <row r="2516">
      <c r="F2516" s="50"/>
      <c r="G2516" s="50"/>
      <c r="H2516" s="50"/>
      <c r="I2516" s="50"/>
    </row>
    <row r="2517">
      <c r="F2517" s="50"/>
      <c r="G2517" s="50"/>
      <c r="H2517" s="50"/>
      <c r="I2517" s="50"/>
    </row>
    <row r="2518">
      <c r="F2518" s="50"/>
      <c r="G2518" s="50"/>
      <c r="H2518" s="50"/>
      <c r="I2518" s="50"/>
    </row>
    <row r="2519">
      <c r="F2519" s="50"/>
      <c r="G2519" s="50"/>
      <c r="H2519" s="50"/>
      <c r="I2519" s="50"/>
    </row>
    <row r="2520">
      <c r="F2520" s="50"/>
      <c r="G2520" s="50"/>
      <c r="H2520" s="50"/>
      <c r="I2520" s="50"/>
    </row>
    <row r="2521">
      <c r="F2521" s="50"/>
      <c r="G2521" s="50"/>
      <c r="H2521" s="50"/>
      <c r="I2521" s="50"/>
    </row>
    <row r="2522">
      <c r="F2522" s="50"/>
      <c r="G2522" s="50"/>
      <c r="H2522" s="50"/>
      <c r="I2522" s="50"/>
    </row>
    <row r="2523">
      <c r="F2523" s="50"/>
      <c r="G2523" s="50"/>
      <c r="H2523" s="50"/>
      <c r="I2523" s="50"/>
    </row>
    <row r="2524">
      <c r="F2524" s="50"/>
      <c r="G2524" s="50"/>
      <c r="H2524" s="50"/>
      <c r="I2524" s="50"/>
    </row>
    <row r="2525">
      <c r="F2525" s="50"/>
      <c r="G2525" s="50"/>
      <c r="H2525" s="50"/>
      <c r="I2525" s="50"/>
    </row>
    <row r="2526">
      <c r="F2526" s="50"/>
      <c r="G2526" s="50"/>
      <c r="H2526" s="50"/>
      <c r="I2526" s="50"/>
    </row>
    <row r="2527">
      <c r="F2527" s="50"/>
      <c r="G2527" s="50"/>
      <c r="H2527" s="50"/>
      <c r="I2527" s="50"/>
    </row>
    <row r="2528">
      <c r="F2528" s="50"/>
      <c r="G2528" s="50"/>
      <c r="H2528" s="50"/>
      <c r="I2528" s="50"/>
    </row>
    <row r="2529">
      <c r="F2529" s="50"/>
      <c r="G2529" s="50"/>
      <c r="H2529" s="50"/>
      <c r="I2529" s="50"/>
    </row>
    <row r="2530">
      <c r="F2530" s="50"/>
      <c r="G2530" s="50"/>
      <c r="H2530" s="50"/>
      <c r="I2530" s="50"/>
    </row>
    <row r="2531">
      <c r="F2531" s="50"/>
      <c r="G2531" s="50"/>
      <c r="H2531" s="50"/>
      <c r="I2531" s="50"/>
    </row>
    <row r="2532">
      <c r="F2532" s="50"/>
      <c r="G2532" s="50"/>
      <c r="H2532" s="50"/>
      <c r="I2532" s="50"/>
    </row>
    <row r="2533">
      <c r="F2533" s="50"/>
      <c r="G2533" s="50"/>
      <c r="H2533" s="50"/>
      <c r="I2533" s="50"/>
    </row>
    <row r="2534">
      <c r="F2534" s="50"/>
      <c r="G2534" s="50"/>
      <c r="H2534" s="50"/>
      <c r="I2534" s="50"/>
    </row>
    <row r="2535">
      <c r="F2535" s="50"/>
      <c r="G2535" s="50"/>
      <c r="H2535" s="50"/>
      <c r="I2535" s="50"/>
    </row>
    <row r="2536">
      <c r="F2536" s="50"/>
      <c r="G2536" s="50"/>
      <c r="H2536" s="50"/>
      <c r="I2536" s="50"/>
    </row>
    <row r="2537">
      <c r="F2537" s="50"/>
      <c r="G2537" s="50"/>
      <c r="H2537" s="50"/>
      <c r="I2537" s="50"/>
    </row>
    <row r="2538">
      <c r="F2538" s="50"/>
      <c r="G2538" s="50"/>
      <c r="H2538" s="50"/>
      <c r="I2538" s="50"/>
    </row>
    <row r="2539">
      <c r="F2539" s="50"/>
      <c r="G2539" s="50"/>
      <c r="H2539" s="50"/>
      <c r="I2539" s="50"/>
    </row>
    <row r="2540">
      <c r="F2540" s="50"/>
      <c r="G2540" s="50"/>
      <c r="H2540" s="50"/>
      <c r="I2540" s="50"/>
    </row>
    <row r="2541">
      <c r="F2541" s="50"/>
      <c r="G2541" s="50"/>
      <c r="H2541" s="50"/>
      <c r="I2541" s="50"/>
    </row>
    <row r="2542">
      <c r="F2542" s="50"/>
      <c r="G2542" s="50"/>
      <c r="H2542" s="50"/>
      <c r="I2542" s="50"/>
    </row>
    <row r="2543">
      <c r="F2543" s="50"/>
      <c r="G2543" s="50"/>
      <c r="H2543" s="50"/>
      <c r="I2543" s="50"/>
    </row>
    <row r="2544">
      <c r="F2544" s="50"/>
      <c r="G2544" s="50"/>
      <c r="H2544" s="50"/>
      <c r="I2544" s="50"/>
    </row>
    <row r="2545">
      <c r="F2545" s="50"/>
      <c r="G2545" s="50"/>
      <c r="H2545" s="50"/>
      <c r="I2545" s="50"/>
    </row>
    <row r="2546">
      <c r="F2546" s="50"/>
      <c r="G2546" s="50"/>
      <c r="H2546" s="50"/>
      <c r="I2546" s="50"/>
    </row>
    <row r="2547">
      <c r="F2547" s="50"/>
      <c r="G2547" s="50"/>
      <c r="H2547" s="50"/>
      <c r="I2547" s="50"/>
    </row>
    <row r="2548">
      <c r="F2548" s="50"/>
      <c r="G2548" s="50"/>
      <c r="H2548" s="50"/>
      <c r="I2548" s="50"/>
    </row>
    <row r="2549">
      <c r="F2549" s="50"/>
      <c r="G2549" s="50"/>
      <c r="H2549" s="50"/>
      <c r="I2549" s="50"/>
    </row>
    <row r="2550">
      <c r="F2550" s="50"/>
      <c r="G2550" s="50"/>
      <c r="H2550" s="50"/>
      <c r="I2550" s="50"/>
    </row>
    <row r="2551">
      <c r="F2551" s="50"/>
      <c r="G2551" s="50"/>
      <c r="H2551" s="50"/>
      <c r="I2551" s="50"/>
    </row>
    <row r="2552">
      <c r="F2552" s="50"/>
      <c r="G2552" s="50"/>
      <c r="H2552" s="50"/>
      <c r="I2552" s="50"/>
    </row>
    <row r="2553">
      <c r="F2553" s="50"/>
      <c r="G2553" s="50"/>
      <c r="H2553" s="50"/>
      <c r="I2553" s="50"/>
    </row>
    <row r="2554">
      <c r="F2554" s="50"/>
      <c r="G2554" s="50"/>
      <c r="H2554" s="50"/>
      <c r="I2554" s="50"/>
    </row>
    <row r="2555">
      <c r="F2555" s="50"/>
      <c r="G2555" s="50"/>
      <c r="H2555" s="50"/>
      <c r="I2555" s="50"/>
    </row>
    <row r="2556">
      <c r="F2556" s="50"/>
      <c r="G2556" s="50"/>
      <c r="H2556" s="50"/>
      <c r="I2556" s="50"/>
    </row>
    <row r="2557">
      <c r="F2557" s="50"/>
      <c r="G2557" s="50"/>
      <c r="H2557" s="50"/>
      <c r="I2557" s="50"/>
    </row>
    <row r="2558">
      <c r="F2558" s="50"/>
      <c r="G2558" s="50"/>
      <c r="H2558" s="50"/>
      <c r="I2558" s="50"/>
    </row>
    <row r="2559">
      <c r="F2559" s="50"/>
      <c r="G2559" s="50"/>
      <c r="H2559" s="50"/>
      <c r="I2559" s="50"/>
    </row>
    <row r="2560">
      <c r="F2560" s="50"/>
      <c r="G2560" s="50"/>
      <c r="H2560" s="50"/>
      <c r="I2560" s="50"/>
    </row>
    <row r="2561">
      <c r="F2561" s="50"/>
      <c r="G2561" s="50"/>
      <c r="H2561" s="50"/>
      <c r="I2561" s="50"/>
    </row>
    <row r="2562">
      <c r="F2562" s="50"/>
      <c r="G2562" s="50"/>
      <c r="H2562" s="50"/>
      <c r="I2562" s="50"/>
    </row>
    <row r="2563">
      <c r="F2563" s="50"/>
      <c r="G2563" s="50"/>
      <c r="H2563" s="50"/>
      <c r="I2563" s="50"/>
    </row>
    <row r="2564">
      <c r="F2564" s="50"/>
      <c r="G2564" s="50"/>
      <c r="H2564" s="50"/>
      <c r="I2564" s="50"/>
    </row>
    <row r="2565">
      <c r="F2565" s="50"/>
      <c r="G2565" s="50"/>
      <c r="H2565" s="50"/>
      <c r="I2565" s="50"/>
    </row>
    <row r="2566">
      <c r="F2566" s="50"/>
      <c r="G2566" s="50"/>
      <c r="H2566" s="50"/>
      <c r="I2566" s="50"/>
    </row>
    <row r="2567">
      <c r="F2567" s="50"/>
      <c r="G2567" s="50"/>
      <c r="H2567" s="50"/>
      <c r="I2567" s="50"/>
    </row>
    <row r="2568">
      <c r="F2568" s="50"/>
      <c r="G2568" s="50"/>
      <c r="H2568" s="50"/>
      <c r="I2568" s="50"/>
    </row>
    <row r="2569">
      <c r="F2569" s="50"/>
      <c r="G2569" s="50"/>
      <c r="H2569" s="50"/>
      <c r="I2569" s="50"/>
    </row>
    <row r="2570">
      <c r="F2570" s="50"/>
      <c r="G2570" s="50"/>
      <c r="H2570" s="50"/>
      <c r="I2570" s="50"/>
    </row>
    <row r="2571">
      <c r="F2571" s="50"/>
      <c r="G2571" s="50"/>
      <c r="H2571" s="50"/>
      <c r="I2571" s="50"/>
    </row>
    <row r="2572">
      <c r="F2572" s="50"/>
      <c r="G2572" s="50"/>
      <c r="H2572" s="50"/>
      <c r="I2572" s="50"/>
    </row>
    <row r="2573">
      <c r="F2573" s="50"/>
      <c r="G2573" s="50"/>
      <c r="H2573" s="50"/>
      <c r="I2573" s="50"/>
    </row>
    <row r="2574">
      <c r="F2574" s="50"/>
      <c r="G2574" s="50"/>
      <c r="H2574" s="50"/>
      <c r="I2574" s="50"/>
    </row>
    <row r="2575">
      <c r="F2575" s="50"/>
      <c r="G2575" s="50"/>
      <c r="H2575" s="50"/>
      <c r="I2575" s="50"/>
    </row>
    <row r="2576">
      <c r="F2576" s="50"/>
      <c r="G2576" s="50"/>
      <c r="H2576" s="50"/>
      <c r="I2576" s="50"/>
    </row>
    <row r="2577">
      <c r="F2577" s="50"/>
      <c r="G2577" s="50"/>
      <c r="H2577" s="50"/>
      <c r="I2577" s="50"/>
    </row>
    <row r="2578">
      <c r="F2578" s="50"/>
      <c r="G2578" s="50"/>
      <c r="H2578" s="50"/>
      <c r="I2578" s="50"/>
    </row>
    <row r="2579">
      <c r="F2579" s="50"/>
      <c r="G2579" s="50"/>
      <c r="H2579" s="50"/>
      <c r="I2579" s="50"/>
    </row>
    <row r="2580">
      <c r="F2580" s="50"/>
      <c r="G2580" s="50"/>
      <c r="H2580" s="50"/>
      <c r="I2580" s="50"/>
    </row>
    <row r="2581">
      <c r="F2581" s="50"/>
      <c r="G2581" s="50"/>
      <c r="H2581" s="50"/>
      <c r="I2581" s="50"/>
    </row>
    <row r="2582">
      <c r="F2582" s="50"/>
      <c r="G2582" s="50"/>
      <c r="H2582" s="50"/>
      <c r="I2582" s="50"/>
    </row>
    <row r="2583">
      <c r="F2583" s="50"/>
      <c r="G2583" s="50"/>
      <c r="H2583" s="50"/>
      <c r="I2583" s="50"/>
    </row>
    <row r="2584">
      <c r="F2584" s="50"/>
      <c r="G2584" s="50"/>
      <c r="H2584" s="50"/>
      <c r="I2584" s="50"/>
    </row>
    <row r="2585">
      <c r="F2585" s="50"/>
      <c r="G2585" s="50"/>
      <c r="H2585" s="50"/>
      <c r="I2585" s="50"/>
    </row>
    <row r="2586">
      <c r="F2586" s="50"/>
      <c r="G2586" s="50"/>
      <c r="H2586" s="50"/>
      <c r="I2586" s="50"/>
    </row>
    <row r="2587">
      <c r="F2587" s="50"/>
      <c r="G2587" s="50"/>
      <c r="H2587" s="50"/>
      <c r="I2587" s="50"/>
    </row>
    <row r="2588">
      <c r="F2588" s="50"/>
      <c r="G2588" s="50"/>
      <c r="H2588" s="50"/>
      <c r="I2588" s="50"/>
    </row>
    <row r="2589">
      <c r="F2589" s="50"/>
      <c r="G2589" s="50"/>
      <c r="H2589" s="50"/>
      <c r="I2589" s="50"/>
    </row>
    <row r="2590">
      <c r="F2590" s="50"/>
      <c r="G2590" s="50"/>
      <c r="H2590" s="50"/>
      <c r="I2590" s="50"/>
    </row>
    <row r="2591">
      <c r="F2591" s="50"/>
      <c r="G2591" s="50"/>
      <c r="H2591" s="50"/>
      <c r="I2591" s="50"/>
    </row>
    <row r="2592">
      <c r="F2592" s="50"/>
      <c r="G2592" s="50"/>
      <c r="H2592" s="50"/>
      <c r="I2592" s="50"/>
    </row>
    <row r="2593">
      <c r="F2593" s="50"/>
      <c r="G2593" s="50"/>
      <c r="H2593" s="50"/>
      <c r="I2593" s="50"/>
    </row>
    <row r="2594">
      <c r="F2594" s="50"/>
      <c r="G2594" s="50"/>
      <c r="H2594" s="50"/>
      <c r="I2594" s="50"/>
    </row>
    <row r="2595">
      <c r="F2595" s="50"/>
      <c r="G2595" s="50"/>
      <c r="H2595" s="50"/>
      <c r="I2595" s="50"/>
    </row>
    <row r="2596">
      <c r="F2596" s="50"/>
      <c r="G2596" s="50"/>
      <c r="H2596" s="50"/>
      <c r="I2596" s="50"/>
    </row>
    <row r="2597">
      <c r="F2597" s="50"/>
      <c r="G2597" s="50"/>
      <c r="H2597" s="50"/>
      <c r="I2597" s="50"/>
    </row>
    <row r="2598">
      <c r="F2598" s="50"/>
      <c r="G2598" s="50"/>
      <c r="H2598" s="50"/>
      <c r="I2598" s="50"/>
    </row>
    <row r="2599">
      <c r="F2599" s="50"/>
      <c r="G2599" s="50"/>
      <c r="H2599" s="50"/>
      <c r="I2599" s="50"/>
    </row>
    <row r="2600">
      <c r="F2600" s="50"/>
      <c r="G2600" s="50"/>
      <c r="H2600" s="50"/>
      <c r="I2600" s="50"/>
    </row>
    <row r="2601">
      <c r="F2601" s="50"/>
      <c r="G2601" s="50"/>
      <c r="H2601" s="50"/>
      <c r="I2601" s="50"/>
    </row>
    <row r="2602">
      <c r="F2602" s="50"/>
      <c r="G2602" s="50"/>
      <c r="H2602" s="50"/>
      <c r="I2602" s="50"/>
    </row>
    <row r="2603">
      <c r="F2603" s="50"/>
      <c r="G2603" s="50"/>
      <c r="H2603" s="50"/>
      <c r="I2603" s="50"/>
    </row>
    <row r="2604">
      <c r="F2604" s="50"/>
      <c r="G2604" s="50"/>
      <c r="H2604" s="50"/>
      <c r="I2604" s="50"/>
    </row>
    <row r="2605">
      <c r="F2605" s="50"/>
      <c r="G2605" s="50"/>
      <c r="H2605" s="50"/>
      <c r="I2605" s="50"/>
    </row>
    <row r="2606">
      <c r="F2606" s="50"/>
      <c r="G2606" s="50"/>
      <c r="H2606" s="50"/>
      <c r="I2606" s="50"/>
    </row>
    <row r="2607">
      <c r="F2607" s="50"/>
      <c r="G2607" s="50"/>
      <c r="H2607" s="50"/>
      <c r="I2607" s="50"/>
    </row>
    <row r="2608">
      <c r="F2608" s="50"/>
      <c r="G2608" s="50"/>
      <c r="H2608" s="50"/>
      <c r="I2608" s="50"/>
    </row>
    <row r="2609">
      <c r="F2609" s="50"/>
      <c r="G2609" s="50"/>
      <c r="H2609" s="50"/>
      <c r="I2609" s="50"/>
    </row>
    <row r="2610">
      <c r="F2610" s="50"/>
      <c r="G2610" s="50"/>
      <c r="H2610" s="50"/>
      <c r="I2610" s="50"/>
    </row>
    <row r="2611">
      <c r="F2611" s="50"/>
      <c r="G2611" s="50"/>
      <c r="H2611" s="50"/>
      <c r="I2611" s="50"/>
    </row>
    <row r="2612">
      <c r="F2612" s="50"/>
      <c r="G2612" s="50"/>
      <c r="H2612" s="50"/>
      <c r="I2612" s="50"/>
    </row>
    <row r="2613">
      <c r="F2613" s="50"/>
      <c r="G2613" s="50"/>
      <c r="H2613" s="50"/>
      <c r="I2613" s="50"/>
    </row>
    <row r="2614">
      <c r="F2614" s="50"/>
      <c r="G2614" s="50"/>
      <c r="H2614" s="50"/>
      <c r="I2614" s="50"/>
    </row>
    <row r="2615">
      <c r="F2615" s="50"/>
      <c r="G2615" s="50"/>
      <c r="H2615" s="50"/>
      <c r="I2615" s="50"/>
    </row>
    <row r="2616">
      <c r="F2616" s="50"/>
      <c r="G2616" s="50"/>
      <c r="H2616" s="50"/>
      <c r="I2616" s="50"/>
    </row>
    <row r="2617">
      <c r="F2617" s="50"/>
      <c r="G2617" s="50"/>
      <c r="H2617" s="50"/>
      <c r="I2617" s="50"/>
    </row>
    <row r="2618">
      <c r="F2618" s="50"/>
      <c r="G2618" s="50"/>
      <c r="H2618" s="50"/>
      <c r="I2618" s="50"/>
    </row>
    <row r="2619">
      <c r="F2619" s="50"/>
      <c r="G2619" s="50"/>
      <c r="H2619" s="50"/>
      <c r="I2619" s="50"/>
    </row>
    <row r="2620">
      <c r="F2620" s="50"/>
      <c r="G2620" s="50"/>
      <c r="H2620" s="50"/>
      <c r="I2620" s="50"/>
    </row>
    <row r="2621">
      <c r="F2621" s="50"/>
      <c r="G2621" s="50"/>
      <c r="H2621" s="50"/>
      <c r="I2621" s="50"/>
    </row>
    <row r="2622">
      <c r="F2622" s="50"/>
      <c r="G2622" s="50"/>
      <c r="H2622" s="50"/>
      <c r="I2622" s="50"/>
    </row>
    <row r="2623">
      <c r="F2623" s="50"/>
      <c r="G2623" s="50"/>
      <c r="H2623" s="50"/>
      <c r="I2623" s="50"/>
    </row>
    <row r="2624">
      <c r="F2624" s="50"/>
      <c r="G2624" s="50"/>
      <c r="H2624" s="50"/>
      <c r="I2624" s="50"/>
    </row>
    <row r="2625">
      <c r="F2625" s="50"/>
      <c r="G2625" s="50"/>
      <c r="H2625" s="50"/>
      <c r="I2625" s="50"/>
    </row>
    <row r="2626">
      <c r="F2626" s="50"/>
      <c r="G2626" s="50"/>
      <c r="H2626" s="50"/>
      <c r="I2626" s="50"/>
    </row>
    <row r="2627">
      <c r="F2627" s="50"/>
      <c r="G2627" s="50"/>
      <c r="H2627" s="50"/>
      <c r="I2627" s="50"/>
    </row>
    <row r="2628">
      <c r="F2628" s="50"/>
      <c r="G2628" s="50"/>
      <c r="H2628" s="50"/>
      <c r="I2628" s="50"/>
    </row>
    <row r="2629">
      <c r="F2629" s="50"/>
      <c r="G2629" s="50"/>
      <c r="H2629" s="50"/>
      <c r="I2629" s="50"/>
    </row>
    <row r="2630">
      <c r="F2630" s="50"/>
      <c r="G2630" s="50"/>
      <c r="H2630" s="50"/>
      <c r="I2630" s="50"/>
    </row>
    <row r="2631">
      <c r="F2631" s="50"/>
      <c r="G2631" s="50"/>
      <c r="H2631" s="50"/>
      <c r="I2631" s="50"/>
    </row>
    <row r="2632">
      <c r="F2632" s="50"/>
      <c r="G2632" s="50"/>
      <c r="H2632" s="50"/>
      <c r="I2632" s="50"/>
    </row>
    <row r="2633">
      <c r="F2633" s="50"/>
      <c r="G2633" s="50"/>
      <c r="H2633" s="50"/>
      <c r="I2633" s="50"/>
    </row>
    <row r="2634">
      <c r="F2634" s="50"/>
      <c r="G2634" s="50"/>
      <c r="H2634" s="50"/>
      <c r="I2634" s="50"/>
    </row>
    <row r="2635">
      <c r="F2635" s="50"/>
      <c r="G2635" s="50"/>
      <c r="H2635" s="50"/>
      <c r="I2635" s="50"/>
    </row>
    <row r="2636">
      <c r="F2636" s="50"/>
      <c r="G2636" s="50"/>
      <c r="H2636" s="50"/>
      <c r="I2636" s="50"/>
    </row>
    <row r="2637">
      <c r="F2637" s="50"/>
      <c r="G2637" s="50"/>
      <c r="H2637" s="50"/>
      <c r="I2637" s="50"/>
    </row>
    <row r="2638">
      <c r="F2638" s="50"/>
      <c r="G2638" s="50"/>
      <c r="H2638" s="50"/>
      <c r="I2638" s="50"/>
    </row>
    <row r="2639">
      <c r="F2639" s="50"/>
      <c r="G2639" s="50"/>
      <c r="H2639" s="50"/>
      <c r="I2639" s="50"/>
    </row>
    <row r="2640">
      <c r="F2640" s="50"/>
      <c r="G2640" s="50"/>
      <c r="H2640" s="50"/>
      <c r="I2640" s="50"/>
    </row>
    <row r="2641">
      <c r="F2641" s="50"/>
      <c r="G2641" s="50"/>
      <c r="H2641" s="50"/>
      <c r="I2641" s="50"/>
    </row>
    <row r="2642">
      <c r="F2642" s="50"/>
      <c r="G2642" s="50"/>
      <c r="H2642" s="50"/>
      <c r="I2642" s="50"/>
    </row>
    <row r="2643">
      <c r="F2643" s="50"/>
      <c r="G2643" s="50"/>
      <c r="H2643" s="50"/>
      <c r="I2643" s="50"/>
    </row>
    <row r="2644">
      <c r="F2644" s="50"/>
      <c r="G2644" s="50"/>
      <c r="H2644" s="50"/>
      <c r="I2644" s="50"/>
    </row>
    <row r="2645">
      <c r="F2645" s="50"/>
      <c r="G2645" s="50"/>
      <c r="H2645" s="50"/>
      <c r="I2645" s="50"/>
    </row>
    <row r="2646">
      <c r="F2646" s="50"/>
      <c r="G2646" s="50"/>
      <c r="H2646" s="50"/>
      <c r="I2646" s="50"/>
    </row>
    <row r="2647">
      <c r="F2647" s="50"/>
      <c r="G2647" s="50"/>
      <c r="H2647" s="50"/>
      <c r="I2647" s="50"/>
    </row>
    <row r="2648">
      <c r="F2648" s="50"/>
      <c r="G2648" s="50"/>
      <c r="H2648" s="50"/>
      <c r="I2648" s="50"/>
    </row>
    <row r="2649">
      <c r="F2649" s="50"/>
      <c r="G2649" s="50"/>
      <c r="H2649" s="50"/>
      <c r="I2649" s="50"/>
    </row>
    <row r="2650">
      <c r="F2650" s="50"/>
      <c r="G2650" s="50"/>
      <c r="H2650" s="50"/>
      <c r="I2650" s="50"/>
    </row>
    <row r="2651">
      <c r="F2651" s="50"/>
      <c r="G2651" s="50"/>
      <c r="H2651" s="50"/>
      <c r="I2651" s="50"/>
    </row>
    <row r="2652">
      <c r="F2652" s="50"/>
      <c r="G2652" s="50"/>
      <c r="H2652" s="50"/>
      <c r="I2652" s="50"/>
    </row>
    <row r="2653">
      <c r="F2653" s="50"/>
      <c r="G2653" s="50"/>
      <c r="H2653" s="50"/>
      <c r="I2653" s="50"/>
    </row>
    <row r="2654">
      <c r="F2654" s="50"/>
      <c r="G2654" s="50"/>
      <c r="H2654" s="50"/>
      <c r="I2654" s="50"/>
    </row>
    <row r="2655">
      <c r="F2655" s="50"/>
      <c r="G2655" s="50"/>
      <c r="H2655" s="50"/>
      <c r="I2655" s="50"/>
    </row>
    <row r="2656">
      <c r="F2656" s="50"/>
      <c r="G2656" s="50"/>
      <c r="H2656" s="50"/>
      <c r="I2656" s="50"/>
    </row>
    <row r="2657">
      <c r="F2657" s="50"/>
      <c r="G2657" s="50"/>
      <c r="H2657" s="50"/>
      <c r="I2657" s="50"/>
    </row>
    <row r="2658">
      <c r="F2658" s="50"/>
      <c r="G2658" s="50"/>
      <c r="H2658" s="50"/>
      <c r="I2658" s="50"/>
    </row>
    <row r="2659">
      <c r="F2659" s="50"/>
      <c r="G2659" s="50"/>
      <c r="H2659" s="50"/>
      <c r="I2659" s="50"/>
    </row>
    <row r="2660">
      <c r="F2660" s="50"/>
      <c r="G2660" s="50"/>
      <c r="H2660" s="50"/>
      <c r="I2660" s="50"/>
    </row>
    <row r="2661">
      <c r="F2661" s="50"/>
      <c r="G2661" s="50"/>
      <c r="H2661" s="50"/>
      <c r="I2661" s="50"/>
    </row>
    <row r="2662">
      <c r="F2662" s="50"/>
      <c r="G2662" s="50"/>
      <c r="H2662" s="50"/>
      <c r="I2662" s="50"/>
    </row>
    <row r="2663">
      <c r="F2663" s="50"/>
      <c r="G2663" s="50"/>
      <c r="H2663" s="50"/>
      <c r="I2663" s="50"/>
    </row>
    <row r="2664">
      <c r="F2664" s="50"/>
      <c r="G2664" s="50"/>
      <c r="H2664" s="50"/>
      <c r="I2664" s="50"/>
    </row>
    <row r="2665">
      <c r="F2665" s="50"/>
      <c r="G2665" s="50"/>
      <c r="H2665" s="50"/>
      <c r="I2665" s="50"/>
    </row>
    <row r="2666">
      <c r="F2666" s="50"/>
      <c r="G2666" s="50"/>
      <c r="H2666" s="50"/>
      <c r="I2666" s="50"/>
    </row>
    <row r="2667">
      <c r="F2667" s="50"/>
      <c r="G2667" s="50"/>
      <c r="H2667" s="50"/>
      <c r="I2667" s="50"/>
    </row>
    <row r="2668">
      <c r="F2668" s="50"/>
      <c r="G2668" s="50"/>
      <c r="H2668" s="50"/>
      <c r="I2668" s="50"/>
    </row>
    <row r="2669">
      <c r="F2669" s="50"/>
      <c r="G2669" s="50"/>
      <c r="H2669" s="50"/>
      <c r="I2669" s="50"/>
    </row>
    <row r="2670">
      <c r="F2670" s="50"/>
      <c r="G2670" s="50"/>
      <c r="H2670" s="50"/>
      <c r="I2670" s="50"/>
    </row>
    <row r="2671">
      <c r="F2671" s="50"/>
      <c r="G2671" s="50"/>
      <c r="H2671" s="50"/>
      <c r="I2671" s="50"/>
    </row>
    <row r="2672">
      <c r="F2672" s="50"/>
      <c r="G2672" s="50"/>
      <c r="H2672" s="50"/>
      <c r="I2672" s="50"/>
    </row>
    <row r="2673">
      <c r="F2673" s="50"/>
      <c r="G2673" s="50"/>
      <c r="H2673" s="50"/>
      <c r="I2673" s="50"/>
    </row>
    <row r="2674">
      <c r="F2674" s="50"/>
      <c r="G2674" s="50"/>
      <c r="H2674" s="50"/>
      <c r="I2674" s="50"/>
    </row>
    <row r="2675">
      <c r="F2675" s="50"/>
      <c r="G2675" s="50"/>
      <c r="H2675" s="50"/>
      <c r="I2675" s="50"/>
    </row>
    <row r="2676">
      <c r="F2676" s="50"/>
      <c r="G2676" s="50"/>
      <c r="H2676" s="50"/>
      <c r="I2676" s="50"/>
    </row>
    <row r="2677">
      <c r="F2677" s="50"/>
      <c r="G2677" s="50"/>
      <c r="H2677" s="50"/>
      <c r="I2677" s="50"/>
    </row>
    <row r="2678">
      <c r="F2678" s="50"/>
      <c r="G2678" s="50"/>
      <c r="H2678" s="50"/>
      <c r="I2678" s="50"/>
    </row>
    <row r="2679">
      <c r="F2679" s="50"/>
      <c r="G2679" s="50"/>
      <c r="H2679" s="50"/>
      <c r="I2679" s="50"/>
    </row>
    <row r="2680">
      <c r="F2680" s="50"/>
      <c r="G2680" s="50"/>
      <c r="H2680" s="50"/>
      <c r="I2680" s="50"/>
    </row>
    <row r="2681">
      <c r="F2681" s="50"/>
      <c r="G2681" s="50"/>
      <c r="H2681" s="50"/>
      <c r="I2681" s="50"/>
    </row>
    <row r="2682">
      <c r="F2682" s="50"/>
      <c r="G2682" s="50"/>
      <c r="H2682" s="50"/>
      <c r="I2682" s="50"/>
    </row>
    <row r="2683">
      <c r="F2683" s="50"/>
      <c r="G2683" s="50"/>
      <c r="H2683" s="50"/>
      <c r="I2683" s="50"/>
    </row>
    <row r="2684">
      <c r="F2684" s="50"/>
      <c r="G2684" s="50"/>
      <c r="H2684" s="50"/>
      <c r="I2684" s="50"/>
    </row>
    <row r="2685">
      <c r="F2685" s="50"/>
      <c r="G2685" s="50"/>
      <c r="H2685" s="50"/>
      <c r="I2685" s="50"/>
    </row>
    <row r="2686">
      <c r="F2686" s="50"/>
      <c r="G2686" s="50"/>
      <c r="H2686" s="50"/>
      <c r="I2686" s="50"/>
    </row>
    <row r="2687">
      <c r="F2687" s="50"/>
      <c r="G2687" s="50"/>
      <c r="H2687" s="50"/>
      <c r="I2687" s="50"/>
    </row>
    <row r="2688">
      <c r="F2688" s="50"/>
      <c r="G2688" s="50"/>
      <c r="H2688" s="50"/>
      <c r="I2688" s="50"/>
    </row>
    <row r="2689">
      <c r="F2689" s="50"/>
      <c r="G2689" s="50"/>
      <c r="H2689" s="50"/>
      <c r="I2689" s="50"/>
    </row>
    <row r="2690">
      <c r="F2690" s="50"/>
      <c r="G2690" s="50"/>
      <c r="H2690" s="50"/>
      <c r="I2690" s="50"/>
    </row>
    <row r="2691">
      <c r="F2691" s="50"/>
      <c r="G2691" s="50"/>
      <c r="H2691" s="50"/>
      <c r="I2691" s="50"/>
    </row>
    <row r="2692">
      <c r="F2692" s="50"/>
      <c r="G2692" s="50"/>
      <c r="H2692" s="50"/>
      <c r="I2692" s="50"/>
    </row>
    <row r="2693">
      <c r="F2693" s="50"/>
      <c r="G2693" s="50"/>
      <c r="H2693" s="50"/>
      <c r="I2693" s="50"/>
    </row>
    <row r="2694">
      <c r="F2694" s="50"/>
      <c r="G2694" s="50"/>
      <c r="H2694" s="50"/>
      <c r="I2694" s="50"/>
    </row>
    <row r="2695">
      <c r="F2695" s="50"/>
      <c r="G2695" s="50"/>
      <c r="H2695" s="50"/>
      <c r="I2695" s="50"/>
    </row>
    <row r="2696">
      <c r="F2696" s="50"/>
      <c r="G2696" s="50"/>
      <c r="H2696" s="50"/>
      <c r="I2696" s="50"/>
    </row>
    <row r="2697">
      <c r="F2697" s="50"/>
      <c r="G2697" s="50"/>
      <c r="H2697" s="50"/>
      <c r="I2697" s="50"/>
    </row>
    <row r="2698">
      <c r="F2698" s="50"/>
      <c r="G2698" s="50"/>
      <c r="H2698" s="50"/>
      <c r="I2698" s="50"/>
    </row>
    <row r="2699">
      <c r="F2699" s="50"/>
      <c r="G2699" s="50"/>
      <c r="H2699" s="50"/>
      <c r="I2699" s="50"/>
    </row>
    <row r="2700">
      <c r="F2700" s="50"/>
      <c r="G2700" s="50"/>
      <c r="H2700" s="50"/>
      <c r="I2700" s="50"/>
    </row>
    <row r="2701">
      <c r="F2701" s="50"/>
      <c r="G2701" s="50"/>
      <c r="H2701" s="50"/>
      <c r="I2701" s="50"/>
    </row>
    <row r="2702">
      <c r="F2702" s="50"/>
      <c r="G2702" s="50"/>
      <c r="H2702" s="50"/>
      <c r="I2702" s="50"/>
    </row>
    <row r="2703">
      <c r="F2703" s="50"/>
      <c r="G2703" s="50"/>
      <c r="H2703" s="50"/>
      <c r="I2703" s="50"/>
    </row>
    <row r="2704">
      <c r="F2704" s="50"/>
      <c r="G2704" s="50"/>
      <c r="H2704" s="50"/>
      <c r="I2704" s="50"/>
    </row>
    <row r="2705">
      <c r="F2705" s="50"/>
      <c r="G2705" s="50"/>
      <c r="H2705" s="50"/>
      <c r="I2705" s="50"/>
    </row>
    <row r="2706">
      <c r="F2706" s="50"/>
      <c r="G2706" s="50"/>
      <c r="H2706" s="50"/>
      <c r="I2706" s="50"/>
    </row>
    <row r="2707">
      <c r="F2707" s="50"/>
      <c r="G2707" s="50"/>
      <c r="H2707" s="50"/>
      <c r="I2707" s="50"/>
    </row>
    <row r="2708">
      <c r="F2708" s="50"/>
      <c r="G2708" s="50"/>
      <c r="H2708" s="50"/>
      <c r="I2708" s="50"/>
    </row>
    <row r="2709">
      <c r="F2709" s="50"/>
      <c r="G2709" s="50"/>
      <c r="H2709" s="50"/>
      <c r="I2709" s="50"/>
    </row>
    <row r="2710">
      <c r="F2710" s="50"/>
      <c r="G2710" s="50"/>
      <c r="H2710" s="50"/>
      <c r="I2710" s="50"/>
    </row>
    <row r="2711">
      <c r="F2711" s="50"/>
      <c r="G2711" s="50"/>
      <c r="H2711" s="50"/>
      <c r="I2711" s="50"/>
    </row>
    <row r="2712">
      <c r="F2712" s="50"/>
      <c r="G2712" s="50"/>
      <c r="H2712" s="50"/>
      <c r="I2712" s="50"/>
    </row>
    <row r="2713">
      <c r="F2713" s="50"/>
      <c r="G2713" s="50"/>
      <c r="H2713" s="50"/>
      <c r="I2713" s="50"/>
    </row>
    <row r="2714">
      <c r="F2714" s="50"/>
      <c r="G2714" s="50"/>
      <c r="H2714" s="50"/>
      <c r="I2714" s="50"/>
    </row>
    <row r="2715">
      <c r="F2715" s="50"/>
      <c r="G2715" s="50"/>
      <c r="H2715" s="50"/>
      <c r="I2715" s="50"/>
    </row>
    <row r="2716">
      <c r="F2716" s="50"/>
      <c r="G2716" s="50"/>
      <c r="H2716" s="50"/>
      <c r="I2716" s="50"/>
    </row>
    <row r="2717">
      <c r="F2717" s="50"/>
      <c r="G2717" s="50"/>
      <c r="H2717" s="50"/>
      <c r="I2717" s="50"/>
    </row>
    <row r="2718">
      <c r="F2718" s="50"/>
      <c r="G2718" s="50"/>
      <c r="H2718" s="50"/>
      <c r="I2718" s="50"/>
    </row>
    <row r="2719">
      <c r="F2719" s="50"/>
      <c r="G2719" s="50"/>
      <c r="H2719" s="50"/>
      <c r="I2719" s="50"/>
    </row>
    <row r="2720">
      <c r="F2720" s="50"/>
      <c r="G2720" s="50"/>
      <c r="H2720" s="50"/>
      <c r="I2720" s="50"/>
    </row>
    <row r="2721">
      <c r="F2721" s="50"/>
      <c r="G2721" s="50"/>
      <c r="H2721" s="50"/>
      <c r="I2721" s="50"/>
    </row>
    <row r="2722">
      <c r="F2722" s="50"/>
      <c r="G2722" s="50"/>
      <c r="H2722" s="50"/>
      <c r="I2722" s="50"/>
    </row>
    <row r="2723">
      <c r="F2723" s="50"/>
      <c r="G2723" s="50"/>
      <c r="H2723" s="50"/>
      <c r="I2723" s="50"/>
    </row>
    <row r="2724">
      <c r="F2724" s="50"/>
      <c r="G2724" s="50"/>
      <c r="H2724" s="50"/>
      <c r="I2724" s="50"/>
    </row>
    <row r="2725">
      <c r="F2725" s="50"/>
      <c r="G2725" s="50"/>
      <c r="H2725" s="50"/>
      <c r="I2725" s="50"/>
    </row>
    <row r="2726">
      <c r="F2726" s="50"/>
      <c r="G2726" s="50"/>
      <c r="H2726" s="50"/>
      <c r="I2726" s="50"/>
    </row>
    <row r="2727">
      <c r="F2727" s="50"/>
      <c r="G2727" s="50"/>
      <c r="H2727" s="50"/>
      <c r="I2727" s="50"/>
    </row>
    <row r="2728">
      <c r="F2728" s="50"/>
      <c r="G2728" s="50"/>
      <c r="H2728" s="50"/>
      <c r="I2728" s="50"/>
    </row>
    <row r="2729">
      <c r="F2729" s="50"/>
      <c r="G2729" s="50"/>
      <c r="H2729" s="50"/>
      <c r="I2729" s="50"/>
    </row>
    <row r="2730">
      <c r="F2730" s="50"/>
      <c r="G2730" s="50"/>
      <c r="H2730" s="50"/>
      <c r="I2730" s="50"/>
    </row>
    <row r="2731">
      <c r="F2731" s="50"/>
      <c r="G2731" s="50"/>
      <c r="H2731" s="50"/>
      <c r="I2731" s="50"/>
    </row>
    <row r="2732">
      <c r="F2732" s="50"/>
      <c r="G2732" s="50"/>
      <c r="H2732" s="50"/>
      <c r="I2732" s="50"/>
    </row>
    <row r="2733">
      <c r="F2733" s="50"/>
      <c r="G2733" s="50"/>
      <c r="H2733" s="50"/>
      <c r="I2733" s="50"/>
    </row>
    <row r="2734">
      <c r="F2734" s="50"/>
      <c r="G2734" s="50"/>
      <c r="H2734" s="50"/>
      <c r="I2734" s="50"/>
    </row>
    <row r="2735">
      <c r="F2735" s="50"/>
      <c r="G2735" s="50"/>
      <c r="H2735" s="50"/>
      <c r="I2735" s="50"/>
    </row>
    <row r="2736">
      <c r="F2736" s="50"/>
      <c r="G2736" s="50"/>
      <c r="H2736" s="50"/>
      <c r="I2736" s="50"/>
    </row>
    <row r="2737">
      <c r="F2737" s="50"/>
      <c r="G2737" s="50"/>
      <c r="H2737" s="50"/>
      <c r="I2737" s="50"/>
    </row>
    <row r="2738">
      <c r="F2738" s="50"/>
      <c r="G2738" s="50"/>
      <c r="H2738" s="50"/>
      <c r="I2738" s="50"/>
    </row>
    <row r="2739">
      <c r="F2739" s="50"/>
      <c r="G2739" s="50"/>
      <c r="H2739" s="50"/>
      <c r="I2739" s="50"/>
    </row>
    <row r="2740">
      <c r="F2740" s="50"/>
      <c r="G2740" s="50"/>
      <c r="H2740" s="50"/>
      <c r="I2740" s="50"/>
    </row>
    <row r="2741">
      <c r="F2741" s="50"/>
      <c r="G2741" s="50"/>
      <c r="H2741" s="50"/>
      <c r="I2741" s="50"/>
    </row>
    <row r="2742">
      <c r="F2742" s="50"/>
      <c r="G2742" s="50"/>
      <c r="H2742" s="50"/>
      <c r="I2742" s="50"/>
    </row>
    <row r="2743">
      <c r="F2743" s="50"/>
      <c r="G2743" s="50"/>
      <c r="H2743" s="50"/>
      <c r="I2743" s="50"/>
    </row>
    <row r="2744">
      <c r="F2744" s="50"/>
      <c r="G2744" s="50"/>
      <c r="H2744" s="50"/>
      <c r="I2744" s="50"/>
    </row>
    <row r="2745">
      <c r="F2745" s="50"/>
      <c r="G2745" s="50"/>
      <c r="H2745" s="50"/>
      <c r="I2745" s="50"/>
    </row>
    <row r="2746">
      <c r="F2746" s="50"/>
      <c r="G2746" s="50"/>
      <c r="H2746" s="50"/>
      <c r="I2746" s="50"/>
    </row>
    <row r="2747">
      <c r="F2747" s="50"/>
      <c r="G2747" s="50"/>
      <c r="H2747" s="50"/>
      <c r="I2747" s="50"/>
    </row>
    <row r="2748">
      <c r="F2748" s="50"/>
      <c r="G2748" s="50"/>
      <c r="H2748" s="50"/>
      <c r="I2748" s="50"/>
    </row>
    <row r="2749">
      <c r="F2749" s="50"/>
      <c r="G2749" s="50"/>
      <c r="H2749" s="50"/>
      <c r="I2749" s="50"/>
    </row>
    <row r="2750">
      <c r="F2750" s="50"/>
      <c r="G2750" s="50"/>
      <c r="H2750" s="50"/>
      <c r="I2750" s="50"/>
    </row>
    <row r="2751">
      <c r="F2751" s="50"/>
      <c r="G2751" s="50"/>
      <c r="H2751" s="50"/>
      <c r="I2751" s="50"/>
    </row>
    <row r="2752">
      <c r="F2752" s="50"/>
      <c r="G2752" s="50"/>
      <c r="H2752" s="50"/>
      <c r="I2752" s="50"/>
    </row>
    <row r="2753">
      <c r="F2753" s="50"/>
      <c r="G2753" s="50"/>
      <c r="H2753" s="50"/>
      <c r="I2753" s="50"/>
    </row>
    <row r="2754">
      <c r="F2754" s="50"/>
      <c r="G2754" s="50"/>
      <c r="H2754" s="50"/>
      <c r="I2754" s="50"/>
    </row>
    <row r="2755">
      <c r="F2755" s="50"/>
      <c r="G2755" s="50"/>
      <c r="H2755" s="50"/>
      <c r="I2755" s="50"/>
    </row>
    <row r="2756">
      <c r="F2756" s="50"/>
      <c r="G2756" s="50"/>
      <c r="H2756" s="50"/>
      <c r="I2756" s="50"/>
    </row>
    <row r="2757">
      <c r="F2757" s="50"/>
      <c r="G2757" s="50"/>
      <c r="H2757" s="50"/>
      <c r="I2757" s="50"/>
    </row>
    <row r="2758">
      <c r="F2758" s="50"/>
      <c r="G2758" s="50"/>
      <c r="H2758" s="50"/>
      <c r="I2758" s="50"/>
    </row>
    <row r="2759">
      <c r="F2759" s="50"/>
      <c r="G2759" s="50"/>
      <c r="H2759" s="50"/>
      <c r="I2759" s="50"/>
    </row>
    <row r="2760">
      <c r="F2760" s="50"/>
      <c r="G2760" s="50"/>
      <c r="H2760" s="50"/>
      <c r="I2760" s="50"/>
    </row>
    <row r="2761">
      <c r="F2761" s="50"/>
      <c r="G2761" s="50"/>
      <c r="H2761" s="50"/>
      <c r="I2761" s="50"/>
    </row>
    <row r="2762">
      <c r="F2762" s="50"/>
      <c r="G2762" s="50"/>
      <c r="H2762" s="50"/>
      <c r="I2762" s="50"/>
    </row>
    <row r="2763">
      <c r="F2763" s="50"/>
      <c r="G2763" s="50"/>
      <c r="H2763" s="50"/>
      <c r="I2763" s="50"/>
    </row>
    <row r="2764">
      <c r="F2764" s="50"/>
      <c r="G2764" s="50"/>
      <c r="H2764" s="50"/>
      <c r="I2764" s="50"/>
    </row>
    <row r="2765">
      <c r="F2765" s="50"/>
      <c r="G2765" s="50"/>
      <c r="H2765" s="50"/>
      <c r="I2765" s="50"/>
    </row>
    <row r="2766">
      <c r="F2766" s="50"/>
      <c r="G2766" s="50"/>
      <c r="H2766" s="50"/>
      <c r="I2766" s="50"/>
    </row>
    <row r="2767">
      <c r="F2767" s="50"/>
      <c r="G2767" s="50"/>
      <c r="H2767" s="50"/>
      <c r="I2767" s="50"/>
    </row>
    <row r="2768">
      <c r="F2768" s="50"/>
      <c r="G2768" s="50"/>
      <c r="H2768" s="50"/>
      <c r="I2768" s="50"/>
    </row>
    <row r="2769">
      <c r="F2769" s="50"/>
      <c r="G2769" s="50"/>
      <c r="H2769" s="50"/>
      <c r="I2769" s="50"/>
    </row>
    <row r="2770">
      <c r="F2770" s="50"/>
      <c r="G2770" s="50"/>
      <c r="H2770" s="50"/>
      <c r="I2770" s="50"/>
    </row>
    <row r="2771">
      <c r="F2771" s="50"/>
      <c r="G2771" s="50"/>
      <c r="H2771" s="50"/>
      <c r="I2771" s="50"/>
    </row>
    <row r="2772">
      <c r="F2772" s="50"/>
      <c r="G2772" s="50"/>
      <c r="H2772" s="50"/>
      <c r="I2772" s="50"/>
    </row>
    <row r="2773">
      <c r="F2773" s="50"/>
      <c r="G2773" s="50"/>
      <c r="H2773" s="50"/>
      <c r="I2773" s="50"/>
    </row>
    <row r="2774">
      <c r="F2774" s="50"/>
      <c r="G2774" s="50"/>
      <c r="H2774" s="50"/>
      <c r="I2774" s="50"/>
    </row>
    <row r="2775">
      <c r="F2775" s="50"/>
      <c r="G2775" s="50"/>
      <c r="H2775" s="50"/>
      <c r="I2775" s="50"/>
    </row>
    <row r="2776">
      <c r="F2776" s="50"/>
      <c r="G2776" s="50"/>
      <c r="H2776" s="50"/>
      <c r="I2776" s="50"/>
    </row>
    <row r="2777">
      <c r="F2777" s="50"/>
      <c r="G2777" s="50"/>
      <c r="H2777" s="50"/>
      <c r="I2777" s="50"/>
    </row>
    <row r="2778">
      <c r="F2778" s="50"/>
      <c r="G2778" s="50"/>
      <c r="H2778" s="50"/>
      <c r="I2778" s="50"/>
    </row>
    <row r="2779">
      <c r="F2779" s="50"/>
      <c r="G2779" s="50"/>
      <c r="H2779" s="50"/>
      <c r="I2779" s="50"/>
    </row>
    <row r="2780">
      <c r="F2780" s="50"/>
      <c r="G2780" s="50"/>
      <c r="H2780" s="50"/>
      <c r="I2780" s="50"/>
    </row>
    <row r="2781">
      <c r="F2781" s="50"/>
      <c r="G2781" s="50"/>
      <c r="H2781" s="50"/>
      <c r="I2781" s="50"/>
    </row>
    <row r="2782">
      <c r="F2782" s="50"/>
      <c r="G2782" s="50"/>
      <c r="H2782" s="50"/>
      <c r="I2782" s="50"/>
    </row>
    <row r="2783">
      <c r="F2783" s="50"/>
      <c r="G2783" s="50"/>
      <c r="H2783" s="50"/>
      <c r="I2783" s="50"/>
    </row>
    <row r="2784">
      <c r="F2784" s="50"/>
      <c r="G2784" s="50"/>
      <c r="H2784" s="50"/>
      <c r="I2784" s="50"/>
    </row>
    <row r="2785">
      <c r="F2785" s="50"/>
      <c r="G2785" s="50"/>
      <c r="H2785" s="50"/>
      <c r="I2785" s="50"/>
    </row>
    <row r="2786">
      <c r="F2786" s="50"/>
      <c r="G2786" s="50"/>
      <c r="H2786" s="50"/>
      <c r="I2786" s="50"/>
    </row>
    <row r="2787">
      <c r="F2787" s="50"/>
      <c r="G2787" s="50"/>
      <c r="H2787" s="50"/>
      <c r="I2787" s="50"/>
    </row>
    <row r="2788">
      <c r="F2788" s="50"/>
      <c r="G2788" s="50"/>
      <c r="H2788" s="50"/>
      <c r="I2788" s="50"/>
    </row>
    <row r="2789">
      <c r="F2789" s="50"/>
      <c r="G2789" s="50"/>
      <c r="H2789" s="50"/>
      <c r="I2789" s="50"/>
    </row>
    <row r="2790">
      <c r="F2790" s="50"/>
      <c r="G2790" s="50"/>
      <c r="H2790" s="50"/>
      <c r="I2790" s="50"/>
    </row>
    <row r="2791">
      <c r="F2791" s="50"/>
      <c r="G2791" s="50"/>
      <c r="H2791" s="50"/>
      <c r="I2791" s="50"/>
    </row>
    <row r="2792">
      <c r="F2792" s="50"/>
      <c r="G2792" s="50"/>
      <c r="H2792" s="50"/>
      <c r="I2792" s="50"/>
    </row>
    <row r="2793">
      <c r="F2793" s="50"/>
      <c r="G2793" s="50"/>
      <c r="H2793" s="50"/>
      <c r="I2793" s="50"/>
    </row>
    <row r="2794">
      <c r="F2794" s="50"/>
      <c r="G2794" s="50"/>
      <c r="H2794" s="50"/>
      <c r="I2794" s="50"/>
    </row>
    <row r="2795">
      <c r="F2795" s="50"/>
      <c r="G2795" s="50"/>
      <c r="H2795" s="50"/>
      <c r="I2795" s="50"/>
    </row>
    <row r="2796">
      <c r="F2796" s="50"/>
      <c r="G2796" s="50"/>
      <c r="H2796" s="50"/>
      <c r="I2796" s="50"/>
    </row>
    <row r="2797">
      <c r="F2797" s="50"/>
      <c r="G2797" s="50"/>
      <c r="H2797" s="50"/>
      <c r="I2797" s="50"/>
    </row>
    <row r="2798">
      <c r="F2798" s="50"/>
      <c r="G2798" s="50"/>
      <c r="H2798" s="50"/>
      <c r="I2798" s="50"/>
    </row>
    <row r="2799">
      <c r="F2799" s="50"/>
      <c r="G2799" s="50"/>
      <c r="H2799" s="50"/>
      <c r="I2799" s="50"/>
    </row>
    <row r="2800">
      <c r="F2800" s="50"/>
      <c r="G2800" s="50"/>
      <c r="H2800" s="50"/>
      <c r="I2800" s="50"/>
    </row>
    <row r="2801">
      <c r="F2801" s="50"/>
      <c r="G2801" s="50"/>
      <c r="H2801" s="50"/>
      <c r="I2801" s="50"/>
    </row>
    <row r="2802">
      <c r="F2802" s="50"/>
      <c r="G2802" s="50"/>
      <c r="H2802" s="50"/>
      <c r="I2802" s="50"/>
    </row>
    <row r="2803">
      <c r="F2803" s="50"/>
      <c r="G2803" s="50"/>
      <c r="H2803" s="50"/>
      <c r="I2803" s="50"/>
    </row>
    <row r="2804">
      <c r="F2804" s="50"/>
      <c r="G2804" s="50"/>
      <c r="H2804" s="50"/>
      <c r="I2804" s="50"/>
    </row>
    <row r="2805">
      <c r="F2805" s="50"/>
      <c r="G2805" s="50"/>
      <c r="H2805" s="50"/>
      <c r="I2805" s="50"/>
    </row>
    <row r="2806">
      <c r="F2806" s="50"/>
      <c r="G2806" s="50"/>
      <c r="H2806" s="50"/>
      <c r="I2806" s="50"/>
    </row>
    <row r="2807">
      <c r="F2807" s="50"/>
      <c r="G2807" s="50"/>
      <c r="H2807" s="50"/>
      <c r="I2807" s="50"/>
    </row>
    <row r="2808">
      <c r="F2808" s="50"/>
      <c r="G2808" s="50"/>
      <c r="H2808" s="50"/>
      <c r="I2808" s="50"/>
    </row>
    <row r="2809">
      <c r="F2809" s="50"/>
      <c r="G2809" s="50"/>
      <c r="H2809" s="50"/>
      <c r="I2809" s="50"/>
    </row>
    <row r="2810">
      <c r="F2810" s="50"/>
      <c r="G2810" s="50"/>
      <c r="H2810" s="50"/>
      <c r="I2810" s="50"/>
    </row>
    <row r="2811">
      <c r="F2811" s="50"/>
      <c r="G2811" s="50"/>
      <c r="H2811" s="50"/>
      <c r="I2811" s="50"/>
    </row>
    <row r="2812">
      <c r="F2812" s="50"/>
      <c r="G2812" s="50"/>
      <c r="H2812" s="50"/>
      <c r="I2812" s="50"/>
    </row>
    <row r="2813">
      <c r="F2813" s="50"/>
      <c r="G2813" s="50"/>
      <c r="H2813" s="50"/>
      <c r="I2813" s="50"/>
    </row>
    <row r="2814">
      <c r="F2814" s="50"/>
      <c r="G2814" s="50"/>
      <c r="H2814" s="50"/>
      <c r="I2814" s="50"/>
    </row>
    <row r="2815">
      <c r="F2815" s="50"/>
      <c r="G2815" s="50"/>
      <c r="H2815" s="50"/>
      <c r="I2815" s="50"/>
    </row>
    <row r="2816">
      <c r="F2816" s="50"/>
      <c r="G2816" s="50"/>
      <c r="H2816" s="50"/>
      <c r="I2816" s="50"/>
    </row>
    <row r="2817">
      <c r="F2817" s="50"/>
      <c r="G2817" s="50"/>
      <c r="H2817" s="50"/>
      <c r="I2817" s="50"/>
    </row>
    <row r="2818">
      <c r="F2818" s="50"/>
      <c r="G2818" s="50"/>
      <c r="H2818" s="50"/>
      <c r="I2818" s="50"/>
    </row>
    <row r="2819">
      <c r="F2819" s="50"/>
      <c r="G2819" s="50"/>
      <c r="H2819" s="50"/>
      <c r="I2819" s="50"/>
    </row>
    <row r="2820">
      <c r="F2820" s="50"/>
      <c r="G2820" s="50"/>
      <c r="H2820" s="50"/>
      <c r="I2820" s="50"/>
    </row>
    <row r="2821">
      <c r="F2821" s="50"/>
      <c r="G2821" s="50"/>
      <c r="H2821" s="50"/>
      <c r="I2821" s="50"/>
    </row>
    <row r="2822">
      <c r="F2822" s="50"/>
      <c r="G2822" s="50"/>
      <c r="H2822" s="50"/>
      <c r="I2822" s="50"/>
    </row>
    <row r="2823">
      <c r="F2823" s="50"/>
      <c r="G2823" s="50"/>
      <c r="H2823" s="50"/>
      <c r="I2823" s="50"/>
    </row>
    <row r="2824">
      <c r="F2824" s="50"/>
      <c r="G2824" s="50"/>
      <c r="H2824" s="50"/>
      <c r="I2824" s="50"/>
    </row>
    <row r="2825">
      <c r="F2825" s="50"/>
      <c r="G2825" s="50"/>
      <c r="H2825" s="50"/>
      <c r="I2825" s="50"/>
    </row>
    <row r="2826">
      <c r="F2826" s="50"/>
      <c r="G2826" s="50"/>
      <c r="H2826" s="50"/>
      <c r="I2826" s="50"/>
    </row>
    <row r="2827">
      <c r="F2827" s="50"/>
      <c r="G2827" s="50"/>
      <c r="H2827" s="50"/>
      <c r="I2827" s="50"/>
    </row>
    <row r="2828">
      <c r="F2828" s="50"/>
      <c r="G2828" s="50"/>
      <c r="H2828" s="50"/>
      <c r="I2828" s="50"/>
    </row>
    <row r="2829">
      <c r="F2829" s="50"/>
      <c r="G2829" s="50"/>
      <c r="H2829" s="50"/>
      <c r="I2829" s="50"/>
    </row>
    <row r="2830">
      <c r="F2830" s="50"/>
      <c r="G2830" s="50"/>
      <c r="H2830" s="50"/>
      <c r="I2830" s="50"/>
    </row>
    <row r="2831">
      <c r="F2831" s="50"/>
      <c r="G2831" s="50"/>
      <c r="H2831" s="50"/>
      <c r="I2831" s="50"/>
    </row>
    <row r="2832">
      <c r="F2832" s="50"/>
      <c r="G2832" s="50"/>
      <c r="H2832" s="50"/>
      <c r="I2832" s="50"/>
    </row>
    <row r="2833">
      <c r="F2833" s="50"/>
      <c r="G2833" s="50"/>
      <c r="H2833" s="50"/>
      <c r="I2833" s="50"/>
    </row>
    <row r="2834">
      <c r="F2834" s="50"/>
      <c r="G2834" s="50"/>
      <c r="H2834" s="50"/>
      <c r="I2834" s="50"/>
    </row>
    <row r="2835">
      <c r="F2835" s="50"/>
      <c r="G2835" s="50"/>
      <c r="H2835" s="50"/>
      <c r="I2835" s="50"/>
    </row>
    <row r="2836">
      <c r="F2836" s="50"/>
      <c r="G2836" s="50"/>
      <c r="H2836" s="50"/>
      <c r="I2836" s="50"/>
    </row>
    <row r="2837">
      <c r="F2837" s="50"/>
      <c r="G2837" s="50"/>
      <c r="H2837" s="50"/>
      <c r="I2837" s="50"/>
    </row>
    <row r="2838">
      <c r="F2838" s="50"/>
      <c r="G2838" s="50"/>
      <c r="H2838" s="50"/>
      <c r="I2838" s="50"/>
    </row>
    <row r="2839">
      <c r="F2839" s="50"/>
      <c r="G2839" s="50"/>
      <c r="H2839" s="50"/>
      <c r="I2839" s="50"/>
    </row>
    <row r="2840">
      <c r="F2840" s="50"/>
      <c r="G2840" s="50"/>
      <c r="H2840" s="50"/>
      <c r="I2840" s="50"/>
    </row>
    <row r="2841">
      <c r="F2841" s="50"/>
      <c r="G2841" s="50"/>
      <c r="H2841" s="50"/>
      <c r="I2841" s="50"/>
    </row>
    <row r="2842">
      <c r="F2842" s="50"/>
      <c r="G2842" s="50"/>
      <c r="H2842" s="50"/>
      <c r="I2842" s="50"/>
    </row>
    <row r="2843">
      <c r="F2843" s="50"/>
      <c r="G2843" s="50"/>
      <c r="H2843" s="50"/>
      <c r="I2843" s="50"/>
    </row>
    <row r="2844">
      <c r="F2844" s="50"/>
      <c r="G2844" s="50"/>
      <c r="H2844" s="50"/>
      <c r="I2844" s="50"/>
    </row>
    <row r="2845">
      <c r="F2845" s="50"/>
      <c r="G2845" s="50"/>
      <c r="H2845" s="50"/>
      <c r="I2845" s="50"/>
    </row>
    <row r="2846">
      <c r="F2846" s="50"/>
      <c r="G2846" s="50"/>
      <c r="H2846" s="50"/>
      <c r="I2846" s="50"/>
    </row>
    <row r="2847">
      <c r="F2847" s="50"/>
      <c r="G2847" s="50"/>
      <c r="H2847" s="50"/>
      <c r="I2847" s="50"/>
    </row>
    <row r="2848">
      <c r="F2848" s="50"/>
      <c r="G2848" s="50"/>
      <c r="H2848" s="50"/>
      <c r="I2848" s="50"/>
    </row>
    <row r="2849">
      <c r="F2849" s="50"/>
      <c r="G2849" s="50"/>
      <c r="H2849" s="50"/>
      <c r="I2849" s="50"/>
    </row>
    <row r="2850">
      <c r="F2850" s="50"/>
      <c r="G2850" s="50"/>
      <c r="H2850" s="50"/>
      <c r="I2850" s="50"/>
    </row>
    <row r="2851">
      <c r="F2851" s="50"/>
      <c r="G2851" s="50"/>
      <c r="H2851" s="50"/>
      <c r="I2851" s="50"/>
    </row>
    <row r="2852">
      <c r="F2852" s="50"/>
      <c r="G2852" s="50"/>
      <c r="H2852" s="50"/>
      <c r="I2852" s="50"/>
    </row>
    <row r="2853">
      <c r="F2853" s="50"/>
      <c r="G2853" s="50"/>
      <c r="H2853" s="50"/>
      <c r="I2853" s="50"/>
    </row>
    <row r="2854">
      <c r="F2854" s="50"/>
      <c r="G2854" s="50"/>
      <c r="H2854" s="50"/>
      <c r="I2854" s="50"/>
    </row>
    <row r="2855">
      <c r="F2855" s="50"/>
      <c r="G2855" s="50"/>
      <c r="H2855" s="50"/>
      <c r="I2855" s="50"/>
    </row>
    <row r="2856">
      <c r="F2856" s="50"/>
      <c r="G2856" s="50"/>
      <c r="H2856" s="50"/>
      <c r="I2856" s="50"/>
    </row>
    <row r="2857">
      <c r="F2857" s="50"/>
      <c r="G2857" s="50"/>
      <c r="H2857" s="50"/>
      <c r="I2857" s="50"/>
    </row>
    <row r="2858">
      <c r="F2858" s="50"/>
      <c r="G2858" s="50"/>
      <c r="H2858" s="50"/>
      <c r="I2858" s="50"/>
    </row>
    <row r="2859">
      <c r="F2859" s="50"/>
      <c r="G2859" s="50"/>
      <c r="H2859" s="50"/>
      <c r="I2859" s="50"/>
    </row>
    <row r="2860">
      <c r="F2860" s="50"/>
      <c r="G2860" s="50"/>
      <c r="H2860" s="50"/>
      <c r="I2860" s="50"/>
    </row>
    <row r="2861">
      <c r="F2861" s="50"/>
      <c r="G2861" s="50"/>
      <c r="H2861" s="50"/>
      <c r="I2861" s="50"/>
    </row>
    <row r="2862">
      <c r="F2862" s="50"/>
      <c r="G2862" s="50"/>
      <c r="H2862" s="50"/>
      <c r="I2862" s="50"/>
    </row>
    <row r="2863">
      <c r="F2863" s="50"/>
      <c r="G2863" s="50"/>
      <c r="H2863" s="50"/>
      <c r="I2863" s="50"/>
    </row>
    <row r="2864">
      <c r="F2864" s="50"/>
      <c r="G2864" s="50"/>
      <c r="H2864" s="50"/>
      <c r="I2864" s="50"/>
    </row>
    <row r="2865">
      <c r="F2865" s="50"/>
      <c r="G2865" s="50"/>
      <c r="H2865" s="50"/>
      <c r="I2865" s="50"/>
    </row>
    <row r="2866">
      <c r="F2866" s="50"/>
      <c r="G2866" s="50"/>
      <c r="H2866" s="50"/>
      <c r="I2866" s="50"/>
    </row>
    <row r="2867">
      <c r="F2867" s="50"/>
      <c r="G2867" s="50"/>
      <c r="H2867" s="50"/>
      <c r="I2867" s="50"/>
    </row>
    <row r="2868">
      <c r="F2868" s="50"/>
      <c r="G2868" s="50"/>
      <c r="H2868" s="50"/>
      <c r="I2868" s="50"/>
    </row>
    <row r="2869">
      <c r="F2869" s="50"/>
      <c r="G2869" s="50"/>
      <c r="H2869" s="50"/>
      <c r="I2869" s="50"/>
    </row>
    <row r="2870">
      <c r="F2870" s="50"/>
      <c r="G2870" s="50"/>
      <c r="H2870" s="50"/>
      <c r="I2870" s="50"/>
    </row>
    <row r="2871">
      <c r="F2871" s="50"/>
      <c r="G2871" s="50"/>
      <c r="H2871" s="50"/>
      <c r="I2871" s="50"/>
    </row>
    <row r="2872">
      <c r="F2872" s="50"/>
      <c r="G2872" s="50"/>
      <c r="H2872" s="50"/>
      <c r="I2872" s="50"/>
    </row>
    <row r="2873">
      <c r="F2873" s="50"/>
      <c r="G2873" s="50"/>
      <c r="H2873" s="50"/>
      <c r="I2873" s="50"/>
    </row>
    <row r="2874">
      <c r="F2874" s="50"/>
      <c r="G2874" s="50"/>
      <c r="H2874" s="50"/>
      <c r="I2874" s="50"/>
    </row>
    <row r="2875">
      <c r="F2875" s="50"/>
      <c r="G2875" s="50"/>
      <c r="H2875" s="50"/>
      <c r="I2875" s="50"/>
    </row>
    <row r="2876">
      <c r="F2876" s="50"/>
      <c r="G2876" s="50"/>
      <c r="H2876" s="50"/>
      <c r="I2876" s="50"/>
    </row>
    <row r="2877">
      <c r="F2877" s="50"/>
      <c r="G2877" s="50"/>
      <c r="H2877" s="50"/>
      <c r="I2877" s="50"/>
    </row>
    <row r="2878">
      <c r="F2878" s="50"/>
      <c r="G2878" s="50"/>
      <c r="H2878" s="50"/>
      <c r="I2878" s="50"/>
    </row>
    <row r="2879">
      <c r="F2879" s="50"/>
      <c r="G2879" s="50"/>
      <c r="H2879" s="50"/>
      <c r="I2879" s="50"/>
    </row>
    <row r="2880">
      <c r="F2880" s="50"/>
      <c r="G2880" s="50"/>
      <c r="H2880" s="50"/>
      <c r="I2880" s="50"/>
    </row>
    <row r="2881">
      <c r="F2881" s="50"/>
      <c r="G2881" s="50"/>
      <c r="H2881" s="50"/>
      <c r="I2881" s="50"/>
    </row>
    <row r="2882">
      <c r="F2882" s="50"/>
      <c r="G2882" s="50"/>
      <c r="H2882" s="50"/>
      <c r="I2882" s="50"/>
    </row>
    <row r="2883">
      <c r="F2883" s="50"/>
      <c r="G2883" s="50"/>
      <c r="H2883" s="50"/>
      <c r="I2883" s="50"/>
    </row>
    <row r="2884">
      <c r="F2884" s="50"/>
      <c r="G2884" s="50"/>
      <c r="H2884" s="50"/>
      <c r="I2884" s="50"/>
    </row>
    <row r="2885">
      <c r="F2885" s="50"/>
      <c r="G2885" s="50"/>
      <c r="H2885" s="50"/>
      <c r="I2885" s="50"/>
    </row>
    <row r="2886">
      <c r="F2886" s="50"/>
      <c r="G2886" s="50"/>
      <c r="H2886" s="50"/>
      <c r="I2886" s="50"/>
    </row>
    <row r="2887">
      <c r="F2887" s="50"/>
      <c r="G2887" s="50"/>
      <c r="H2887" s="50"/>
      <c r="I2887" s="50"/>
    </row>
    <row r="2888">
      <c r="F2888" s="50"/>
      <c r="G2888" s="50"/>
      <c r="H2888" s="50"/>
      <c r="I2888" s="50"/>
    </row>
    <row r="2889">
      <c r="F2889" s="50"/>
      <c r="G2889" s="50"/>
      <c r="H2889" s="50"/>
      <c r="I2889" s="50"/>
    </row>
    <row r="2890">
      <c r="F2890" s="50"/>
      <c r="G2890" s="50"/>
      <c r="H2890" s="50"/>
      <c r="I2890" s="50"/>
    </row>
    <row r="2891">
      <c r="F2891" s="50"/>
      <c r="G2891" s="50"/>
      <c r="H2891" s="50"/>
      <c r="I2891" s="50"/>
    </row>
    <row r="2892">
      <c r="F2892" s="50"/>
      <c r="G2892" s="50"/>
      <c r="H2892" s="50"/>
      <c r="I2892" s="50"/>
    </row>
    <row r="2893">
      <c r="F2893" s="50"/>
      <c r="G2893" s="50"/>
      <c r="H2893" s="50"/>
      <c r="I2893" s="50"/>
    </row>
    <row r="2894">
      <c r="F2894" s="50"/>
      <c r="G2894" s="50"/>
      <c r="H2894" s="50"/>
      <c r="I2894" s="50"/>
    </row>
    <row r="2895">
      <c r="F2895" s="50"/>
      <c r="G2895" s="50"/>
      <c r="H2895" s="50"/>
      <c r="I2895" s="50"/>
    </row>
    <row r="2896">
      <c r="F2896" s="50"/>
      <c r="G2896" s="50"/>
      <c r="H2896" s="50"/>
      <c r="I2896" s="50"/>
    </row>
    <row r="2897">
      <c r="F2897" s="50"/>
      <c r="G2897" s="50"/>
      <c r="H2897" s="50"/>
      <c r="I2897" s="50"/>
    </row>
    <row r="2898">
      <c r="F2898" s="50"/>
      <c r="G2898" s="50"/>
      <c r="H2898" s="50"/>
      <c r="I2898" s="50"/>
    </row>
    <row r="2899">
      <c r="F2899" s="50"/>
      <c r="G2899" s="50"/>
      <c r="H2899" s="50"/>
      <c r="I2899" s="50"/>
    </row>
    <row r="2900">
      <c r="F2900" s="50"/>
      <c r="G2900" s="50"/>
      <c r="H2900" s="50"/>
      <c r="I2900" s="50"/>
    </row>
    <row r="2901">
      <c r="F2901" s="50"/>
      <c r="G2901" s="50"/>
      <c r="H2901" s="50"/>
      <c r="I2901" s="50"/>
    </row>
    <row r="2902">
      <c r="F2902" s="50"/>
      <c r="G2902" s="50"/>
      <c r="H2902" s="50"/>
      <c r="I2902" s="50"/>
    </row>
    <row r="2903">
      <c r="F2903" s="50"/>
      <c r="G2903" s="50"/>
      <c r="H2903" s="50"/>
      <c r="I2903" s="50"/>
    </row>
    <row r="2904">
      <c r="F2904" s="50"/>
      <c r="G2904" s="50"/>
      <c r="H2904" s="50"/>
      <c r="I2904" s="50"/>
    </row>
    <row r="2905">
      <c r="F2905" s="50"/>
      <c r="G2905" s="50"/>
      <c r="H2905" s="50"/>
      <c r="I2905" s="50"/>
    </row>
    <row r="2906">
      <c r="F2906" s="50"/>
      <c r="G2906" s="50"/>
      <c r="H2906" s="50"/>
      <c r="I2906" s="50"/>
    </row>
    <row r="2907">
      <c r="F2907" s="50"/>
      <c r="G2907" s="50"/>
      <c r="H2907" s="50"/>
      <c r="I2907" s="50"/>
    </row>
    <row r="2908">
      <c r="F2908" s="50"/>
      <c r="G2908" s="50"/>
      <c r="H2908" s="50"/>
      <c r="I2908" s="50"/>
    </row>
    <row r="2909">
      <c r="F2909" s="50"/>
      <c r="G2909" s="50"/>
      <c r="H2909" s="50"/>
      <c r="I2909" s="50"/>
    </row>
    <row r="2910">
      <c r="F2910" s="50"/>
      <c r="G2910" s="50"/>
      <c r="H2910" s="50"/>
      <c r="I2910" s="50"/>
    </row>
    <row r="2911">
      <c r="F2911" s="50"/>
      <c r="G2911" s="50"/>
      <c r="H2911" s="50"/>
      <c r="I2911" s="50"/>
    </row>
    <row r="2912">
      <c r="F2912" s="50"/>
      <c r="G2912" s="50"/>
      <c r="H2912" s="50"/>
      <c r="I2912" s="50"/>
    </row>
    <row r="2913">
      <c r="F2913" s="50"/>
      <c r="G2913" s="50"/>
      <c r="H2913" s="50"/>
      <c r="I2913" s="50"/>
    </row>
    <row r="2914">
      <c r="F2914" s="50"/>
      <c r="G2914" s="50"/>
      <c r="H2914" s="50"/>
      <c r="I2914" s="50"/>
    </row>
    <row r="2915">
      <c r="F2915" s="50"/>
      <c r="G2915" s="50"/>
      <c r="H2915" s="50"/>
      <c r="I2915" s="50"/>
    </row>
    <row r="2916">
      <c r="F2916" s="50"/>
      <c r="G2916" s="50"/>
      <c r="H2916" s="50"/>
      <c r="I2916" s="50"/>
    </row>
    <row r="2917">
      <c r="F2917" s="50"/>
      <c r="G2917" s="50"/>
      <c r="H2917" s="50"/>
      <c r="I2917" s="50"/>
    </row>
    <row r="2918">
      <c r="F2918" s="50"/>
      <c r="G2918" s="50"/>
      <c r="H2918" s="50"/>
      <c r="I2918" s="50"/>
    </row>
    <row r="2919">
      <c r="F2919" s="50"/>
      <c r="G2919" s="50"/>
      <c r="H2919" s="50"/>
      <c r="I2919" s="50"/>
    </row>
    <row r="2920">
      <c r="F2920" s="50"/>
      <c r="G2920" s="50"/>
      <c r="H2920" s="50"/>
      <c r="I2920" s="50"/>
    </row>
    <row r="2921">
      <c r="F2921" s="50"/>
      <c r="G2921" s="50"/>
      <c r="H2921" s="50"/>
      <c r="I2921" s="50"/>
    </row>
    <row r="2922">
      <c r="F2922" s="50"/>
      <c r="G2922" s="50"/>
      <c r="H2922" s="50"/>
      <c r="I2922" s="50"/>
    </row>
    <row r="2923">
      <c r="F2923" s="50"/>
      <c r="G2923" s="50"/>
      <c r="H2923" s="50"/>
      <c r="I2923" s="50"/>
    </row>
    <row r="2924">
      <c r="F2924" s="50"/>
      <c r="G2924" s="50"/>
      <c r="H2924" s="50"/>
      <c r="I2924" s="50"/>
    </row>
    <row r="2925">
      <c r="F2925" s="50"/>
      <c r="G2925" s="50"/>
      <c r="H2925" s="50"/>
      <c r="I2925" s="50"/>
    </row>
    <row r="2926">
      <c r="F2926" s="50"/>
      <c r="G2926" s="50"/>
      <c r="H2926" s="50"/>
      <c r="I2926" s="50"/>
    </row>
    <row r="2927">
      <c r="F2927" s="50"/>
      <c r="G2927" s="50"/>
      <c r="H2927" s="50"/>
      <c r="I2927" s="50"/>
    </row>
    <row r="2928">
      <c r="F2928" s="50"/>
      <c r="G2928" s="50"/>
      <c r="H2928" s="50"/>
      <c r="I2928" s="50"/>
    </row>
    <row r="2929">
      <c r="F2929" s="50"/>
      <c r="G2929" s="50"/>
      <c r="H2929" s="50"/>
      <c r="I2929" s="50"/>
    </row>
    <row r="2930">
      <c r="F2930" s="50"/>
      <c r="G2930" s="50"/>
      <c r="H2930" s="50"/>
      <c r="I2930" s="50"/>
    </row>
    <row r="2931">
      <c r="F2931" s="50"/>
      <c r="G2931" s="50"/>
      <c r="H2931" s="50"/>
      <c r="I2931" s="50"/>
    </row>
    <row r="2932">
      <c r="F2932" s="50"/>
      <c r="G2932" s="50"/>
      <c r="H2932" s="50"/>
      <c r="I2932" s="50"/>
    </row>
    <row r="2933">
      <c r="F2933" s="50"/>
      <c r="G2933" s="50"/>
      <c r="H2933" s="50"/>
      <c r="I2933" s="50"/>
    </row>
    <row r="2934">
      <c r="F2934" s="50"/>
      <c r="G2934" s="50"/>
      <c r="H2934" s="50"/>
      <c r="I2934" s="50"/>
    </row>
    <row r="2935">
      <c r="F2935" s="50"/>
      <c r="G2935" s="50"/>
      <c r="H2935" s="50"/>
      <c r="I2935" s="50"/>
    </row>
    <row r="2936">
      <c r="F2936" s="50"/>
      <c r="G2936" s="50"/>
      <c r="H2936" s="50"/>
      <c r="I2936" s="50"/>
    </row>
    <row r="2937">
      <c r="F2937" s="50"/>
      <c r="G2937" s="50"/>
      <c r="H2937" s="50"/>
      <c r="I2937" s="50"/>
    </row>
    <row r="2938">
      <c r="F2938" s="50"/>
      <c r="G2938" s="50"/>
      <c r="H2938" s="50"/>
      <c r="I2938" s="50"/>
    </row>
    <row r="2939">
      <c r="F2939" s="50"/>
      <c r="G2939" s="50"/>
      <c r="H2939" s="50"/>
      <c r="I2939" s="50"/>
    </row>
    <row r="2940">
      <c r="F2940" s="50"/>
      <c r="G2940" s="50"/>
      <c r="H2940" s="50"/>
      <c r="I2940" s="50"/>
    </row>
    <row r="2941">
      <c r="F2941" s="50"/>
      <c r="G2941" s="50"/>
      <c r="H2941" s="50"/>
      <c r="I2941" s="50"/>
    </row>
    <row r="2942">
      <c r="F2942" s="50"/>
      <c r="G2942" s="50"/>
      <c r="H2942" s="50"/>
      <c r="I2942" s="50"/>
    </row>
    <row r="2943">
      <c r="F2943" s="50"/>
      <c r="G2943" s="50"/>
      <c r="H2943" s="50"/>
      <c r="I2943" s="50"/>
    </row>
    <row r="2944">
      <c r="F2944" s="50"/>
      <c r="G2944" s="50"/>
      <c r="H2944" s="50"/>
      <c r="I2944" s="50"/>
    </row>
    <row r="2945">
      <c r="F2945" s="50"/>
      <c r="G2945" s="50"/>
      <c r="H2945" s="50"/>
      <c r="I2945" s="50"/>
    </row>
    <row r="2946">
      <c r="F2946" s="50"/>
      <c r="G2946" s="50"/>
      <c r="H2946" s="50"/>
      <c r="I2946" s="50"/>
    </row>
    <row r="2947">
      <c r="F2947" s="50"/>
      <c r="G2947" s="50"/>
      <c r="H2947" s="50"/>
      <c r="I2947" s="50"/>
    </row>
    <row r="2948">
      <c r="F2948" s="50"/>
      <c r="G2948" s="50"/>
      <c r="H2948" s="50"/>
      <c r="I2948" s="50"/>
    </row>
    <row r="2949">
      <c r="F2949" s="50"/>
      <c r="G2949" s="50"/>
      <c r="H2949" s="50"/>
      <c r="I2949" s="50"/>
    </row>
    <row r="2950">
      <c r="F2950" s="50"/>
      <c r="G2950" s="50"/>
      <c r="H2950" s="50"/>
      <c r="I2950" s="50"/>
    </row>
    <row r="2951">
      <c r="F2951" s="50"/>
      <c r="G2951" s="50"/>
      <c r="H2951" s="50"/>
      <c r="I2951" s="50"/>
    </row>
    <row r="2952">
      <c r="F2952" s="50"/>
      <c r="G2952" s="50"/>
      <c r="H2952" s="50"/>
      <c r="I2952" s="50"/>
    </row>
    <row r="2953">
      <c r="F2953" s="50"/>
      <c r="G2953" s="50"/>
      <c r="H2953" s="50"/>
      <c r="I2953" s="50"/>
    </row>
    <row r="2954">
      <c r="F2954" s="50"/>
      <c r="G2954" s="50"/>
      <c r="H2954" s="50"/>
      <c r="I2954" s="50"/>
    </row>
    <row r="2955">
      <c r="F2955" s="50"/>
      <c r="G2955" s="50"/>
      <c r="H2955" s="50"/>
      <c r="I2955" s="50"/>
    </row>
    <row r="2956">
      <c r="F2956" s="50"/>
      <c r="G2956" s="50"/>
      <c r="H2956" s="50"/>
      <c r="I2956" s="50"/>
    </row>
    <row r="2957">
      <c r="F2957" s="50"/>
      <c r="G2957" s="50"/>
      <c r="H2957" s="50"/>
      <c r="I2957" s="50"/>
    </row>
    <row r="2958">
      <c r="F2958" s="50"/>
      <c r="G2958" s="50"/>
      <c r="H2958" s="50"/>
      <c r="I2958" s="50"/>
    </row>
    <row r="2959">
      <c r="F2959" s="50"/>
      <c r="G2959" s="50"/>
      <c r="H2959" s="50"/>
      <c r="I2959" s="50"/>
    </row>
    <row r="2960">
      <c r="F2960" s="50"/>
      <c r="G2960" s="50"/>
      <c r="H2960" s="50"/>
      <c r="I2960" s="50"/>
    </row>
    <row r="2961">
      <c r="F2961" s="50"/>
      <c r="G2961" s="50"/>
      <c r="H2961" s="50"/>
      <c r="I2961" s="50"/>
    </row>
    <row r="2962">
      <c r="F2962" s="50"/>
      <c r="G2962" s="50"/>
      <c r="H2962" s="50"/>
      <c r="I2962" s="50"/>
    </row>
    <row r="2963">
      <c r="F2963" s="50"/>
      <c r="G2963" s="50"/>
      <c r="H2963" s="50"/>
      <c r="I2963" s="50"/>
    </row>
    <row r="2964">
      <c r="F2964" s="50"/>
      <c r="G2964" s="50"/>
      <c r="H2964" s="50"/>
      <c r="I2964" s="50"/>
    </row>
    <row r="2965">
      <c r="F2965" s="50"/>
      <c r="G2965" s="50"/>
      <c r="H2965" s="50"/>
      <c r="I2965" s="50"/>
    </row>
    <row r="2966">
      <c r="F2966" s="50"/>
      <c r="G2966" s="50"/>
      <c r="H2966" s="50"/>
      <c r="I2966" s="50"/>
    </row>
    <row r="2967">
      <c r="F2967" s="50"/>
      <c r="G2967" s="50"/>
      <c r="H2967" s="50"/>
      <c r="I2967" s="50"/>
    </row>
    <row r="2968">
      <c r="F2968" s="50"/>
      <c r="G2968" s="50"/>
      <c r="H2968" s="50"/>
      <c r="I2968" s="50"/>
    </row>
    <row r="2969">
      <c r="F2969" s="50"/>
      <c r="G2969" s="50"/>
      <c r="H2969" s="50"/>
      <c r="I2969" s="50"/>
    </row>
    <row r="2970">
      <c r="F2970" s="50"/>
      <c r="G2970" s="50"/>
      <c r="H2970" s="50"/>
      <c r="I2970" s="50"/>
    </row>
    <row r="2971">
      <c r="F2971" s="50"/>
      <c r="G2971" s="50"/>
      <c r="H2971" s="50"/>
      <c r="I2971" s="50"/>
    </row>
    <row r="2972">
      <c r="F2972" s="50"/>
      <c r="G2972" s="50"/>
      <c r="H2972" s="50"/>
      <c r="I2972" s="50"/>
    </row>
    <row r="2973">
      <c r="F2973" s="50"/>
      <c r="G2973" s="50"/>
      <c r="H2973" s="50"/>
      <c r="I2973" s="50"/>
    </row>
    <row r="2974">
      <c r="F2974" s="50"/>
      <c r="G2974" s="50"/>
      <c r="H2974" s="50"/>
      <c r="I2974" s="50"/>
    </row>
    <row r="2975">
      <c r="F2975" s="50"/>
      <c r="G2975" s="50"/>
      <c r="H2975" s="50"/>
      <c r="I2975" s="50"/>
    </row>
    <row r="2976">
      <c r="F2976" s="50"/>
      <c r="G2976" s="50"/>
      <c r="H2976" s="50"/>
      <c r="I2976" s="50"/>
    </row>
    <row r="2977">
      <c r="F2977" s="50"/>
      <c r="G2977" s="50"/>
      <c r="H2977" s="50"/>
      <c r="I2977" s="50"/>
    </row>
    <row r="2978">
      <c r="F2978" s="50"/>
      <c r="G2978" s="50"/>
      <c r="H2978" s="50"/>
      <c r="I2978" s="50"/>
    </row>
    <row r="2979">
      <c r="F2979" s="50"/>
      <c r="G2979" s="50"/>
      <c r="H2979" s="50"/>
      <c r="I2979" s="50"/>
    </row>
    <row r="2980">
      <c r="F2980" s="50"/>
      <c r="G2980" s="50"/>
      <c r="H2980" s="50"/>
      <c r="I2980" s="50"/>
    </row>
    <row r="2981">
      <c r="F2981" s="50"/>
      <c r="G2981" s="50"/>
      <c r="H2981" s="50"/>
      <c r="I2981" s="50"/>
    </row>
    <row r="2982">
      <c r="F2982" s="50"/>
      <c r="G2982" s="50"/>
      <c r="H2982" s="50"/>
      <c r="I2982" s="50"/>
    </row>
    <row r="2983">
      <c r="F2983" s="50"/>
      <c r="G2983" s="50"/>
      <c r="H2983" s="50"/>
      <c r="I2983" s="50"/>
    </row>
    <row r="2984">
      <c r="F2984" s="50"/>
      <c r="G2984" s="50"/>
      <c r="H2984" s="50"/>
      <c r="I2984" s="50"/>
    </row>
    <row r="2985">
      <c r="F2985" s="50"/>
      <c r="G2985" s="50"/>
      <c r="H2985" s="50"/>
      <c r="I2985" s="50"/>
    </row>
    <row r="2986">
      <c r="F2986" s="50"/>
      <c r="G2986" s="50"/>
      <c r="H2986" s="50"/>
      <c r="I2986" s="50"/>
    </row>
    <row r="2987">
      <c r="F2987" s="50"/>
      <c r="G2987" s="50"/>
      <c r="H2987" s="50"/>
      <c r="I2987" s="50"/>
    </row>
    <row r="2988">
      <c r="F2988" s="50"/>
      <c r="G2988" s="50"/>
      <c r="H2988" s="50"/>
      <c r="I2988" s="50"/>
    </row>
    <row r="2989">
      <c r="F2989" s="50"/>
      <c r="G2989" s="50"/>
      <c r="H2989" s="50"/>
      <c r="I2989" s="50"/>
    </row>
    <row r="2990">
      <c r="F2990" s="50"/>
      <c r="G2990" s="50"/>
      <c r="H2990" s="50"/>
      <c r="I2990" s="50"/>
    </row>
    <row r="2991">
      <c r="F2991" s="50"/>
      <c r="G2991" s="50"/>
      <c r="H2991" s="50"/>
      <c r="I2991" s="50"/>
    </row>
    <row r="2992">
      <c r="F2992" s="50"/>
      <c r="G2992" s="50"/>
      <c r="H2992" s="50"/>
      <c r="I2992" s="50"/>
    </row>
    <row r="2993">
      <c r="F2993" s="50"/>
      <c r="G2993" s="50"/>
      <c r="H2993" s="50"/>
      <c r="I2993" s="50"/>
    </row>
    <row r="2994">
      <c r="F2994" s="50"/>
      <c r="G2994" s="50"/>
      <c r="H2994" s="50"/>
      <c r="I2994" s="50"/>
    </row>
    <row r="2995">
      <c r="F2995" s="50"/>
      <c r="G2995" s="50"/>
      <c r="H2995" s="50"/>
      <c r="I2995" s="50"/>
    </row>
    <row r="2996">
      <c r="F2996" s="50"/>
      <c r="G2996" s="50"/>
      <c r="H2996" s="50"/>
      <c r="I2996" s="50"/>
    </row>
    <row r="2997">
      <c r="F2997" s="50"/>
      <c r="G2997" s="50"/>
      <c r="H2997" s="50"/>
      <c r="I2997" s="50"/>
    </row>
    <row r="2998">
      <c r="H2998" s="50"/>
      <c r="I2998" s="50"/>
    </row>
    <row r="2999">
      <c r="H2999" s="50"/>
      <c r="I2999" s="5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5" max="5" width="38.5"/>
    <col customWidth="1" min="6" max="6" width="14.38"/>
    <col customWidth="1" min="8" max="8" width="23.0"/>
  </cols>
  <sheetData>
    <row r="1" ht="184.5" customHeight="1">
      <c r="A1" s="1" t="s">
        <v>0</v>
      </c>
      <c r="B1" s="47" t="s">
        <v>18</v>
      </c>
      <c r="C1" s="47" t="s">
        <v>19</v>
      </c>
      <c r="E1" s="64" t="s">
        <v>43</v>
      </c>
      <c r="F1" s="65" t="s">
        <v>44</v>
      </c>
      <c r="H1" s="66" t="s">
        <v>45</v>
      </c>
    </row>
    <row r="2">
      <c r="A2" s="16">
        <v>46090.0</v>
      </c>
      <c r="B2" s="44">
        <f>VLOOKUP(A2,'Data preparation'!A:G,7,0)</f>
        <v>-0.01779448622</v>
      </c>
      <c r="C2" s="44">
        <f>VLOOKUP(A2,'Data preparation'!A:I,8,0)</f>
        <v>-0.0147864184</v>
      </c>
      <c r="E2" s="67" t="s">
        <v>46</v>
      </c>
      <c r="F2" s="68" t="s">
        <v>47</v>
      </c>
    </row>
    <row r="3">
      <c r="A3" s="16">
        <v>46083.0</v>
      </c>
      <c r="B3" s="44">
        <f>VLOOKUP(A3,'Data preparation'!A:G,7,0)</f>
        <v>-0.1079812207</v>
      </c>
      <c r="C3" s="44">
        <f>VLOOKUP(A3,'Data preparation'!A:I,8,0)</f>
        <v>-0.07152542373</v>
      </c>
      <c r="E3" s="69"/>
      <c r="F3" s="68" t="s">
        <v>48</v>
      </c>
    </row>
    <row r="4">
      <c r="A4" s="16">
        <v>46076.0</v>
      </c>
      <c r="B4" s="44">
        <f>VLOOKUP(A4,'Data preparation'!A:G,7,0)</f>
        <v>-0.00952170062</v>
      </c>
      <c r="C4" s="44">
        <f>VLOOKUP(A4,'Data preparation'!A:I,8,0)</f>
        <v>-0.004051316678</v>
      </c>
      <c r="E4" s="70" t="s">
        <v>49</v>
      </c>
      <c r="F4" s="71">
        <f>_xlfn.STDEV.S(B:B)</f>
        <v>0.0475809851</v>
      </c>
    </row>
    <row r="5">
      <c r="A5" s="16">
        <v>46069.0</v>
      </c>
      <c r="B5" s="44">
        <f>VLOOKUP(A5,'Data preparation'!A:G,7,0)</f>
        <v>0.01597300337</v>
      </c>
      <c r="C5" s="44">
        <f>VLOOKUP(A5,'Data preparation'!A:I,8,0)</f>
        <v>0.02811523776</v>
      </c>
      <c r="E5" s="70" t="s">
        <v>50</v>
      </c>
      <c r="F5" s="71">
        <f>_xlfn.STDEV.S(C:C)</f>
        <v>0.04575569427</v>
      </c>
    </row>
    <row r="6">
      <c r="A6" s="16">
        <v>46062.0</v>
      </c>
      <c r="B6" s="44">
        <f>VLOOKUP(A6,'Data preparation'!A:G,7,0)</f>
        <v>0.005201266395</v>
      </c>
      <c r="C6" s="44">
        <f>VLOOKUP(A6,'Data preparation'!A:I,8,0)</f>
        <v>-0.01973460361</v>
      </c>
      <c r="E6" s="70" t="s">
        <v>51</v>
      </c>
      <c r="F6" s="71">
        <f>COUNTA(B2:B53)</f>
        <v>52</v>
      </c>
    </row>
    <row r="7">
      <c r="A7" s="16">
        <v>46055.0</v>
      </c>
      <c r="B7" s="44">
        <f>VLOOKUP(A7,'Data preparation'!A:G,7,0)</f>
        <v>0.01166781057</v>
      </c>
      <c r="C7" s="44">
        <f>VLOOKUP(A7,'Data preparation'!A:I,8,0)</f>
        <v>0.01713099152</v>
      </c>
      <c r="E7" s="70" t="s">
        <v>52</v>
      </c>
      <c r="F7" s="71">
        <f>COUNTA(C2:C53)</f>
        <v>52</v>
      </c>
    </row>
    <row r="8">
      <c r="A8" s="16">
        <v>46048.0</v>
      </c>
      <c r="B8" s="44">
        <f>VLOOKUP(A8,'Data preparation'!A:G,7,0)</f>
        <v>-0.002282583885</v>
      </c>
      <c r="C8" s="44">
        <f>VLOOKUP(A8,'Data preparation'!A:I,8,0)</f>
        <v>-0.008747855918</v>
      </c>
      <c r="E8" s="70" t="s">
        <v>53</v>
      </c>
      <c r="F8" s="71">
        <f t="shared" ref="F8:F9" si="1">F4^2</f>
        <v>0.002263950143</v>
      </c>
    </row>
    <row r="9">
      <c r="A9" s="16">
        <v>46041.0</v>
      </c>
      <c r="B9" s="44">
        <f>VLOOKUP(A9,'Data preparation'!A:G,7,0)</f>
        <v>-0.01239855726</v>
      </c>
      <c r="C9" s="44">
        <f>VLOOKUP(A9,'Data preparation'!A:I,8,0)</f>
        <v>-0.008840530432</v>
      </c>
      <c r="E9" s="70" t="s">
        <v>54</v>
      </c>
      <c r="F9" s="71">
        <f t="shared" si="1"/>
        <v>0.002093583558</v>
      </c>
    </row>
    <row r="10">
      <c r="A10" s="16">
        <v>46034.0</v>
      </c>
      <c r="B10" s="44">
        <f>VLOOKUP(A10,'Data preparation'!A:G,7,0)</f>
        <v>-0.03586176918</v>
      </c>
      <c r="C10" s="44">
        <f>VLOOKUP(A10,'Data preparation'!A:I,8,0)</f>
        <v>-0.02567500414</v>
      </c>
      <c r="E10" s="70" t="s">
        <v>55</v>
      </c>
      <c r="F10" s="71">
        <f t="shared" ref="F10:F11" si="2">F6-1</f>
        <v>51</v>
      </c>
    </row>
    <row r="11">
      <c r="A11" s="16">
        <v>46027.0</v>
      </c>
      <c r="B11" s="44">
        <f>VLOOKUP(A11,'Data preparation'!A:G,7,0)</f>
        <v>-0.04464285714</v>
      </c>
      <c r="C11" s="44">
        <f>VLOOKUP(A11,'Data preparation'!A:I,8,0)</f>
        <v>-0.02518973034</v>
      </c>
      <c r="E11" s="70" t="s">
        <v>56</v>
      </c>
      <c r="F11" s="71">
        <f t="shared" si="2"/>
        <v>51</v>
      </c>
    </row>
    <row r="12">
      <c r="A12" s="16">
        <v>46020.0</v>
      </c>
      <c r="B12" s="44">
        <f>VLOOKUP(A12,'Data preparation'!A:G,7,0)</f>
        <v>0.03949924455</v>
      </c>
      <c r="C12" s="44">
        <f>VLOOKUP(A12,'Data preparation'!A:I,8,0)</f>
        <v>0.04435075885</v>
      </c>
      <c r="E12" s="70" t="s">
        <v>57</v>
      </c>
      <c r="F12" s="71">
        <f>F8/F9</f>
        <v>1.081375584</v>
      </c>
    </row>
    <row r="13">
      <c r="A13" s="16">
        <v>46013.0</v>
      </c>
      <c r="B13" s="44">
        <f>VLOOKUP(A13,'Data preparation'!A:G,7,0)</f>
        <v>-0.01025421918</v>
      </c>
      <c r="C13" s="44">
        <f>VLOOKUP(A13,'Data preparation'!A:I,8,0)</f>
        <v>-0.009024064171</v>
      </c>
      <c r="E13" s="70" t="s">
        <v>58</v>
      </c>
      <c r="F13" s="71">
        <f>_xlfn.F.INV.RT(0.05,52,52)</f>
        <v>1.584704897</v>
      </c>
    </row>
    <row r="14">
      <c r="A14" s="16">
        <v>46006.0</v>
      </c>
      <c r="B14" s="44">
        <f>VLOOKUP(A14,'Data preparation'!A:G,7,0)</f>
        <v>-0.0262117745</v>
      </c>
      <c r="C14" s="44">
        <f>VLOOKUP(A14,'Data preparation'!A:I,8,0)</f>
        <v>-0.02998865294</v>
      </c>
      <c r="E14" s="72" t="s">
        <v>59</v>
      </c>
      <c r="F14" s="73">
        <f>_xlfn.F.DIST.RT(F12,F10,F11)</f>
        <v>0.390525455</v>
      </c>
    </row>
    <row r="15">
      <c r="A15" s="16">
        <v>45999.0</v>
      </c>
      <c r="B15" s="44">
        <f>VLOOKUP(A15,'Data preparation'!A:G,7,0)</f>
        <v>-0.00331743728</v>
      </c>
      <c r="C15" s="44">
        <f>VLOOKUP(A15,'Data preparation'!A:I,8,0)</f>
        <v>0.001461038961</v>
      </c>
      <c r="E15" s="70" t="s">
        <v>60</v>
      </c>
      <c r="F15" s="74" t="s">
        <v>61</v>
      </c>
      <c r="G15" s="75" t="s">
        <v>62</v>
      </c>
    </row>
    <row r="16">
      <c r="A16" s="16">
        <v>45992.0</v>
      </c>
      <c r="B16" s="44">
        <f>VLOOKUP(A16,'Data preparation'!A:G,7,0)</f>
        <v>0.09563834621</v>
      </c>
      <c r="C16" s="44">
        <f>VLOOKUP(A16,'Data preparation'!A:I,8,0)</f>
        <v>0.05914718019</v>
      </c>
      <c r="E16" s="70" t="s">
        <v>63</v>
      </c>
      <c r="F16" s="74" t="s">
        <v>64</v>
      </c>
      <c r="G16" s="75" t="s">
        <v>62</v>
      </c>
    </row>
    <row r="17">
      <c r="A17" s="16">
        <v>45985.0</v>
      </c>
      <c r="B17" s="44">
        <f>VLOOKUP(A17,'Data preparation'!A:G,7,0)</f>
        <v>0.03479078514</v>
      </c>
      <c r="C17" s="44">
        <f>VLOOKUP(A17,'Data preparation'!A:I,8,0)</f>
        <v>0.01999298492</v>
      </c>
    </row>
    <row r="18">
      <c r="A18" s="16">
        <v>45978.0</v>
      </c>
      <c r="B18" s="44">
        <f>VLOOKUP(A18,'Data preparation'!A:G,7,0)</f>
        <v>-0.04124408384</v>
      </c>
      <c r="C18" s="44">
        <f>VLOOKUP(A18,'Data preparation'!A:I,8,0)</f>
        <v>-0.04264607119</v>
      </c>
    </row>
    <row r="19">
      <c r="A19" s="16">
        <v>45971.0</v>
      </c>
      <c r="B19" s="44">
        <f>VLOOKUP(A19,'Data preparation'!A:G,7,0)</f>
        <v>0.05266903915</v>
      </c>
      <c r="C19" s="44">
        <f>VLOOKUP(A19,'Data preparation'!A:I,8,0)</f>
        <v>0.02354356419</v>
      </c>
    </row>
    <row r="20">
      <c r="A20" s="16">
        <v>45964.0</v>
      </c>
      <c r="B20" s="44">
        <f>VLOOKUP(A20,'Data preparation'!A:G,7,0)</f>
        <v>0.04435084242</v>
      </c>
      <c r="C20" s="44">
        <f>VLOOKUP(A20,'Data preparation'!A:I,8,0)</f>
        <v>0.03522504892</v>
      </c>
    </row>
    <row r="21">
      <c r="A21" s="16">
        <v>45957.0</v>
      </c>
      <c r="B21" s="44">
        <f>VLOOKUP(A21,'Data preparation'!A:G,7,0)</f>
        <v>-0.005421389847</v>
      </c>
      <c r="C21" s="44">
        <f>VLOOKUP(A21,'Data preparation'!A:I,8,0)</f>
        <v>0.04576744186</v>
      </c>
    </row>
    <row r="22">
      <c r="A22" s="16">
        <v>45950.0</v>
      </c>
      <c r="B22" s="44">
        <f>VLOOKUP(A22,'Data preparation'!A:G,7,0)</f>
        <v>0.01171777612</v>
      </c>
      <c r="C22" s="44">
        <f>VLOOKUP(A22,'Data preparation'!A:I,8,0)</f>
        <v>0.007120104928</v>
      </c>
    </row>
    <row r="23">
      <c r="A23" s="16">
        <v>45943.0</v>
      </c>
      <c r="B23" s="44">
        <f>VLOOKUP(A23,'Data preparation'!A:G,7,0)</f>
        <v>0.02217125382</v>
      </c>
      <c r="C23" s="44">
        <f>VLOOKUP(A23,'Data preparation'!A:I,8,0)</f>
        <v>0.003195488722</v>
      </c>
    </row>
    <row r="24">
      <c r="A24" s="16">
        <v>45936.0</v>
      </c>
      <c r="B24" s="44">
        <f>VLOOKUP(A24,'Data preparation'!A:G,7,0)</f>
        <v>-0.09187688035</v>
      </c>
      <c r="C24" s="44">
        <f>VLOOKUP(A24,'Data preparation'!A:I,8,0)</f>
        <v>-0.03988449738</v>
      </c>
    </row>
    <row r="25">
      <c r="A25" s="16">
        <v>45929.0</v>
      </c>
      <c r="B25" s="44">
        <f>VLOOKUP(A25,'Data preparation'!A:G,7,0)</f>
        <v>0.007930954047</v>
      </c>
      <c r="C25" s="44">
        <f>VLOOKUP(A25,'Data preparation'!A:I,8,0)</f>
        <v>0.03919729932</v>
      </c>
    </row>
    <row r="26">
      <c r="A26" s="16">
        <v>45922.0</v>
      </c>
      <c r="B26" s="44">
        <f>VLOOKUP(A26,'Data preparation'!A:G,7,0)</f>
        <v>0.02978621187</v>
      </c>
      <c r="C26" s="44">
        <f>VLOOKUP(A26,'Data preparation'!A:I,8,0)</f>
        <v>0.03574203574</v>
      </c>
    </row>
    <row r="27">
      <c r="A27" s="16">
        <v>45915.0</v>
      </c>
      <c r="B27" s="44">
        <f>VLOOKUP(A27,'Data preparation'!A:G,7,0)</f>
        <v>-0.006680983059</v>
      </c>
      <c r="C27" s="44">
        <f>VLOOKUP(A27,'Data preparation'!A:I,8,0)</f>
        <v>-0.00406268137</v>
      </c>
    </row>
    <row r="28">
      <c r="A28" s="16">
        <v>45908.0</v>
      </c>
      <c r="B28" s="44">
        <f>VLOOKUP(A28,'Data preparation'!A:G,7,0)</f>
        <v>-0.05223880597</v>
      </c>
      <c r="C28" s="44">
        <f>VLOOKUP(A28,'Data preparation'!A:I,8,0)</f>
        <v>-0.02324263039</v>
      </c>
    </row>
    <row r="29">
      <c r="A29" s="16">
        <v>45901.0</v>
      </c>
      <c r="B29" s="44">
        <f>VLOOKUP(A29,'Data preparation'!A:G,7,0)</f>
        <v>-0.0114017438</v>
      </c>
      <c r="C29" s="44">
        <f>VLOOKUP(A29,'Data preparation'!A:I,8,0)</f>
        <v>-0.008059981256</v>
      </c>
    </row>
    <row r="30">
      <c r="A30" s="16">
        <v>45894.0</v>
      </c>
      <c r="B30" s="44">
        <f>VLOOKUP(A30,'Data preparation'!A:G,7,0)</f>
        <v>-0.02143950995</v>
      </c>
      <c r="C30" s="44">
        <f>VLOOKUP(A30,'Data preparation'!A:I,8,0)</f>
        <v>-0.03246282191</v>
      </c>
    </row>
    <row r="31">
      <c r="A31" s="16">
        <v>45887.0</v>
      </c>
      <c r="B31" s="44">
        <f>VLOOKUP(A31,'Data preparation'!A:G,7,0)</f>
        <v>0.01420013313</v>
      </c>
      <c r="C31" s="44">
        <f>VLOOKUP(A31,'Data preparation'!A:I,8,0)</f>
        <v>0.03046159596</v>
      </c>
    </row>
    <row r="32">
      <c r="A32" s="16">
        <v>45880.0</v>
      </c>
      <c r="B32" s="44">
        <f>VLOOKUP(A32,'Data preparation'!A:G,7,0)</f>
        <v>0.03087831656</v>
      </c>
      <c r="C32" s="44">
        <f>VLOOKUP(A32,'Data preparation'!A:I,8,0)</f>
        <v>0.02666922487</v>
      </c>
    </row>
    <row r="33">
      <c r="A33" s="16">
        <v>45873.0</v>
      </c>
      <c r="B33" s="44">
        <f>VLOOKUP(A33,'Data preparation'!A:G,7,0)</f>
        <v>0.06504263094</v>
      </c>
      <c r="C33" s="44">
        <f>VLOOKUP(A33,'Data preparation'!A:I,8,0)</f>
        <v>0.06150712831</v>
      </c>
    </row>
    <row r="34">
      <c r="A34" s="16">
        <v>45866.0</v>
      </c>
      <c r="B34" s="44">
        <f>VLOOKUP(A34,'Data preparation'!A:G,7,0)</f>
        <v>-0.07773534037</v>
      </c>
      <c r="C34" s="44">
        <f>VLOOKUP(A34,'Data preparation'!A:I,8,0)</f>
        <v>-0.1151558839</v>
      </c>
    </row>
    <row r="35">
      <c r="A35" s="16">
        <v>45859.0</v>
      </c>
      <c r="B35" s="44">
        <f>VLOOKUP(A35,'Data preparation'!A:G,7,0)</f>
        <v>0.06585249042</v>
      </c>
      <c r="C35" s="44">
        <f>VLOOKUP(A35,'Data preparation'!A:I,8,0)</f>
        <v>0.08104422365</v>
      </c>
    </row>
    <row r="36">
      <c r="A36" s="16">
        <v>45852.0</v>
      </c>
      <c r="B36" s="44">
        <f>VLOOKUP(A36,'Data preparation'!A:G,7,0)</f>
        <v>-0.02407104464</v>
      </c>
      <c r="C36" s="44">
        <f>VLOOKUP(A36,'Data preparation'!A:I,8,0)</f>
        <v>-0.03351534551</v>
      </c>
    </row>
    <row r="37">
      <c r="A37" s="16">
        <v>45845.0</v>
      </c>
      <c r="B37" s="44">
        <f>VLOOKUP(A37,'Data preparation'!A:G,7,0)</f>
        <v>0.09943473792</v>
      </c>
      <c r="C37" s="44">
        <f>VLOOKUP(A37,'Data preparation'!A:I,8,0)</f>
        <v>0.06050319489</v>
      </c>
    </row>
    <row r="38">
      <c r="A38" s="16">
        <v>45838.0</v>
      </c>
      <c r="B38" s="44">
        <f>VLOOKUP(A38,'Data preparation'!A:G,7,0)</f>
        <v>0.01301405518</v>
      </c>
      <c r="C38" s="44">
        <f>VLOOKUP(A38,'Data preparation'!A:I,8,0)</f>
        <v>-0.008120419885</v>
      </c>
    </row>
    <row r="39">
      <c r="A39" s="16">
        <v>45831.0</v>
      </c>
      <c r="B39" s="44">
        <f>VLOOKUP(A39,'Data preparation'!A:G,7,0)</f>
        <v>0.06722222222</v>
      </c>
      <c r="C39" s="44">
        <f>VLOOKUP(A39,'Data preparation'!A:I,8,0)</f>
        <v>0.03824799506</v>
      </c>
    </row>
    <row r="40">
      <c r="A40" s="16">
        <v>45824.0</v>
      </c>
      <c r="B40" s="44">
        <f>VLOOKUP(A40,'Data preparation'!A:G,7,0)</f>
        <v>-0.0438247012</v>
      </c>
      <c r="C40" s="44">
        <f>VLOOKUP(A40,'Data preparation'!A:I,8,0)</f>
        <v>-0.04309327037</v>
      </c>
    </row>
    <row r="41">
      <c r="A41" s="16">
        <v>45817.0</v>
      </c>
      <c r="B41" s="44">
        <f>VLOOKUP(A41,'Data preparation'!A:G,7,0)</f>
        <v>-0.01799687011</v>
      </c>
      <c r="C41" s="44">
        <f>VLOOKUP(A41,'Data preparation'!A:I,8,0)</f>
        <v>-0.01032132425</v>
      </c>
    </row>
    <row r="42">
      <c r="A42" s="16">
        <v>45810.0</v>
      </c>
      <c r="B42" s="44">
        <f>VLOOKUP(A42,'Data preparation'!A:G,7,0)</f>
        <v>-0.01818181818</v>
      </c>
      <c r="C42" s="44">
        <f>VLOOKUP(A42,'Data preparation'!A:I,8,0)</f>
        <v>-0.02357862712</v>
      </c>
    </row>
    <row r="43">
      <c r="A43" s="16">
        <v>45803.0</v>
      </c>
      <c r="B43" s="44">
        <f>VLOOKUP(A43,'Data preparation'!A:G,7,0)</f>
        <v>0.03773584906</v>
      </c>
      <c r="C43" s="44">
        <f>VLOOKUP(A43,'Data preparation'!A:I,8,0)</f>
        <v>0.04056193114</v>
      </c>
    </row>
    <row r="44">
      <c r="A44" s="16">
        <v>45796.0</v>
      </c>
      <c r="B44" s="44">
        <f>VLOOKUP(A44,'Data preparation'!A:G,7,0)</f>
        <v>0.03124143601</v>
      </c>
      <c r="C44" s="44">
        <f>VLOOKUP(A44,'Data preparation'!A:I,8,0)</f>
        <v>-0.03733333333</v>
      </c>
    </row>
    <row r="45">
      <c r="A45" s="16">
        <v>45789.0</v>
      </c>
      <c r="B45" s="44">
        <f>VLOOKUP(A45,'Data preparation'!A:G,7,0)</f>
        <v>-0.03465608466</v>
      </c>
      <c r="C45" s="44">
        <f>VLOOKUP(A45,'Data preparation'!A:I,8,0)</f>
        <v>0.1170212766</v>
      </c>
    </row>
    <row r="46">
      <c r="A46" s="16">
        <v>45782.0</v>
      </c>
      <c r="B46" s="44">
        <f>VLOOKUP(A46,'Data preparation'!A:G,7,0)</f>
        <v>0.06493872376</v>
      </c>
      <c r="C46" s="44">
        <f>VLOOKUP(A46,'Data preparation'!A:I,8,0)</f>
        <v>-0.04179408767</v>
      </c>
    </row>
    <row r="47">
      <c r="A47" s="16">
        <v>45775.0</v>
      </c>
      <c r="B47" s="44">
        <f>VLOOKUP(A47,'Data preparation'!A:G,7,0)</f>
        <v>-0.01961055103</v>
      </c>
      <c r="C47" s="44">
        <f>VLOOKUP(A47,'Data preparation'!A:I,8,0)</f>
        <v>-0.02368630573</v>
      </c>
    </row>
    <row r="48">
      <c r="A48" s="16">
        <v>45768.0</v>
      </c>
      <c r="B48" s="44">
        <f>VLOOKUP(A48,'Data preparation'!A:G,7,0)</f>
        <v>0.08625862586</v>
      </c>
      <c r="C48" s="44">
        <f>VLOOKUP(A48,'Data preparation'!A:I,8,0)</f>
        <v>0.08674021198</v>
      </c>
    </row>
    <row r="49">
      <c r="A49" s="16">
        <v>45761.0</v>
      </c>
      <c r="B49" s="44">
        <f>VLOOKUP(A49,'Data preparation'!A:G,7,0)</f>
        <v>0.05876747141</v>
      </c>
      <c r="C49" s="44">
        <f>VLOOKUP(A49,'Data preparation'!A:I,8,0)</f>
        <v>0.04215509468</v>
      </c>
    </row>
    <row r="50">
      <c r="A50" s="16">
        <v>45754.0</v>
      </c>
      <c r="B50" s="44">
        <f>VLOOKUP(A50,'Data preparation'!A:G,7,0)</f>
        <v>-0.02417854929</v>
      </c>
      <c r="C50" s="44">
        <f>VLOOKUP(A50,'Data preparation'!A:I,8,0)</f>
        <v>-0.01771479185</v>
      </c>
    </row>
    <row r="51">
      <c r="A51" s="16">
        <v>45747.0</v>
      </c>
      <c r="B51" s="44">
        <f>VLOOKUP(A51,'Data preparation'!A:G,7,0)</f>
        <v>-0.1045107564</v>
      </c>
      <c r="C51" s="44">
        <f>VLOOKUP(A51,'Data preparation'!A:I,8,0)</f>
        <v>-0.1198596765</v>
      </c>
    </row>
    <row r="52">
      <c r="A52" s="16">
        <v>45740.0</v>
      </c>
      <c r="B52" s="44">
        <f>VLOOKUP(A52,'Data preparation'!A:G,7,0)</f>
        <v>-0.04074024764</v>
      </c>
      <c r="C52" s="44">
        <f>VLOOKUP(A52,'Data preparation'!A:I,8,0)</f>
        <v>-0.04468441631</v>
      </c>
    </row>
    <row r="53">
      <c r="A53" s="16">
        <v>45733.0</v>
      </c>
      <c r="B53" s="44">
        <f>VLOOKUP(A53,'Data preparation'!A:G,7,0)</f>
        <v>-0.03581514763</v>
      </c>
      <c r="C53" s="44">
        <f>VLOOKUP(A53,'Data preparation'!A:I,8,0)</f>
        <v>-0.02681645226</v>
      </c>
    </row>
    <row r="54">
      <c r="A54" s="16">
        <v>45726.0</v>
      </c>
      <c r="B54" s="44" t="str">
        <f>VLOOKUP(A54,'Data preparation'!A:G,7,0)</f>
        <v/>
      </c>
      <c r="C54" s="44" t="str">
        <f>VLOOKUP(A54,'Data preparation'!A:I,8,0)</f>
        <v/>
      </c>
    </row>
    <row r="55">
      <c r="A55" s="30"/>
    </row>
    <row r="56">
      <c r="A56" s="30"/>
    </row>
    <row r="57">
      <c r="A57" s="30"/>
    </row>
    <row r="58">
      <c r="A58" s="30"/>
    </row>
    <row r="59">
      <c r="A59" s="34"/>
    </row>
    <row r="60">
      <c r="A60" s="34"/>
    </row>
    <row r="61">
      <c r="A61" s="34"/>
    </row>
    <row r="62">
      <c r="A62" s="34"/>
    </row>
    <row r="63">
      <c r="A63" s="34"/>
    </row>
    <row r="64">
      <c r="A64" s="34"/>
    </row>
    <row r="65">
      <c r="A65" s="34"/>
    </row>
    <row r="66">
      <c r="A66" s="34"/>
    </row>
    <row r="67">
      <c r="A67" s="34"/>
    </row>
    <row r="68">
      <c r="A68" s="34"/>
    </row>
    <row r="69">
      <c r="A69" s="34"/>
    </row>
    <row r="70">
      <c r="A70" s="34"/>
    </row>
    <row r="71">
      <c r="A71" s="34"/>
    </row>
    <row r="72">
      <c r="A72" s="34"/>
    </row>
    <row r="73">
      <c r="A73" s="34"/>
    </row>
    <row r="74">
      <c r="A74" s="34"/>
    </row>
    <row r="75">
      <c r="A75" s="34"/>
    </row>
    <row r="76">
      <c r="A76" s="34"/>
    </row>
    <row r="77">
      <c r="A77" s="34"/>
    </row>
    <row r="78">
      <c r="A78" s="34"/>
    </row>
    <row r="79">
      <c r="A79" s="34"/>
    </row>
    <row r="80">
      <c r="A80" s="34"/>
    </row>
    <row r="81">
      <c r="A81" s="34"/>
    </row>
    <row r="82">
      <c r="A82" s="34"/>
    </row>
    <row r="83">
      <c r="A83" s="34"/>
    </row>
    <row r="84">
      <c r="A84" s="34"/>
    </row>
    <row r="85">
      <c r="A85" s="34"/>
    </row>
    <row r="86">
      <c r="A86" s="34"/>
    </row>
    <row r="87">
      <c r="A87" s="34"/>
    </row>
    <row r="88">
      <c r="A88" s="34"/>
    </row>
    <row r="89">
      <c r="A89" s="34"/>
    </row>
    <row r="90">
      <c r="A90" s="34"/>
    </row>
    <row r="91">
      <c r="A91" s="34"/>
    </row>
    <row r="92">
      <c r="A92" s="34"/>
    </row>
    <row r="93">
      <c r="A93" s="34"/>
    </row>
    <row r="94">
      <c r="A94" s="34"/>
    </row>
    <row r="95">
      <c r="A95" s="34"/>
    </row>
    <row r="96">
      <c r="A96" s="34"/>
    </row>
    <row r="97">
      <c r="A97" s="34"/>
    </row>
    <row r="98">
      <c r="A98" s="34"/>
    </row>
    <row r="99">
      <c r="A99" s="34"/>
    </row>
    <row r="100">
      <c r="A100" s="34"/>
    </row>
    <row r="101">
      <c r="A101" s="34"/>
    </row>
    <row r="102">
      <c r="A102" s="34"/>
    </row>
    <row r="103">
      <c r="A103" s="34"/>
    </row>
    <row r="104">
      <c r="A104" s="34"/>
    </row>
    <row r="105">
      <c r="A105" s="34"/>
    </row>
    <row r="106">
      <c r="A106" s="34"/>
    </row>
    <row r="107">
      <c r="A107" s="34"/>
    </row>
    <row r="108">
      <c r="A108" s="34"/>
    </row>
    <row r="109">
      <c r="A109" s="34"/>
    </row>
    <row r="110">
      <c r="A110" s="34"/>
    </row>
    <row r="111">
      <c r="A111" s="34"/>
    </row>
    <row r="112">
      <c r="A112" s="34"/>
    </row>
    <row r="113">
      <c r="A113" s="34"/>
    </row>
    <row r="114">
      <c r="A114" s="34"/>
    </row>
    <row r="115">
      <c r="A115" s="34"/>
    </row>
    <row r="116">
      <c r="A116" s="34"/>
    </row>
    <row r="117">
      <c r="A117" s="34"/>
    </row>
    <row r="118">
      <c r="A118" s="34"/>
    </row>
    <row r="119">
      <c r="A119" s="34"/>
    </row>
    <row r="120">
      <c r="A120" s="34"/>
    </row>
    <row r="121">
      <c r="A121" s="34"/>
    </row>
    <row r="122">
      <c r="A122" s="34"/>
    </row>
    <row r="123">
      <c r="A123" s="34"/>
    </row>
    <row r="124">
      <c r="A124" s="34"/>
    </row>
    <row r="125">
      <c r="A125" s="34"/>
    </row>
    <row r="126">
      <c r="A126" s="34"/>
    </row>
    <row r="127">
      <c r="A127" s="34"/>
    </row>
    <row r="128">
      <c r="A128" s="34"/>
    </row>
    <row r="129">
      <c r="A129" s="34"/>
    </row>
    <row r="130">
      <c r="A130" s="34"/>
    </row>
    <row r="131">
      <c r="A131" s="34"/>
    </row>
    <row r="132">
      <c r="A132" s="34"/>
    </row>
    <row r="133">
      <c r="A133" s="34"/>
    </row>
    <row r="134">
      <c r="A134" s="34"/>
    </row>
    <row r="135">
      <c r="A135" s="34"/>
    </row>
    <row r="136">
      <c r="A136" s="34"/>
    </row>
    <row r="137">
      <c r="A137" s="34"/>
    </row>
    <row r="138">
      <c r="A138" s="34"/>
    </row>
    <row r="139">
      <c r="A139" s="34"/>
    </row>
    <row r="140">
      <c r="A140" s="34"/>
    </row>
    <row r="141">
      <c r="A141" s="34"/>
    </row>
    <row r="142">
      <c r="A142" s="34"/>
    </row>
    <row r="143">
      <c r="A143" s="34"/>
    </row>
    <row r="144">
      <c r="A144" s="34"/>
    </row>
    <row r="145">
      <c r="A145" s="34"/>
    </row>
    <row r="146">
      <c r="A146" s="34"/>
    </row>
    <row r="147">
      <c r="A147" s="34"/>
    </row>
    <row r="148">
      <c r="A148" s="34"/>
    </row>
    <row r="149">
      <c r="A149" s="34"/>
    </row>
    <row r="150">
      <c r="A150" s="34"/>
    </row>
    <row r="151">
      <c r="A151" s="34"/>
    </row>
    <row r="152">
      <c r="A152" s="34"/>
    </row>
    <row r="153">
      <c r="A153" s="34"/>
    </row>
    <row r="154">
      <c r="A154" s="34"/>
    </row>
    <row r="155">
      <c r="A155" s="34"/>
    </row>
    <row r="156">
      <c r="A156" s="34"/>
    </row>
    <row r="157">
      <c r="A157" s="34"/>
    </row>
    <row r="158">
      <c r="A158" s="34"/>
    </row>
    <row r="159">
      <c r="A159" s="34"/>
    </row>
    <row r="160">
      <c r="A160" s="34"/>
    </row>
    <row r="161">
      <c r="A161" s="34"/>
    </row>
    <row r="162">
      <c r="A162" s="34"/>
    </row>
    <row r="163">
      <c r="A163" s="34"/>
    </row>
    <row r="164">
      <c r="A164" s="34"/>
    </row>
    <row r="165">
      <c r="A165" s="34"/>
    </row>
    <row r="166">
      <c r="A166" s="34"/>
    </row>
    <row r="167">
      <c r="A167" s="34"/>
    </row>
    <row r="168">
      <c r="A168" s="34"/>
    </row>
    <row r="169">
      <c r="A169" s="34"/>
    </row>
    <row r="170">
      <c r="A170" s="34"/>
    </row>
    <row r="171">
      <c r="A171" s="34"/>
    </row>
    <row r="172">
      <c r="A172" s="34"/>
    </row>
    <row r="173">
      <c r="A173" s="34"/>
    </row>
    <row r="174">
      <c r="A174" s="34"/>
    </row>
    <row r="175">
      <c r="A175" s="34"/>
    </row>
    <row r="176">
      <c r="A176" s="34"/>
    </row>
    <row r="177">
      <c r="A177" s="34"/>
    </row>
    <row r="178">
      <c r="A178" s="34"/>
    </row>
    <row r="179">
      <c r="A179" s="34"/>
    </row>
    <row r="180">
      <c r="A180" s="34"/>
    </row>
    <row r="181">
      <c r="A181" s="34"/>
    </row>
    <row r="182">
      <c r="A182" s="34"/>
    </row>
    <row r="183">
      <c r="A183" s="34"/>
    </row>
    <row r="184">
      <c r="A184" s="34"/>
    </row>
    <row r="185">
      <c r="A185" s="34"/>
    </row>
    <row r="186">
      <c r="A186" s="34"/>
    </row>
    <row r="187">
      <c r="A187" s="34"/>
    </row>
    <row r="188">
      <c r="A188" s="34"/>
    </row>
    <row r="189">
      <c r="A189" s="34"/>
    </row>
    <row r="190">
      <c r="A190" s="34"/>
    </row>
    <row r="191">
      <c r="A191" s="34"/>
    </row>
    <row r="192">
      <c r="A192" s="34"/>
    </row>
    <row r="193">
      <c r="A193" s="34"/>
    </row>
    <row r="194">
      <c r="A194" s="34"/>
    </row>
    <row r="195">
      <c r="A195" s="34"/>
    </row>
    <row r="196">
      <c r="A196" s="34"/>
    </row>
    <row r="197">
      <c r="A197" s="34"/>
    </row>
    <row r="198">
      <c r="A198" s="34"/>
    </row>
    <row r="199">
      <c r="A199" s="34"/>
    </row>
    <row r="200">
      <c r="A200" s="34"/>
    </row>
    <row r="201">
      <c r="A201" s="34"/>
    </row>
    <row r="202">
      <c r="A202" s="34"/>
    </row>
    <row r="203">
      <c r="A203" s="34"/>
    </row>
    <row r="204">
      <c r="A204" s="34"/>
    </row>
    <row r="205">
      <c r="A205" s="34"/>
    </row>
    <row r="206">
      <c r="A206" s="34"/>
    </row>
    <row r="207">
      <c r="A207" s="34"/>
    </row>
    <row r="208">
      <c r="A208" s="34"/>
    </row>
    <row r="209">
      <c r="A209" s="34"/>
    </row>
    <row r="210">
      <c r="A210" s="34"/>
    </row>
    <row r="211">
      <c r="A211" s="34"/>
    </row>
    <row r="212">
      <c r="A212" s="34"/>
    </row>
    <row r="213">
      <c r="A213" s="34"/>
    </row>
    <row r="214">
      <c r="A214" s="34"/>
    </row>
    <row r="215">
      <c r="A215" s="34"/>
    </row>
    <row r="216">
      <c r="A216" s="34"/>
    </row>
    <row r="217">
      <c r="A217" s="34"/>
    </row>
    <row r="218">
      <c r="A218" s="34"/>
    </row>
    <row r="219">
      <c r="A219" s="34"/>
    </row>
    <row r="220">
      <c r="A220" s="34"/>
    </row>
    <row r="221">
      <c r="A221" s="34"/>
    </row>
    <row r="222">
      <c r="A222" s="34"/>
    </row>
    <row r="223">
      <c r="A223" s="34"/>
    </row>
    <row r="224">
      <c r="A224" s="34"/>
    </row>
    <row r="225">
      <c r="A225" s="34"/>
    </row>
    <row r="226">
      <c r="A226" s="34"/>
    </row>
    <row r="227">
      <c r="A227" s="34"/>
    </row>
    <row r="228">
      <c r="A228" s="34"/>
    </row>
    <row r="229">
      <c r="A229" s="34"/>
    </row>
    <row r="230">
      <c r="A230" s="34"/>
    </row>
    <row r="231">
      <c r="A231" s="34"/>
    </row>
    <row r="232">
      <c r="A232" s="34"/>
    </row>
    <row r="233">
      <c r="A233" s="34"/>
    </row>
    <row r="234">
      <c r="A234" s="34"/>
    </row>
    <row r="235">
      <c r="A235" s="34"/>
    </row>
    <row r="236">
      <c r="A236" s="34"/>
    </row>
    <row r="237">
      <c r="A237" s="34"/>
    </row>
    <row r="238">
      <c r="A238" s="34"/>
    </row>
    <row r="239">
      <c r="A239" s="34"/>
    </row>
    <row r="240">
      <c r="A240" s="34"/>
    </row>
    <row r="241">
      <c r="A241" s="34"/>
    </row>
    <row r="242">
      <c r="A242" s="34"/>
    </row>
    <row r="243">
      <c r="A243" s="34"/>
    </row>
    <row r="244">
      <c r="A244" s="34"/>
    </row>
    <row r="245">
      <c r="A245" s="34"/>
    </row>
    <row r="246">
      <c r="A246" s="34"/>
    </row>
    <row r="247">
      <c r="A247" s="34"/>
    </row>
    <row r="248">
      <c r="A248" s="34"/>
    </row>
    <row r="249">
      <c r="A249" s="34"/>
    </row>
    <row r="250">
      <c r="A250" s="34"/>
    </row>
    <row r="251">
      <c r="A251" s="34"/>
    </row>
    <row r="252">
      <c r="A252" s="34"/>
    </row>
    <row r="253">
      <c r="A253" s="34"/>
    </row>
    <row r="254">
      <c r="A254" s="34"/>
    </row>
    <row r="255">
      <c r="A255" s="34"/>
    </row>
    <row r="256">
      <c r="A256" s="34"/>
    </row>
    <row r="257">
      <c r="A257" s="34"/>
    </row>
    <row r="258">
      <c r="A258" s="34"/>
    </row>
    <row r="259">
      <c r="A259" s="34"/>
    </row>
    <row r="260">
      <c r="A260" s="34"/>
    </row>
    <row r="261">
      <c r="A261" s="34"/>
    </row>
    <row r="262">
      <c r="A262" s="34"/>
    </row>
    <row r="263">
      <c r="A263" s="34"/>
    </row>
    <row r="264">
      <c r="A264" s="34"/>
    </row>
    <row r="265">
      <c r="A265" s="34"/>
    </row>
    <row r="266">
      <c r="A266" s="34"/>
    </row>
    <row r="267">
      <c r="A267" s="34"/>
    </row>
    <row r="268">
      <c r="A268" s="34"/>
    </row>
    <row r="269">
      <c r="A269" s="34"/>
    </row>
    <row r="270">
      <c r="A270" s="34"/>
    </row>
    <row r="271">
      <c r="A271" s="34"/>
    </row>
    <row r="272">
      <c r="A272" s="34"/>
    </row>
    <row r="273">
      <c r="A273" s="34"/>
    </row>
    <row r="274">
      <c r="A274" s="34"/>
    </row>
    <row r="275">
      <c r="A275" s="34"/>
    </row>
    <row r="276">
      <c r="A276" s="34"/>
    </row>
    <row r="277">
      <c r="A277" s="34"/>
    </row>
    <row r="278">
      <c r="A278" s="34"/>
    </row>
    <row r="279">
      <c r="A279" s="34"/>
    </row>
    <row r="280">
      <c r="A280" s="34"/>
    </row>
    <row r="281">
      <c r="A281" s="34"/>
    </row>
    <row r="282">
      <c r="A282" s="34"/>
    </row>
    <row r="283">
      <c r="A283" s="34"/>
    </row>
    <row r="284">
      <c r="A284" s="34"/>
    </row>
    <row r="285">
      <c r="A285" s="34"/>
    </row>
    <row r="286">
      <c r="A286" s="34"/>
    </row>
    <row r="287">
      <c r="A287" s="34"/>
    </row>
    <row r="288">
      <c r="A288" s="34"/>
    </row>
    <row r="289">
      <c r="A289" s="34"/>
    </row>
    <row r="290">
      <c r="A290" s="34"/>
    </row>
    <row r="291">
      <c r="A291" s="34"/>
    </row>
    <row r="292">
      <c r="A292" s="34"/>
    </row>
    <row r="293">
      <c r="A293" s="34"/>
    </row>
    <row r="294">
      <c r="A294" s="34"/>
    </row>
    <row r="295">
      <c r="A295" s="34"/>
    </row>
    <row r="296">
      <c r="A296" s="34"/>
    </row>
    <row r="297">
      <c r="A297" s="34"/>
    </row>
    <row r="298">
      <c r="A298" s="34"/>
    </row>
    <row r="299">
      <c r="A299" s="34"/>
    </row>
    <row r="300">
      <c r="A300" s="34"/>
    </row>
    <row r="301">
      <c r="A301" s="34"/>
    </row>
    <row r="302">
      <c r="A302" s="34"/>
    </row>
    <row r="303">
      <c r="A303" s="34"/>
    </row>
    <row r="304">
      <c r="A304" s="34"/>
    </row>
    <row r="305">
      <c r="A305" s="34"/>
    </row>
    <row r="306">
      <c r="A306" s="34"/>
    </row>
    <row r="307">
      <c r="A307" s="34"/>
    </row>
    <row r="308">
      <c r="A308" s="34"/>
    </row>
    <row r="309">
      <c r="A309" s="34"/>
    </row>
    <row r="310">
      <c r="A310" s="34"/>
    </row>
    <row r="311">
      <c r="A311" s="34"/>
    </row>
    <row r="312">
      <c r="A312" s="34"/>
    </row>
    <row r="313">
      <c r="A313" s="34"/>
    </row>
    <row r="314">
      <c r="A314" s="34"/>
    </row>
    <row r="315">
      <c r="A315" s="34"/>
    </row>
    <row r="316">
      <c r="A316" s="34"/>
    </row>
    <row r="317">
      <c r="A317" s="34"/>
    </row>
    <row r="318">
      <c r="A318" s="34"/>
    </row>
    <row r="319">
      <c r="A319" s="34"/>
    </row>
    <row r="320">
      <c r="A320" s="34"/>
    </row>
    <row r="321">
      <c r="A321" s="34"/>
    </row>
    <row r="322">
      <c r="A322" s="34"/>
    </row>
    <row r="323">
      <c r="A323" s="34"/>
    </row>
    <row r="324">
      <c r="A324" s="34"/>
    </row>
    <row r="325">
      <c r="A325" s="34"/>
    </row>
    <row r="326">
      <c r="A326" s="34"/>
    </row>
    <row r="327">
      <c r="A327" s="34"/>
    </row>
    <row r="328">
      <c r="A328" s="34"/>
    </row>
    <row r="329">
      <c r="A329" s="34"/>
    </row>
    <row r="330">
      <c r="A330" s="34"/>
    </row>
    <row r="331">
      <c r="A331" s="34"/>
    </row>
    <row r="332">
      <c r="A332" s="34"/>
    </row>
    <row r="333">
      <c r="A333" s="34"/>
    </row>
    <row r="334">
      <c r="A334" s="34"/>
    </row>
    <row r="335">
      <c r="A335" s="34"/>
    </row>
    <row r="336">
      <c r="A336" s="34"/>
    </row>
    <row r="337">
      <c r="A337" s="34"/>
    </row>
    <row r="338">
      <c r="A338" s="34"/>
    </row>
    <row r="339">
      <c r="A339" s="34"/>
    </row>
    <row r="340">
      <c r="A340" s="34"/>
    </row>
    <row r="341">
      <c r="A341" s="34"/>
    </row>
    <row r="342">
      <c r="A342" s="34"/>
    </row>
    <row r="343">
      <c r="A343" s="34"/>
    </row>
    <row r="344">
      <c r="A344" s="34"/>
    </row>
    <row r="345">
      <c r="A345" s="34"/>
    </row>
    <row r="346">
      <c r="A346" s="34"/>
    </row>
    <row r="347">
      <c r="A347" s="34"/>
    </row>
    <row r="348">
      <c r="A348" s="34"/>
    </row>
    <row r="349">
      <c r="A349" s="34"/>
    </row>
    <row r="350">
      <c r="A350" s="34"/>
    </row>
    <row r="351">
      <c r="A351" s="34"/>
    </row>
    <row r="352">
      <c r="A352" s="34"/>
    </row>
    <row r="353">
      <c r="A353" s="34"/>
    </row>
    <row r="354">
      <c r="A354" s="34"/>
    </row>
    <row r="355">
      <c r="A355" s="34"/>
    </row>
    <row r="356">
      <c r="A356" s="34"/>
    </row>
    <row r="357">
      <c r="A357" s="34"/>
    </row>
    <row r="358">
      <c r="A358" s="34"/>
    </row>
    <row r="359">
      <c r="A359" s="34"/>
    </row>
    <row r="360">
      <c r="A360" s="34"/>
    </row>
    <row r="361">
      <c r="A361" s="34"/>
    </row>
    <row r="362">
      <c r="A362" s="34"/>
    </row>
    <row r="363">
      <c r="A363" s="34"/>
    </row>
    <row r="364">
      <c r="A364" s="34"/>
    </row>
    <row r="365">
      <c r="A365" s="34"/>
    </row>
    <row r="366">
      <c r="A366" s="34"/>
    </row>
    <row r="367">
      <c r="A367" s="34"/>
    </row>
    <row r="368">
      <c r="A368" s="34"/>
    </row>
    <row r="369">
      <c r="A369" s="34"/>
    </row>
    <row r="370">
      <c r="A370" s="34"/>
    </row>
    <row r="371">
      <c r="A371" s="34"/>
    </row>
    <row r="372">
      <c r="A372" s="34"/>
    </row>
    <row r="373">
      <c r="A373" s="34"/>
    </row>
    <row r="374">
      <c r="A374" s="34"/>
    </row>
    <row r="375">
      <c r="A375" s="34"/>
    </row>
    <row r="376">
      <c r="A376" s="34"/>
    </row>
    <row r="377">
      <c r="A377" s="34"/>
    </row>
    <row r="378">
      <c r="A378" s="34"/>
    </row>
    <row r="379">
      <c r="A379" s="34"/>
    </row>
    <row r="380">
      <c r="A380" s="34"/>
    </row>
    <row r="381">
      <c r="A381" s="34"/>
    </row>
    <row r="382">
      <c r="A382" s="34"/>
    </row>
    <row r="383">
      <c r="A383" s="34"/>
    </row>
    <row r="384">
      <c r="A384" s="34"/>
    </row>
    <row r="385">
      <c r="A385" s="34"/>
    </row>
    <row r="386">
      <c r="A386" s="34"/>
    </row>
    <row r="387">
      <c r="A387" s="34"/>
    </row>
    <row r="388">
      <c r="A388" s="34"/>
    </row>
    <row r="389">
      <c r="A389" s="34"/>
    </row>
    <row r="390">
      <c r="A390" s="34"/>
    </row>
    <row r="391">
      <c r="A391" s="34"/>
    </row>
    <row r="392">
      <c r="A392" s="34"/>
    </row>
    <row r="393">
      <c r="A393" s="34"/>
    </row>
    <row r="394">
      <c r="A394" s="34"/>
    </row>
    <row r="395">
      <c r="A395" s="34"/>
    </row>
    <row r="396">
      <c r="A396" s="34"/>
    </row>
    <row r="397">
      <c r="A397" s="34"/>
    </row>
    <row r="398">
      <c r="A398" s="34"/>
    </row>
    <row r="399">
      <c r="A399" s="34"/>
    </row>
    <row r="400">
      <c r="A400" s="34"/>
    </row>
    <row r="401">
      <c r="A401" s="34"/>
    </row>
    <row r="402">
      <c r="A402" s="34"/>
    </row>
    <row r="403">
      <c r="A403" s="34"/>
    </row>
    <row r="404">
      <c r="A404" s="34"/>
    </row>
    <row r="405">
      <c r="A405" s="34"/>
    </row>
    <row r="406">
      <c r="A406" s="34"/>
    </row>
    <row r="407">
      <c r="A407" s="34"/>
    </row>
    <row r="408">
      <c r="A408" s="34"/>
    </row>
    <row r="409">
      <c r="A409" s="34"/>
    </row>
    <row r="410">
      <c r="A410" s="34"/>
    </row>
    <row r="411">
      <c r="A411" s="34"/>
    </row>
    <row r="412">
      <c r="A412" s="34"/>
    </row>
    <row r="413">
      <c r="A413" s="34"/>
    </row>
    <row r="414">
      <c r="A414" s="34"/>
    </row>
    <row r="415">
      <c r="A415" s="34"/>
    </row>
    <row r="416">
      <c r="A416" s="34"/>
    </row>
    <row r="417">
      <c r="A417" s="34"/>
    </row>
    <row r="418">
      <c r="A418" s="34"/>
    </row>
    <row r="419">
      <c r="A419" s="34"/>
    </row>
    <row r="420">
      <c r="A420" s="34"/>
    </row>
    <row r="421">
      <c r="A421" s="34"/>
    </row>
    <row r="422">
      <c r="A422" s="34"/>
    </row>
    <row r="423">
      <c r="A423" s="34"/>
    </row>
    <row r="424">
      <c r="A424" s="34"/>
    </row>
    <row r="425">
      <c r="A425" s="34"/>
    </row>
    <row r="426">
      <c r="A426" s="34"/>
    </row>
    <row r="427">
      <c r="A427" s="34"/>
    </row>
    <row r="428">
      <c r="A428" s="34"/>
    </row>
    <row r="429">
      <c r="A429" s="34"/>
    </row>
    <row r="430">
      <c r="A430" s="34"/>
    </row>
    <row r="431">
      <c r="A431" s="34"/>
    </row>
    <row r="432">
      <c r="A432" s="34"/>
    </row>
    <row r="433">
      <c r="A433" s="34"/>
    </row>
    <row r="434">
      <c r="A434" s="34"/>
    </row>
    <row r="435">
      <c r="A435" s="34"/>
    </row>
    <row r="436">
      <c r="A436" s="34"/>
    </row>
    <row r="437">
      <c r="A437" s="34"/>
    </row>
    <row r="438">
      <c r="A438" s="34"/>
    </row>
    <row r="439">
      <c r="A439" s="34"/>
    </row>
    <row r="440">
      <c r="A440" s="34"/>
    </row>
    <row r="441">
      <c r="A441" s="34"/>
    </row>
    <row r="442">
      <c r="A442" s="34"/>
    </row>
    <row r="443">
      <c r="A443" s="34"/>
    </row>
    <row r="444">
      <c r="A444" s="34"/>
    </row>
    <row r="445">
      <c r="A445" s="34"/>
    </row>
    <row r="446">
      <c r="A446" s="34"/>
    </row>
    <row r="447">
      <c r="A447" s="34"/>
    </row>
    <row r="448">
      <c r="A448" s="34"/>
    </row>
    <row r="449">
      <c r="A449" s="34"/>
    </row>
    <row r="450">
      <c r="A450" s="34"/>
    </row>
    <row r="451">
      <c r="A451" s="34"/>
    </row>
    <row r="452">
      <c r="A452" s="34"/>
    </row>
    <row r="453">
      <c r="A453" s="34"/>
    </row>
    <row r="454">
      <c r="A454" s="34"/>
    </row>
    <row r="455">
      <c r="A455" s="34"/>
    </row>
    <row r="456">
      <c r="A456" s="34"/>
    </row>
    <row r="457">
      <c r="A457" s="34"/>
    </row>
    <row r="458">
      <c r="A458" s="34"/>
    </row>
    <row r="459">
      <c r="A459" s="34"/>
    </row>
    <row r="460">
      <c r="A460" s="34"/>
    </row>
    <row r="461">
      <c r="A461" s="34"/>
    </row>
    <row r="462">
      <c r="A462" s="34"/>
    </row>
    <row r="463">
      <c r="A463" s="34"/>
    </row>
    <row r="464">
      <c r="A464" s="34"/>
    </row>
    <row r="465">
      <c r="A465" s="34"/>
    </row>
    <row r="466">
      <c r="A466" s="34"/>
    </row>
    <row r="467">
      <c r="A467" s="34"/>
    </row>
    <row r="468">
      <c r="A468" s="34"/>
    </row>
    <row r="469">
      <c r="A469" s="34"/>
    </row>
    <row r="470">
      <c r="A470" s="34"/>
    </row>
    <row r="471">
      <c r="A471" s="34"/>
    </row>
    <row r="472">
      <c r="A472" s="34"/>
    </row>
    <row r="473">
      <c r="A473" s="34"/>
    </row>
    <row r="474">
      <c r="A474" s="34"/>
    </row>
    <row r="475">
      <c r="A475" s="34"/>
    </row>
    <row r="476">
      <c r="A476" s="34"/>
    </row>
    <row r="477">
      <c r="A477" s="34"/>
    </row>
    <row r="478">
      <c r="A478" s="34"/>
    </row>
    <row r="479">
      <c r="A479" s="34"/>
    </row>
    <row r="480">
      <c r="A480" s="34"/>
    </row>
    <row r="481">
      <c r="A481" s="34"/>
    </row>
    <row r="482">
      <c r="A482" s="34"/>
    </row>
    <row r="483">
      <c r="A483" s="34"/>
    </row>
    <row r="484">
      <c r="A484" s="34"/>
    </row>
    <row r="485">
      <c r="A485" s="34"/>
    </row>
    <row r="486">
      <c r="A486" s="34"/>
    </row>
    <row r="487">
      <c r="A487" s="34"/>
    </row>
    <row r="488">
      <c r="A488" s="34"/>
    </row>
    <row r="489">
      <c r="A489" s="34"/>
    </row>
    <row r="490">
      <c r="A490" s="34"/>
    </row>
    <row r="491">
      <c r="A491" s="34"/>
    </row>
    <row r="492">
      <c r="A492" s="34"/>
    </row>
    <row r="493">
      <c r="A493" s="34"/>
    </row>
    <row r="494">
      <c r="A494" s="34"/>
    </row>
    <row r="495">
      <c r="A495" s="34"/>
    </row>
    <row r="496">
      <c r="A496" s="34"/>
    </row>
    <row r="497">
      <c r="A497" s="34"/>
    </row>
    <row r="498">
      <c r="A498" s="34"/>
    </row>
    <row r="499">
      <c r="A499" s="34"/>
    </row>
    <row r="500">
      <c r="A500" s="34"/>
    </row>
    <row r="501">
      <c r="A501" s="34"/>
    </row>
    <row r="502">
      <c r="A502" s="34"/>
    </row>
    <row r="503">
      <c r="A503" s="34"/>
    </row>
    <row r="504">
      <c r="A504" s="34"/>
    </row>
    <row r="505">
      <c r="A505" s="34"/>
    </row>
    <row r="506">
      <c r="A506" s="34"/>
    </row>
    <row r="507">
      <c r="A507" s="34"/>
    </row>
    <row r="508">
      <c r="A508" s="34"/>
    </row>
    <row r="509">
      <c r="A509" s="34"/>
    </row>
    <row r="510">
      <c r="A510" s="34"/>
    </row>
    <row r="511">
      <c r="A511" s="34"/>
    </row>
    <row r="512">
      <c r="A512" s="34"/>
    </row>
    <row r="513">
      <c r="A513" s="34"/>
    </row>
    <row r="514">
      <c r="A514" s="34"/>
    </row>
    <row r="515">
      <c r="A515" s="34"/>
    </row>
    <row r="516">
      <c r="A516" s="34"/>
    </row>
    <row r="517">
      <c r="A517" s="34"/>
    </row>
    <row r="518">
      <c r="A518" s="34"/>
    </row>
    <row r="519">
      <c r="A519" s="34"/>
    </row>
    <row r="520">
      <c r="A520" s="34"/>
    </row>
    <row r="521">
      <c r="A521" s="34"/>
    </row>
    <row r="522">
      <c r="A522" s="34"/>
    </row>
    <row r="523">
      <c r="A523" s="34"/>
    </row>
    <row r="524">
      <c r="A524" s="34"/>
    </row>
    <row r="525">
      <c r="A525" s="34"/>
    </row>
    <row r="526">
      <c r="A526" s="34"/>
    </row>
    <row r="527">
      <c r="A527" s="34"/>
    </row>
    <row r="528">
      <c r="A528" s="34"/>
    </row>
    <row r="529">
      <c r="A529" s="34"/>
    </row>
    <row r="530">
      <c r="A530" s="34"/>
    </row>
    <row r="531">
      <c r="A531" s="34"/>
    </row>
    <row r="532">
      <c r="A532" s="34"/>
    </row>
    <row r="533">
      <c r="A533" s="34"/>
    </row>
    <row r="534">
      <c r="A534" s="34"/>
    </row>
    <row r="535">
      <c r="A535" s="34"/>
    </row>
    <row r="536">
      <c r="A536" s="34"/>
    </row>
    <row r="537">
      <c r="A537" s="34"/>
    </row>
    <row r="538">
      <c r="A538" s="34"/>
    </row>
    <row r="539">
      <c r="A539" s="34"/>
    </row>
    <row r="540">
      <c r="A540" s="34"/>
    </row>
    <row r="541">
      <c r="A541" s="34"/>
    </row>
    <row r="542">
      <c r="A542" s="34"/>
    </row>
    <row r="543">
      <c r="A543" s="34"/>
    </row>
    <row r="544">
      <c r="A544" s="34"/>
    </row>
    <row r="545">
      <c r="A545" s="34"/>
    </row>
    <row r="546">
      <c r="A546" s="34"/>
    </row>
    <row r="547">
      <c r="A547" s="34"/>
    </row>
    <row r="548">
      <c r="A548" s="34"/>
    </row>
    <row r="549">
      <c r="A549" s="34"/>
    </row>
    <row r="550">
      <c r="A550" s="34"/>
    </row>
    <row r="551">
      <c r="A551" s="34"/>
    </row>
    <row r="552">
      <c r="A552" s="34"/>
    </row>
    <row r="553">
      <c r="A553" s="34"/>
    </row>
    <row r="554">
      <c r="A554" s="34"/>
    </row>
    <row r="555">
      <c r="A555" s="34"/>
    </row>
    <row r="556">
      <c r="A556" s="34"/>
    </row>
    <row r="557">
      <c r="A557" s="34"/>
    </row>
    <row r="558">
      <c r="A558" s="34"/>
    </row>
    <row r="559">
      <c r="A559" s="34"/>
    </row>
    <row r="560">
      <c r="A560" s="34"/>
    </row>
    <row r="561">
      <c r="A561" s="34"/>
    </row>
    <row r="562">
      <c r="A562" s="34"/>
    </row>
    <row r="563">
      <c r="A563" s="34"/>
    </row>
    <row r="564">
      <c r="A564" s="34"/>
    </row>
    <row r="565">
      <c r="A565" s="34"/>
    </row>
    <row r="566">
      <c r="A566" s="34"/>
    </row>
    <row r="567">
      <c r="A567" s="34"/>
    </row>
    <row r="568">
      <c r="A568" s="34"/>
    </row>
    <row r="569">
      <c r="A569" s="34"/>
    </row>
    <row r="570">
      <c r="A570" s="34"/>
    </row>
    <row r="571">
      <c r="A571" s="34"/>
    </row>
    <row r="572">
      <c r="A572" s="34"/>
    </row>
    <row r="573">
      <c r="A573" s="34"/>
    </row>
    <row r="574">
      <c r="A574" s="34"/>
    </row>
    <row r="575">
      <c r="A575" s="34"/>
    </row>
    <row r="576">
      <c r="A576" s="34"/>
    </row>
    <row r="577">
      <c r="A577" s="34"/>
    </row>
    <row r="578">
      <c r="A578" s="34"/>
    </row>
    <row r="579">
      <c r="A579" s="34"/>
    </row>
    <row r="580">
      <c r="A580" s="34"/>
    </row>
    <row r="581">
      <c r="A581" s="34"/>
    </row>
    <row r="582">
      <c r="A582" s="34"/>
    </row>
    <row r="583">
      <c r="A583" s="34"/>
    </row>
    <row r="584">
      <c r="A584" s="34"/>
    </row>
    <row r="585">
      <c r="A585" s="34"/>
    </row>
    <row r="586">
      <c r="A586" s="34"/>
    </row>
    <row r="587">
      <c r="A587" s="34"/>
    </row>
    <row r="588">
      <c r="A588" s="34"/>
    </row>
    <row r="589">
      <c r="A589" s="34"/>
    </row>
    <row r="590">
      <c r="A590" s="34"/>
    </row>
    <row r="591">
      <c r="A591" s="34"/>
    </row>
    <row r="592">
      <c r="A592" s="34"/>
    </row>
    <row r="593">
      <c r="A593" s="34"/>
    </row>
    <row r="594">
      <c r="A594" s="34"/>
    </row>
    <row r="595">
      <c r="A595" s="34"/>
    </row>
    <row r="596">
      <c r="A596" s="34"/>
    </row>
    <row r="597">
      <c r="A597" s="34"/>
    </row>
    <row r="598">
      <c r="A598" s="34"/>
    </row>
    <row r="599">
      <c r="A599" s="34"/>
    </row>
    <row r="600">
      <c r="A600" s="34"/>
    </row>
    <row r="601">
      <c r="A601" s="34"/>
    </row>
    <row r="602">
      <c r="A602" s="34"/>
    </row>
    <row r="603">
      <c r="A603" s="34"/>
    </row>
    <row r="604">
      <c r="A604" s="34"/>
    </row>
    <row r="605">
      <c r="A605" s="34"/>
    </row>
    <row r="606">
      <c r="A606" s="34"/>
    </row>
    <row r="607">
      <c r="A607" s="34"/>
    </row>
    <row r="608">
      <c r="A608" s="34"/>
    </row>
    <row r="609">
      <c r="A609" s="34"/>
    </row>
    <row r="610">
      <c r="A610" s="34"/>
    </row>
    <row r="611">
      <c r="A611" s="34"/>
    </row>
    <row r="612">
      <c r="A612" s="34"/>
    </row>
    <row r="613">
      <c r="A613" s="34"/>
    </row>
    <row r="614">
      <c r="A614" s="34"/>
    </row>
    <row r="615">
      <c r="A615" s="34"/>
    </row>
    <row r="616">
      <c r="A616" s="34"/>
    </row>
    <row r="617">
      <c r="A617" s="34"/>
    </row>
    <row r="618">
      <c r="A618" s="34"/>
    </row>
    <row r="619">
      <c r="A619" s="34"/>
    </row>
    <row r="620">
      <c r="A620" s="34"/>
    </row>
    <row r="621">
      <c r="A621" s="34"/>
    </row>
    <row r="622">
      <c r="A622" s="34"/>
    </row>
    <row r="623">
      <c r="A623" s="34"/>
    </row>
    <row r="624">
      <c r="A624" s="34"/>
    </row>
    <row r="625">
      <c r="A625" s="34"/>
    </row>
    <row r="626">
      <c r="A626" s="34"/>
    </row>
    <row r="627">
      <c r="A627" s="34"/>
    </row>
    <row r="628">
      <c r="A628" s="34"/>
    </row>
    <row r="629">
      <c r="A629" s="34"/>
    </row>
    <row r="630">
      <c r="A630" s="34"/>
    </row>
    <row r="631">
      <c r="A631" s="34"/>
    </row>
    <row r="632">
      <c r="A632" s="34"/>
    </row>
    <row r="633">
      <c r="A633" s="34"/>
    </row>
    <row r="634">
      <c r="A634" s="34"/>
    </row>
    <row r="635">
      <c r="A635" s="34"/>
    </row>
    <row r="636">
      <c r="A636" s="34"/>
    </row>
    <row r="637">
      <c r="A637" s="34"/>
    </row>
    <row r="638">
      <c r="A638" s="34"/>
    </row>
    <row r="639">
      <c r="A639" s="34"/>
    </row>
    <row r="640">
      <c r="A640" s="34"/>
    </row>
    <row r="641">
      <c r="A641" s="34"/>
    </row>
    <row r="642">
      <c r="A642" s="34"/>
    </row>
    <row r="643">
      <c r="A643" s="34"/>
    </row>
    <row r="644">
      <c r="A644" s="34"/>
    </row>
    <row r="645">
      <c r="A645" s="34"/>
    </row>
    <row r="646">
      <c r="A646" s="34"/>
    </row>
    <row r="647">
      <c r="A647" s="34"/>
    </row>
    <row r="648">
      <c r="A648" s="34"/>
    </row>
    <row r="649">
      <c r="A649" s="34"/>
    </row>
    <row r="650">
      <c r="A650" s="34"/>
    </row>
    <row r="651">
      <c r="A651" s="34"/>
    </row>
    <row r="652">
      <c r="A652" s="34"/>
    </row>
    <row r="653">
      <c r="A653" s="34"/>
    </row>
    <row r="654">
      <c r="A654" s="34"/>
    </row>
    <row r="655">
      <c r="A655" s="34"/>
    </row>
    <row r="656">
      <c r="A656" s="34"/>
    </row>
    <row r="657">
      <c r="A657" s="34"/>
    </row>
    <row r="658">
      <c r="A658" s="34"/>
    </row>
    <row r="659">
      <c r="A659" s="34"/>
    </row>
    <row r="660">
      <c r="A660" s="34"/>
    </row>
    <row r="661">
      <c r="A661" s="34"/>
    </row>
    <row r="662">
      <c r="A662" s="34"/>
    </row>
    <row r="663">
      <c r="A663" s="34"/>
    </row>
    <row r="664">
      <c r="A664" s="34"/>
    </row>
    <row r="665">
      <c r="A665" s="34"/>
    </row>
    <row r="666">
      <c r="A666" s="34"/>
    </row>
    <row r="667">
      <c r="A667" s="34"/>
    </row>
    <row r="668">
      <c r="A668" s="34"/>
    </row>
    <row r="669">
      <c r="A669" s="34"/>
    </row>
    <row r="670">
      <c r="A670" s="34"/>
    </row>
    <row r="671">
      <c r="A671" s="34"/>
    </row>
    <row r="672">
      <c r="A672" s="34"/>
    </row>
    <row r="673">
      <c r="A673" s="34"/>
    </row>
    <row r="674">
      <c r="A674" s="34"/>
    </row>
    <row r="675">
      <c r="A675" s="34"/>
    </row>
    <row r="676">
      <c r="A676" s="34"/>
    </row>
    <row r="677">
      <c r="A677" s="34"/>
    </row>
    <row r="678">
      <c r="A678" s="34"/>
    </row>
    <row r="679">
      <c r="A679" s="34"/>
    </row>
    <row r="680">
      <c r="A680" s="34"/>
    </row>
    <row r="681">
      <c r="A681" s="34"/>
    </row>
    <row r="682">
      <c r="A682" s="34"/>
    </row>
    <row r="683">
      <c r="A683" s="34"/>
    </row>
    <row r="684">
      <c r="A684" s="34"/>
    </row>
    <row r="685">
      <c r="A685" s="34"/>
    </row>
    <row r="686">
      <c r="A686" s="34"/>
    </row>
    <row r="687">
      <c r="A687" s="34"/>
    </row>
    <row r="688">
      <c r="A688" s="34"/>
    </row>
    <row r="689">
      <c r="A689" s="34"/>
    </row>
    <row r="690">
      <c r="A690" s="34"/>
    </row>
    <row r="691">
      <c r="A691" s="34"/>
    </row>
    <row r="692">
      <c r="A692" s="34"/>
    </row>
    <row r="693">
      <c r="A693" s="34"/>
    </row>
    <row r="694">
      <c r="A694" s="34"/>
    </row>
    <row r="695">
      <c r="A695" s="34"/>
    </row>
    <row r="696">
      <c r="A696" s="34"/>
    </row>
    <row r="697">
      <c r="A697" s="34"/>
    </row>
    <row r="698">
      <c r="A698" s="34"/>
    </row>
    <row r="699">
      <c r="A699" s="34"/>
    </row>
    <row r="700">
      <c r="A700" s="34"/>
    </row>
    <row r="701">
      <c r="A701" s="34"/>
    </row>
    <row r="702">
      <c r="A702" s="34"/>
    </row>
    <row r="703">
      <c r="A703" s="34"/>
    </row>
    <row r="704">
      <c r="A704" s="34"/>
    </row>
    <row r="705">
      <c r="A705" s="34"/>
    </row>
    <row r="706">
      <c r="A706" s="34"/>
    </row>
    <row r="707">
      <c r="A707" s="34"/>
    </row>
    <row r="708">
      <c r="A708" s="34"/>
    </row>
    <row r="709">
      <c r="A709" s="34"/>
    </row>
    <row r="710">
      <c r="A710" s="34"/>
    </row>
    <row r="711">
      <c r="A711" s="34"/>
    </row>
    <row r="712">
      <c r="A712" s="34"/>
    </row>
    <row r="713">
      <c r="A713" s="34"/>
    </row>
    <row r="714">
      <c r="A714" s="34"/>
    </row>
    <row r="715">
      <c r="A715" s="34"/>
    </row>
    <row r="716">
      <c r="A716" s="34"/>
    </row>
    <row r="717">
      <c r="A717" s="34"/>
    </row>
    <row r="718">
      <c r="A718" s="34"/>
    </row>
    <row r="719">
      <c r="A719" s="34"/>
    </row>
    <row r="720">
      <c r="A720" s="34"/>
    </row>
    <row r="721">
      <c r="A721" s="34"/>
    </row>
    <row r="722">
      <c r="A722" s="34"/>
    </row>
    <row r="723">
      <c r="A723" s="34"/>
    </row>
    <row r="724">
      <c r="A724" s="34"/>
    </row>
    <row r="725">
      <c r="A725" s="34"/>
    </row>
    <row r="726">
      <c r="A726" s="34"/>
    </row>
    <row r="727">
      <c r="A727" s="34"/>
    </row>
    <row r="728">
      <c r="A728" s="34"/>
    </row>
    <row r="729">
      <c r="A729" s="34"/>
    </row>
    <row r="730">
      <c r="A730" s="34"/>
    </row>
    <row r="731">
      <c r="A731" s="34"/>
    </row>
    <row r="732">
      <c r="A732" s="34"/>
    </row>
    <row r="733">
      <c r="A733" s="34"/>
    </row>
    <row r="734">
      <c r="A734" s="34"/>
    </row>
    <row r="735">
      <c r="A735" s="34"/>
    </row>
    <row r="736">
      <c r="A736" s="34"/>
    </row>
    <row r="737">
      <c r="A737" s="34"/>
    </row>
    <row r="738">
      <c r="A738" s="34"/>
    </row>
    <row r="739">
      <c r="A739" s="34"/>
    </row>
    <row r="740">
      <c r="A740" s="34"/>
    </row>
    <row r="741">
      <c r="A741" s="34"/>
    </row>
    <row r="742">
      <c r="A742" s="34"/>
    </row>
    <row r="743">
      <c r="A743" s="34"/>
    </row>
    <row r="744">
      <c r="A744" s="34"/>
    </row>
    <row r="745">
      <c r="A745" s="34"/>
    </row>
    <row r="746">
      <c r="A746" s="34"/>
    </row>
    <row r="747">
      <c r="A747" s="34"/>
    </row>
    <row r="748">
      <c r="A748" s="34"/>
    </row>
    <row r="749">
      <c r="A749" s="34"/>
    </row>
    <row r="750">
      <c r="A750" s="34"/>
    </row>
    <row r="751">
      <c r="A751" s="34"/>
    </row>
    <row r="752">
      <c r="A752" s="34"/>
    </row>
    <row r="753">
      <c r="A753" s="34"/>
    </row>
    <row r="754">
      <c r="A754" s="34"/>
    </row>
    <row r="755">
      <c r="A755" s="34"/>
    </row>
    <row r="756">
      <c r="A756" s="34"/>
    </row>
    <row r="757">
      <c r="A757" s="34"/>
    </row>
    <row r="758">
      <c r="A758" s="34"/>
    </row>
    <row r="759">
      <c r="A759" s="34"/>
    </row>
    <row r="760">
      <c r="A760" s="34"/>
    </row>
    <row r="761">
      <c r="A761" s="34"/>
    </row>
    <row r="762">
      <c r="A762" s="34"/>
    </row>
    <row r="763">
      <c r="A763" s="34"/>
    </row>
    <row r="764">
      <c r="A764" s="34"/>
    </row>
    <row r="765">
      <c r="A765" s="34"/>
    </row>
    <row r="766">
      <c r="A766" s="34"/>
    </row>
    <row r="767">
      <c r="A767" s="34"/>
    </row>
    <row r="768">
      <c r="A768" s="34"/>
    </row>
    <row r="769">
      <c r="A769" s="34"/>
    </row>
    <row r="770">
      <c r="A770" s="34"/>
    </row>
    <row r="771">
      <c r="A771" s="34"/>
    </row>
    <row r="772">
      <c r="A772" s="34"/>
    </row>
    <row r="773">
      <c r="A773" s="34"/>
    </row>
    <row r="774">
      <c r="A774" s="34"/>
    </row>
    <row r="775">
      <c r="A775" s="34"/>
    </row>
    <row r="776">
      <c r="A776" s="34"/>
    </row>
    <row r="777">
      <c r="A777" s="34"/>
    </row>
    <row r="778">
      <c r="A778" s="34"/>
    </row>
    <row r="779">
      <c r="A779" s="34"/>
    </row>
    <row r="780">
      <c r="A780" s="34"/>
    </row>
    <row r="781">
      <c r="A781" s="34"/>
    </row>
    <row r="782">
      <c r="A782" s="34"/>
    </row>
    <row r="783">
      <c r="A783" s="34"/>
    </row>
    <row r="784">
      <c r="A784" s="34"/>
    </row>
    <row r="785">
      <c r="A785" s="34"/>
    </row>
    <row r="786">
      <c r="A786" s="34"/>
    </row>
    <row r="787">
      <c r="A787" s="34"/>
    </row>
    <row r="788">
      <c r="A788" s="34"/>
    </row>
    <row r="789">
      <c r="A789" s="34"/>
    </row>
    <row r="790">
      <c r="A790" s="34"/>
    </row>
    <row r="791">
      <c r="A791" s="34"/>
    </row>
    <row r="792">
      <c r="A792" s="34"/>
    </row>
    <row r="793">
      <c r="A793" s="34"/>
    </row>
    <row r="794">
      <c r="A794" s="34"/>
    </row>
    <row r="795">
      <c r="A795" s="34"/>
    </row>
    <row r="796">
      <c r="A796" s="34"/>
    </row>
    <row r="797">
      <c r="A797" s="34"/>
    </row>
    <row r="798">
      <c r="A798" s="34"/>
    </row>
    <row r="799">
      <c r="A799" s="34"/>
    </row>
    <row r="800">
      <c r="A800" s="34"/>
    </row>
    <row r="801">
      <c r="A801" s="34"/>
    </row>
    <row r="802">
      <c r="A802" s="34"/>
    </row>
    <row r="803">
      <c r="A803" s="34"/>
    </row>
    <row r="804">
      <c r="A804" s="34"/>
    </row>
    <row r="805">
      <c r="A805" s="34"/>
    </row>
    <row r="806">
      <c r="A806" s="34"/>
    </row>
    <row r="807">
      <c r="A807" s="34"/>
    </row>
    <row r="808">
      <c r="A808" s="34"/>
    </row>
    <row r="809">
      <c r="A809" s="34"/>
    </row>
    <row r="810">
      <c r="A810" s="34"/>
    </row>
    <row r="811">
      <c r="A811" s="34"/>
    </row>
    <row r="812">
      <c r="A812" s="34"/>
    </row>
    <row r="813">
      <c r="A813" s="34"/>
    </row>
    <row r="814">
      <c r="A814" s="34"/>
    </row>
    <row r="815">
      <c r="A815" s="34"/>
    </row>
    <row r="816">
      <c r="A816" s="34"/>
    </row>
    <row r="817">
      <c r="A817" s="34"/>
    </row>
    <row r="818">
      <c r="A818" s="34"/>
    </row>
    <row r="819">
      <c r="A819" s="34"/>
    </row>
    <row r="820">
      <c r="A820" s="34"/>
    </row>
    <row r="821">
      <c r="A821" s="34"/>
    </row>
    <row r="822">
      <c r="A822" s="34"/>
    </row>
    <row r="823">
      <c r="A823" s="34"/>
    </row>
    <row r="824">
      <c r="A824" s="34"/>
    </row>
    <row r="825">
      <c r="A825" s="34"/>
    </row>
    <row r="826">
      <c r="A826" s="34"/>
    </row>
    <row r="827">
      <c r="A827" s="34"/>
    </row>
    <row r="828">
      <c r="A828" s="34"/>
    </row>
    <row r="829">
      <c r="A829" s="34"/>
    </row>
    <row r="830">
      <c r="A830" s="34"/>
    </row>
    <row r="831">
      <c r="A831" s="34"/>
    </row>
    <row r="832">
      <c r="A832" s="34"/>
    </row>
    <row r="833">
      <c r="A833" s="34"/>
    </row>
    <row r="834">
      <c r="A834" s="34"/>
    </row>
    <row r="835">
      <c r="A835" s="34"/>
    </row>
    <row r="836">
      <c r="A836" s="34"/>
    </row>
    <row r="837">
      <c r="A837" s="34"/>
    </row>
    <row r="838">
      <c r="A838" s="34"/>
    </row>
    <row r="839">
      <c r="A839" s="34"/>
    </row>
    <row r="840">
      <c r="A840" s="34"/>
    </row>
    <row r="841">
      <c r="A841" s="34"/>
    </row>
    <row r="842">
      <c r="A842" s="34"/>
    </row>
    <row r="843">
      <c r="A843" s="34"/>
    </row>
    <row r="844">
      <c r="A844" s="34"/>
    </row>
    <row r="845">
      <c r="A845" s="34"/>
    </row>
    <row r="846">
      <c r="A846" s="34"/>
    </row>
    <row r="847">
      <c r="A847" s="34"/>
    </row>
    <row r="848">
      <c r="A848" s="34"/>
    </row>
    <row r="849">
      <c r="A849" s="34"/>
    </row>
    <row r="850">
      <c r="A850" s="34"/>
    </row>
    <row r="851">
      <c r="A851" s="34"/>
    </row>
    <row r="852">
      <c r="A852" s="34"/>
    </row>
    <row r="853">
      <c r="A853" s="34"/>
    </row>
    <row r="854">
      <c r="A854" s="34"/>
    </row>
    <row r="855">
      <c r="A855" s="34"/>
    </row>
    <row r="856">
      <c r="A856" s="34"/>
    </row>
    <row r="857">
      <c r="A857" s="34"/>
    </row>
    <row r="858">
      <c r="A858" s="34"/>
    </row>
    <row r="859">
      <c r="A859" s="34"/>
    </row>
    <row r="860">
      <c r="A860" s="34"/>
    </row>
    <row r="861">
      <c r="A861" s="34"/>
    </row>
    <row r="862">
      <c r="A862" s="34"/>
    </row>
    <row r="863">
      <c r="A863" s="34"/>
    </row>
    <row r="864">
      <c r="A864" s="34"/>
    </row>
    <row r="865">
      <c r="A865" s="34"/>
    </row>
    <row r="866">
      <c r="A866" s="34"/>
    </row>
    <row r="867">
      <c r="A867" s="34"/>
    </row>
    <row r="868">
      <c r="A868" s="34"/>
    </row>
    <row r="869">
      <c r="A869" s="34"/>
    </row>
    <row r="870">
      <c r="A870" s="34"/>
    </row>
    <row r="871">
      <c r="A871" s="34"/>
    </row>
    <row r="872">
      <c r="A872" s="34"/>
    </row>
    <row r="873">
      <c r="A873" s="34"/>
    </row>
    <row r="874">
      <c r="A874" s="34"/>
    </row>
    <row r="875">
      <c r="A875" s="34"/>
    </row>
    <row r="876">
      <c r="A876" s="34"/>
    </row>
    <row r="877">
      <c r="A877" s="34"/>
    </row>
    <row r="878">
      <c r="A878" s="34"/>
    </row>
    <row r="879">
      <c r="A879" s="34"/>
    </row>
    <row r="880">
      <c r="A880" s="34"/>
    </row>
    <row r="881">
      <c r="A881" s="34"/>
    </row>
    <row r="882">
      <c r="A882" s="34"/>
    </row>
    <row r="883">
      <c r="A883" s="34"/>
    </row>
    <row r="884">
      <c r="A884" s="34"/>
    </row>
    <row r="885">
      <c r="A885" s="34"/>
    </row>
    <row r="886">
      <c r="A886" s="34"/>
    </row>
    <row r="887">
      <c r="A887" s="34"/>
    </row>
    <row r="888">
      <c r="A888" s="34"/>
    </row>
    <row r="889">
      <c r="A889" s="34"/>
    </row>
    <row r="890">
      <c r="A890" s="34"/>
    </row>
    <row r="891">
      <c r="A891" s="34"/>
    </row>
    <row r="892">
      <c r="A892" s="34"/>
    </row>
    <row r="893">
      <c r="A893" s="34"/>
    </row>
    <row r="894">
      <c r="A894" s="34"/>
    </row>
    <row r="895">
      <c r="A895" s="34"/>
    </row>
    <row r="896">
      <c r="A896" s="34"/>
    </row>
    <row r="897">
      <c r="A897" s="34"/>
    </row>
    <row r="898">
      <c r="A898" s="34"/>
    </row>
    <row r="899">
      <c r="A899" s="34"/>
    </row>
    <row r="900">
      <c r="A900" s="34"/>
    </row>
    <row r="901">
      <c r="A901" s="34"/>
    </row>
    <row r="902">
      <c r="A902" s="34"/>
    </row>
    <row r="903">
      <c r="A903" s="34"/>
    </row>
    <row r="904">
      <c r="A904" s="34"/>
    </row>
    <row r="905">
      <c r="A905" s="34"/>
    </row>
    <row r="906">
      <c r="A906" s="34"/>
    </row>
    <row r="907">
      <c r="A907" s="34"/>
    </row>
    <row r="908">
      <c r="A908" s="34"/>
    </row>
    <row r="909">
      <c r="A909" s="34"/>
    </row>
    <row r="910">
      <c r="A910" s="34"/>
    </row>
    <row r="911">
      <c r="A911" s="34"/>
    </row>
    <row r="912">
      <c r="A912" s="34"/>
    </row>
    <row r="913">
      <c r="A913" s="34"/>
    </row>
    <row r="914">
      <c r="A914" s="34"/>
    </row>
    <row r="915">
      <c r="A915" s="34"/>
    </row>
    <row r="916">
      <c r="A916" s="34"/>
    </row>
    <row r="917">
      <c r="A917" s="34"/>
    </row>
    <row r="918">
      <c r="A918" s="34"/>
    </row>
    <row r="919">
      <c r="A919" s="34"/>
    </row>
    <row r="920">
      <c r="A920" s="34"/>
    </row>
    <row r="921">
      <c r="A921" s="34"/>
    </row>
    <row r="922">
      <c r="A922" s="34"/>
    </row>
    <row r="923">
      <c r="A923" s="34"/>
    </row>
    <row r="924">
      <c r="A924" s="34"/>
    </row>
    <row r="925">
      <c r="A925" s="34"/>
    </row>
    <row r="926">
      <c r="A926" s="34"/>
    </row>
    <row r="927">
      <c r="A927" s="34"/>
    </row>
    <row r="928">
      <c r="A928" s="34"/>
    </row>
    <row r="929">
      <c r="A929" s="34"/>
    </row>
    <row r="930">
      <c r="A930" s="34"/>
    </row>
    <row r="931">
      <c r="A931" s="34"/>
    </row>
    <row r="932">
      <c r="A932" s="34"/>
    </row>
    <row r="933">
      <c r="A933" s="34"/>
    </row>
    <row r="934">
      <c r="A934" s="34"/>
    </row>
    <row r="935">
      <c r="A935" s="34"/>
    </row>
    <row r="936">
      <c r="A936" s="34"/>
    </row>
    <row r="937">
      <c r="A937" s="34"/>
    </row>
    <row r="938">
      <c r="A938" s="34"/>
    </row>
    <row r="939">
      <c r="A939" s="34"/>
    </row>
    <row r="940">
      <c r="A940" s="34"/>
    </row>
    <row r="941">
      <c r="A941" s="34"/>
    </row>
    <row r="942">
      <c r="A942" s="34"/>
    </row>
    <row r="943">
      <c r="A943" s="34"/>
    </row>
    <row r="944">
      <c r="A944" s="34"/>
    </row>
    <row r="945">
      <c r="A945" s="34"/>
    </row>
    <row r="946">
      <c r="A946" s="34"/>
    </row>
    <row r="947">
      <c r="A947" s="34"/>
    </row>
    <row r="948">
      <c r="A948" s="34"/>
    </row>
    <row r="949">
      <c r="A949" s="34"/>
    </row>
    <row r="950">
      <c r="A950" s="34"/>
    </row>
    <row r="951">
      <c r="A951" s="34"/>
    </row>
    <row r="952">
      <c r="A952" s="34"/>
    </row>
    <row r="953">
      <c r="A953" s="34"/>
    </row>
    <row r="954">
      <c r="A954" s="34"/>
    </row>
    <row r="955">
      <c r="A955" s="34"/>
    </row>
    <row r="956">
      <c r="A956" s="34"/>
    </row>
    <row r="957">
      <c r="A957" s="34"/>
    </row>
    <row r="958">
      <c r="A958" s="34"/>
    </row>
    <row r="959">
      <c r="A959" s="34"/>
    </row>
    <row r="960">
      <c r="A960" s="34"/>
    </row>
    <row r="961">
      <c r="A961" s="34"/>
    </row>
    <row r="962">
      <c r="A962" s="34"/>
    </row>
    <row r="963">
      <c r="A963" s="34"/>
    </row>
    <row r="964">
      <c r="A964" s="34"/>
    </row>
    <row r="965">
      <c r="A965" s="34"/>
    </row>
    <row r="966">
      <c r="A966" s="34"/>
    </row>
    <row r="967">
      <c r="A967" s="34"/>
    </row>
    <row r="968">
      <c r="A968" s="34"/>
    </row>
    <row r="969">
      <c r="A969" s="34"/>
    </row>
    <row r="970">
      <c r="A970" s="34"/>
    </row>
    <row r="971">
      <c r="A971" s="34"/>
    </row>
    <row r="972">
      <c r="A972" s="34"/>
    </row>
    <row r="973">
      <c r="A973" s="34"/>
    </row>
    <row r="974">
      <c r="A974" s="34"/>
    </row>
    <row r="975">
      <c r="A975" s="34"/>
    </row>
    <row r="976">
      <c r="A976" s="34"/>
    </row>
    <row r="977">
      <c r="A977" s="34"/>
    </row>
    <row r="978">
      <c r="A978" s="34"/>
    </row>
    <row r="979">
      <c r="A979" s="34"/>
    </row>
    <row r="980">
      <c r="A980" s="34"/>
    </row>
    <row r="981">
      <c r="A981" s="34"/>
    </row>
    <row r="982">
      <c r="A982" s="34"/>
    </row>
    <row r="983">
      <c r="A983" s="34"/>
    </row>
    <row r="984">
      <c r="A984" s="34"/>
    </row>
    <row r="985">
      <c r="A985" s="34"/>
    </row>
    <row r="986">
      <c r="A986" s="34"/>
    </row>
    <row r="987">
      <c r="A987" s="34"/>
    </row>
    <row r="988">
      <c r="A988" s="34"/>
    </row>
    <row r="989">
      <c r="A989" s="34"/>
    </row>
    <row r="990">
      <c r="A990" s="34"/>
    </row>
    <row r="991">
      <c r="A991" s="34"/>
    </row>
    <row r="992">
      <c r="A992" s="34"/>
    </row>
    <row r="993">
      <c r="A993" s="34"/>
    </row>
    <row r="994">
      <c r="A994" s="34"/>
    </row>
    <row r="995">
      <c r="A995" s="34"/>
    </row>
    <row r="996">
      <c r="A996" s="34"/>
    </row>
    <row r="997">
      <c r="A997" s="34"/>
    </row>
    <row r="998">
      <c r="A998" s="34"/>
    </row>
    <row r="999">
      <c r="A999" s="34"/>
    </row>
    <row r="1000">
      <c r="A1000" s="34"/>
    </row>
    <row r="1001">
      <c r="A1001" s="34"/>
    </row>
    <row r="1002">
      <c r="A1002" s="34"/>
    </row>
    <row r="1003">
      <c r="A1003" s="34"/>
    </row>
    <row r="1004">
      <c r="A1004" s="34"/>
    </row>
    <row r="1005">
      <c r="A1005" s="34"/>
    </row>
    <row r="1006">
      <c r="A1006" s="34"/>
    </row>
    <row r="1007">
      <c r="A1007" s="34"/>
    </row>
    <row r="1008">
      <c r="A1008" s="34"/>
    </row>
    <row r="1009">
      <c r="A1009" s="34"/>
    </row>
    <row r="1010">
      <c r="A1010" s="34"/>
    </row>
    <row r="1011">
      <c r="A1011" s="34"/>
    </row>
    <row r="1012">
      <c r="A1012" s="34"/>
    </row>
    <row r="1013">
      <c r="A1013" s="34"/>
    </row>
    <row r="1014">
      <c r="A1014" s="34"/>
    </row>
    <row r="1015">
      <c r="A1015" s="34"/>
    </row>
    <row r="1016">
      <c r="A1016" s="34"/>
    </row>
    <row r="1017">
      <c r="A1017" s="34"/>
    </row>
    <row r="1018">
      <c r="A1018" s="34"/>
    </row>
    <row r="1019">
      <c r="A1019" s="34"/>
    </row>
    <row r="1020">
      <c r="A1020" s="34"/>
    </row>
    <row r="1021">
      <c r="A1021" s="34"/>
    </row>
    <row r="1022">
      <c r="A1022" s="34"/>
    </row>
    <row r="1023">
      <c r="A1023" s="34"/>
    </row>
    <row r="1024">
      <c r="A1024" s="34"/>
    </row>
    <row r="1025">
      <c r="A1025" s="34"/>
    </row>
    <row r="1026">
      <c r="A1026" s="34"/>
    </row>
    <row r="1027">
      <c r="A1027" s="34"/>
    </row>
    <row r="1028">
      <c r="A1028" s="34"/>
    </row>
    <row r="1029">
      <c r="A1029" s="34"/>
    </row>
    <row r="1030">
      <c r="A1030" s="34"/>
    </row>
    <row r="1031">
      <c r="A1031" s="34"/>
    </row>
    <row r="1032">
      <c r="A1032" s="34"/>
    </row>
    <row r="1033">
      <c r="A1033" s="34"/>
    </row>
    <row r="1034">
      <c r="A1034" s="34"/>
    </row>
    <row r="1035">
      <c r="A1035" s="34"/>
    </row>
    <row r="1036">
      <c r="A1036" s="34"/>
    </row>
    <row r="1037">
      <c r="A1037" s="34"/>
    </row>
    <row r="1038">
      <c r="A1038" s="34"/>
    </row>
    <row r="1039">
      <c r="A1039" s="34"/>
    </row>
    <row r="1040">
      <c r="A1040" s="34"/>
    </row>
    <row r="1041">
      <c r="A1041" s="34"/>
    </row>
    <row r="1042">
      <c r="A1042" s="34"/>
    </row>
    <row r="1043">
      <c r="A1043" s="34"/>
    </row>
    <row r="1044">
      <c r="A1044" s="34"/>
    </row>
    <row r="1045">
      <c r="A1045" s="34"/>
    </row>
    <row r="1046">
      <c r="A1046" s="34"/>
    </row>
    <row r="1047">
      <c r="A1047" s="34"/>
    </row>
    <row r="1048">
      <c r="A1048" s="34"/>
    </row>
    <row r="1049">
      <c r="A1049" s="34"/>
    </row>
    <row r="1050">
      <c r="A1050" s="34"/>
    </row>
    <row r="1051">
      <c r="A1051" s="34"/>
    </row>
    <row r="1052">
      <c r="A1052" s="34"/>
    </row>
    <row r="1053">
      <c r="A1053" s="34"/>
    </row>
    <row r="1054">
      <c r="A1054" s="34"/>
    </row>
    <row r="1055">
      <c r="A1055" s="34"/>
    </row>
    <row r="1056">
      <c r="A1056" s="34"/>
    </row>
    <row r="1057">
      <c r="A1057" s="34"/>
    </row>
    <row r="1058">
      <c r="A1058" s="34"/>
    </row>
    <row r="1059">
      <c r="A1059" s="34"/>
    </row>
    <row r="1060">
      <c r="A1060" s="34"/>
    </row>
    <row r="1061">
      <c r="A1061" s="34"/>
    </row>
    <row r="1062">
      <c r="A1062" s="34"/>
    </row>
    <row r="1063">
      <c r="A1063" s="34"/>
    </row>
    <row r="1064">
      <c r="A1064" s="34"/>
    </row>
    <row r="1065">
      <c r="A1065" s="34"/>
    </row>
    <row r="1066">
      <c r="A1066" s="34"/>
    </row>
    <row r="1067">
      <c r="A1067" s="34"/>
    </row>
    <row r="1068">
      <c r="A1068" s="34"/>
    </row>
    <row r="1069">
      <c r="A1069" s="34"/>
    </row>
    <row r="1070">
      <c r="A1070" s="34"/>
    </row>
    <row r="1071">
      <c r="A1071" s="34"/>
    </row>
    <row r="1072">
      <c r="A1072" s="34"/>
    </row>
    <row r="1073">
      <c r="A1073" s="34"/>
    </row>
    <row r="1074">
      <c r="A1074" s="34"/>
    </row>
    <row r="1075">
      <c r="A1075" s="34"/>
    </row>
    <row r="1076">
      <c r="A1076" s="34"/>
    </row>
    <row r="1077">
      <c r="A1077" s="34"/>
    </row>
    <row r="1078">
      <c r="A1078" s="34"/>
    </row>
    <row r="1079">
      <c r="A1079" s="34"/>
    </row>
    <row r="1080">
      <c r="A1080" s="34"/>
    </row>
    <row r="1081">
      <c r="A1081" s="34"/>
    </row>
    <row r="1082">
      <c r="A1082" s="34"/>
    </row>
    <row r="1083">
      <c r="A1083" s="34"/>
    </row>
    <row r="1084">
      <c r="A1084" s="34"/>
    </row>
    <row r="1085">
      <c r="A1085" s="34"/>
    </row>
    <row r="1086">
      <c r="A1086" s="34"/>
    </row>
    <row r="1087">
      <c r="A1087" s="34"/>
    </row>
    <row r="1088">
      <c r="A1088" s="34"/>
    </row>
    <row r="1089">
      <c r="A1089" s="34"/>
    </row>
    <row r="1090">
      <c r="A1090" s="34"/>
    </row>
    <row r="1091">
      <c r="A1091" s="34"/>
    </row>
    <row r="1092">
      <c r="A1092" s="34"/>
    </row>
    <row r="1093">
      <c r="A1093" s="34"/>
    </row>
    <row r="1094">
      <c r="A1094" s="34"/>
    </row>
    <row r="1095">
      <c r="A1095" s="34"/>
    </row>
    <row r="1096">
      <c r="A1096" s="34"/>
    </row>
    <row r="1097">
      <c r="A1097" s="34"/>
    </row>
    <row r="1098">
      <c r="A1098" s="34"/>
    </row>
    <row r="1099">
      <c r="A1099" s="34"/>
    </row>
    <row r="1100">
      <c r="A1100" s="34"/>
    </row>
    <row r="1101">
      <c r="A1101" s="34"/>
    </row>
    <row r="1102">
      <c r="A1102" s="34"/>
    </row>
    <row r="1103">
      <c r="A1103" s="34"/>
    </row>
    <row r="1104">
      <c r="A1104" s="34"/>
    </row>
    <row r="1105">
      <c r="A1105" s="34"/>
    </row>
    <row r="1106">
      <c r="A1106" s="34"/>
    </row>
    <row r="1107">
      <c r="A1107" s="34"/>
    </row>
    <row r="1108">
      <c r="A1108" s="34"/>
    </row>
    <row r="1109">
      <c r="A1109" s="34"/>
    </row>
    <row r="1110">
      <c r="A1110" s="34"/>
    </row>
    <row r="1111">
      <c r="A1111" s="34"/>
    </row>
    <row r="1112">
      <c r="A1112" s="34"/>
    </row>
    <row r="1113">
      <c r="A1113" s="34"/>
    </row>
    <row r="1114">
      <c r="A1114" s="34"/>
    </row>
    <row r="1115">
      <c r="A1115" s="34"/>
    </row>
    <row r="1116">
      <c r="A1116" s="34"/>
    </row>
    <row r="1117">
      <c r="A1117" s="34"/>
    </row>
    <row r="1118">
      <c r="A1118" s="34"/>
    </row>
    <row r="1119">
      <c r="A1119" s="34"/>
    </row>
    <row r="1120">
      <c r="A1120" s="34"/>
    </row>
    <row r="1121">
      <c r="A1121" s="34"/>
    </row>
    <row r="1122">
      <c r="A1122" s="34"/>
    </row>
    <row r="1123">
      <c r="A1123" s="34"/>
    </row>
    <row r="1124">
      <c r="A1124" s="34"/>
    </row>
    <row r="1125">
      <c r="A1125" s="34"/>
    </row>
    <row r="1126">
      <c r="A1126" s="34"/>
    </row>
    <row r="1127">
      <c r="A1127" s="34"/>
    </row>
    <row r="1128">
      <c r="A1128" s="34"/>
    </row>
    <row r="1129">
      <c r="A1129" s="34"/>
    </row>
    <row r="1130">
      <c r="A1130" s="34"/>
    </row>
    <row r="1131">
      <c r="A1131" s="34"/>
    </row>
    <row r="1132">
      <c r="A1132" s="34"/>
    </row>
    <row r="1133">
      <c r="A1133" s="34"/>
    </row>
    <row r="1134">
      <c r="A1134" s="34"/>
    </row>
    <row r="1135">
      <c r="A1135" s="34"/>
    </row>
    <row r="1136">
      <c r="A1136" s="34"/>
    </row>
    <row r="1137">
      <c r="A1137" s="34"/>
    </row>
    <row r="1138">
      <c r="A1138" s="34"/>
    </row>
    <row r="1139">
      <c r="A1139" s="34"/>
    </row>
    <row r="1140">
      <c r="A1140" s="34"/>
    </row>
    <row r="1141">
      <c r="A1141" s="34"/>
    </row>
    <row r="1142">
      <c r="A1142" s="34"/>
    </row>
    <row r="1143">
      <c r="A1143" s="34"/>
    </row>
    <row r="1144">
      <c r="A1144" s="34"/>
    </row>
    <row r="1145">
      <c r="A1145" s="34"/>
    </row>
    <row r="1146">
      <c r="A1146" s="34"/>
    </row>
    <row r="1147">
      <c r="A1147" s="34"/>
    </row>
    <row r="1148">
      <c r="A1148" s="34"/>
    </row>
    <row r="1149">
      <c r="A1149" s="34"/>
    </row>
    <row r="1150">
      <c r="A1150" s="34"/>
    </row>
    <row r="1151">
      <c r="A1151" s="34"/>
    </row>
    <row r="1152">
      <c r="A1152" s="34"/>
    </row>
    <row r="1153">
      <c r="A1153" s="34"/>
    </row>
    <row r="1154">
      <c r="A1154" s="34"/>
    </row>
    <row r="1155">
      <c r="A1155" s="34"/>
    </row>
    <row r="1156">
      <c r="A1156" s="34"/>
    </row>
    <row r="1157">
      <c r="A1157" s="34"/>
    </row>
    <row r="1158">
      <c r="A1158" s="34"/>
    </row>
    <row r="1159">
      <c r="A1159" s="34"/>
    </row>
    <row r="1160">
      <c r="A1160" s="34"/>
    </row>
    <row r="1161">
      <c r="A1161" s="34"/>
    </row>
    <row r="1162">
      <c r="A1162" s="34"/>
    </row>
    <row r="1163">
      <c r="A1163" s="34"/>
    </row>
    <row r="1164">
      <c r="A1164" s="34"/>
    </row>
    <row r="1165">
      <c r="A1165" s="34"/>
    </row>
    <row r="1166">
      <c r="A1166" s="34"/>
    </row>
    <row r="1167">
      <c r="A1167" s="34"/>
    </row>
    <row r="1168">
      <c r="A1168" s="34"/>
    </row>
    <row r="1169">
      <c r="A1169" s="34"/>
    </row>
    <row r="1170">
      <c r="A1170" s="34"/>
    </row>
    <row r="1171">
      <c r="A1171" s="34"/>
    </row>
    <row r="1172">
      <c r="A1172" s="34"/>
    </row>
    <row r="1173">
      <c r="A1173" s="34"/>
    </row>
    <row r="1174">
      <c r="A1174" s="34"/>
    </row>
    <row r="1175">
      <c r="A1175" s="34"/>
    </row>
    <row r="1176">
      <c r="A1176" s="34"/>
    </row>
    <row r="1177">
      <c r="A1177" s="34"/>
    </row>
    <row r="1178">
      <c r="A1178" s="34"/>
    </row>
    <row r="1179">
      <c r="A1179" s="34"/>
    </row>
    <row r="1180">
      <c r="A1180" s="34"/>
    </row>
    <row r="1181">
      <c r="A1181" s="34"/>
    </row>
    <row r="1182">
      <c r="A1182" s="34"/>
    </row>
    <row r="1183">
      <c r="A1183" s="34"/>
    </row>
    <row r="1184">
      <c r="A1184" s="34"/>
    </row>
    <row r="1185">
      <c r="A1185" s="34"/>
    </row>
    <row r="1186">
      <c r="A1186" s="34"/>
    </row>
    <row r="1187">
      <c r="A1187" s="34"/>
    </row>
    <row r="1188">
      <c r="A1188" s="34"/>
    </row>
    <row r="1189">
      <c r="A1189" s="34"/>
    </row>
    <row r="1190">
      <c r="A1190" s="34"/>
    </row>
    <row r="1191">
      <c r="A1191" s="34"/>
    </row>
    <row r="1192">
      <c r="A1192" s="34"/>
    </row>
    <row r="1193">
      <c r="A1193" s="34"/>
    </row>
    <row r="1194">
      <c r="A1194" s="34"/>
    </row>
    <row r="1195">
      <c r="A1195" s="34"/>
    </row>
    <row r="1196">
      <c r="A1196" s="34"/>
    </row>
    <row r="1197">
      <c r="A1197" s="34"/>
    </row>
    <row r="1198">
      <c r="A1198" s="34"/>
    </row>
    <row r="1199">
      <c r="A1199" s="34"/>
    </row>
    <row r="1200">
      <c r="A1200" s="34"/>
    </row>
    <row r="1201">
      <c r="A1201" s="34"/>
    </row>
    <row r="1202">
      <c r="A1202" s="34"/>
    </row>
    <row r="1203">
      <c r="A1203" s="34"/>
    </row>
    <row r="1204">
      <c r="A1204" s="34"/>
    </row>
    <row r="1205">
      <c r="A1205" s="34"/>
    </row>
    <row r="1206">
      <c r="A1206" s="34"/>
    </row>
    <row r="1207">
      <c r="A1207" s="34"/>
    </row>
    <row r="1208">
      <c r="A1208" s="34"/>
    </row>
    <row r="1209">
      <c r="A1209" s="34"/>
    </row>
    <row r="1210">
      <c r="A1210" s="34"/>
    </row>
    <row r="1211">
      <c r="A1211" s="34"/>
    </row>
    <row r="1212">
      <c r="A1212" s="34"/>
    </row>
    <row r="1213">
      <c r="A1213" s="34"/>
    </row>
    <row r="1214">
      <c r="A1214" s="34"/>
    </row>
    <row r="1215">
      <c r="A1215" s="34"/>
    </row>
    <row r="1216">
      <c r="A1216" s="34"/>
    </row>
    <row r="1217">
      <c r="A1217" s="34"/>
    </row>
    <row r="1218">
      <c r="A1218" s="34"/>
    </row>
    <row r="1219">
      <c r="A1219" s="34"/>
    </row>
    <row r="1220">
      <c r="A1220" s="34"/>
    </row>
    <row r="1221">
      <c r="A1221" s="34"/>
    </row>
    <row r="1222">
      <c r="A1222" s="34"/>
    </row>
    <row r="1223">
      <c r="A1223" s="34"/>
    </row>
    <row r="1224">
      <c r="A1224" s="34"/>
    </row>
    <row r="1225">
      <c r="A1225" s="34"/>
    </row>
    <row r="1226">
      <c r="A1226" s="34"/>
    </row>
    <row r="1227">
      <c r="A1227" s="34"/>
    </row>
    <row r="1228">
      <c r="A1228" s="34"/>
    </row>
    <row r="1229">
      <c r="A1229" s="34"/>
    </row>
    <row r="1230">
      <c r="A1230" s="34"/>
    </row>
    <row r="1231">
      <c r="A1231" s="34"/>
    </row>
    <row r="1232">
      <c r="A1232" s="34"/>
    </row>
    <row r="1233">
      <c r="A1233" s="34"/>
    </row>
    <row r="1234">
      <c r="A1234" s="34"/>
    </row>
    <row r="1235">
      <c r="A1235" s="34"/>
    </row>
    <row r="1236">
      <c r="A1236" s="34"/>
    </row>
    <row r="1237">
      <c r="A1237" s="34"/>
    </row>
    <row r="1238">
      <c r="A1238" s="34"/>
    </row>
    <row r="1239">
      <c r="A1239" s="34"/>
    </row>
    <row r="1240">
      <c r="A1240" s="34"/>
    </row>
    <row r="1241">
      <c r="A1241" s="34"/>
    </row>
    <row r="1242">
      <c r="A1242" s="34"/>
    </row>
    <row r="1243">
      <c r="A1243" s="34"/>
    </row>
    <row r="1244">
      <c r="A1244" s="34"/>
    </row>
    <row r="1245">
      <c r="A1245" s="34"/>
    </row>
    <row r="1246">
      <c r="A1246" s="34"/>
    </row>
    <row r="1247">
      <c r="A1247" s="34"/>
    </row>
    <row r="1248">
      <c r="A1248" s="34"/>
    </row>
    <row r="1249">
      <c r="A1249" s="34"/>
    </row>
    <row r="1250">
      <c r="A1250" s="34"/>
    </row>
    <row r="1251">
      <c r="A1251" s="34"/>
    </row>
    <row r="1252">
      <c r="A1252" s="34"/>
    </row>
    <row r="1253">
      <c r="A1253" s="34"/>
    </row>
    <row r="1254">
      <c r="A1254" s="34"/>
    </row>
    <row r="1255">
      <c r="A1255" s="34"/>
    </row>
    <row r="1256">
      <c r="A1256" s="34"/>
    </row>
    <row r="1257">
      <c r="A1257" s="34"/>
    </row>
    <row r="1258">
      <c r="A1258" s="34"/>
    </row>
    <row r="1259">
      <c r="A1259" s="34"/>
    </row>
    <row r="1260">
      <c r="A1260" s="34"/>
    </row>
    <row r="1261">
      <c r="A1261" s="34"/>
    </row>
    <row r="1262">
      <c r="A1262" s="34"/>
    </row>
    <row r="1263">
      <c r="A1263" s="34"/>
    </row>
    <row r="1264">
      <c r="A1264" s="34"/>
    </row>
    <row r="1265">
      <c r="A1265" s="34"/>
    </row>
    <row r="1266">
      <c r="A1266" s="34"/>
    </row>
    <row r="1267">
      <c r="A1267" s="34"/>
    </row>
    <row r="1268">
      <c r="A1268" s="34"/>
    </row>
    <row r="1269">
      <c r="A1269" s="34"/>
    </row>
    <row r="1270">
      <c r="A1270" s="34"/>
    </row>
    <row r="1271">
      <c r="A1271" s="34"/>
    </row>
    <row r="1272">
      <c r="A1272" s="34"/>
    </row>
    <row r="1273">
      <c r="A1273" s="34"/>
    </row>
    <row r="1274">
      <c r="A1274" s="34"/>
    </row>
    <row r="1275">
      <c r="A1275" s="34"/>
    </row>
    <row r="1276">
      <c r="A1276" s="34"/>
    </row>
    <row r="1277">
      <c r="A1277" s="34"/>
    </row>
    <row r="1278">
      <c r="A1278" s="34"/>
    </row>
    <row r="1279">
      <c r="A1279" s="34"/>
    </row>
    <row r="1280">
      <c r="A1280" s="34"/>
    </row>
    <row r="1281">
      <c r="A1281" s="34"/>
    </row>
    <row r="1282">
      <c r="A1282" s="34"/>
    </row>
    <row r="1283">
      <c r="A1283" s="34"/>
    </row>
    <row r="1284">
      <c r="A1284" s="34"/>
    </row>
    <row r="1285">
      <c r="A1285" s="34"/>
    </row>
    <row r="1286">
      <c r="A1286" s="34"/>
    </row>
    <row r="1287">
      <c r="A1287" s="34"/>
    </row>
    <row r="1288">
      <c r="A1288" s="34"/>
    </row>
    <row r="1289">
      <c r="A1289" s="34"/>
    </row>
    <row r="1290">
      <c r="A1290" s="34"/>
    </row>
    <row r="1291">
      <c r="A1291" s="34"/>
    </row>
    <row r="1292">
      <c r="A1292" s="34"/>
    </row>
    <row r="1293">
      <c r="A1293" s="34"/>
    </row>
    <row r="1294">
      <c r="A1294" s="34"/>
    </row>
    <row r="1295">
      <c r="A1295" s="34"/>
    </row>
    <row r="1296">
      <c r="A1296" s="34"/>
    </row>
    <row r="1297">
      <c r="A1297" s="34"/>
    </row>
    <row r="1298">
      <c r="A1298" s="34"/>
    </row>
    <row r="1299">
      <c r="A1299" s="34"/>
    </row>
    <row r="1300">
      <c r="A1300" s="34"/>
    </row>
    <row r="1301">
      <c r="A1301" s="34"/>
    </row>
    <row r="1302">
      <c r="A1302" s="34"/>
    </row>
    <row r="1303">
      <c r="A1303" s="34"/>
    </row>
    <row r="1304">
      <c r="A1304" s="34"/>
    </row>
    <row r="1305">
      <c r="A1305" s="34"/>
    </row>
    <row r="1306">
      <c r="A1306" s="34"/>
    </row>
    <row r="1307">
      <c r="A1307" s="34"/>
    </row>
    <row r="1308">
      <c r="A1308" s="34"/>
    </row>
    <row r="1309">
      <c r="A1309" s="34"/>
    </row>
    <row r="1310">
      <c r="A1310" s="34"/>
    </row>
    <row r="1311">
      <c r="A1311" s="34"/>
    </row>
    <row r="1312">
      <c r="A1312" s="34"/>
    </row>
    <row r="1313">
      <c r="A1313" s="34"/>
    </row>
    <row r="1314">
      <c r="A1314" s="34"/>
    </row>
    <row r="1315">
      <c r="A1315" s="34"/>
    </row>
    <row r="1316">
      <c r="A1316" s="34"/>
    </row>
    <row r="1317">
      <c r="A1317" s="34"/>
    </row>
    <row r="1318">
      <c r="A1318" s="34"/>
    </row>
    <row r="1319">
      <c r="A1319" s="34"/>
    </row>
    <row r="1320">
      <c r="A1320" s="34"/>
    </row>
    <row r="1321">
      <c r="A1321" s="34"/>
    </row>
    <row r="1322">
      <c r="A1322" s="34"/>
    </row>
    <row r="1323">
      <c r="A1323" s="34"/>
    </row>
    <row r="1324">
      <c r="A1324" s="34"/>
    </row>
    <row r="1325">
      <c r="A1325" s="34"/>
    </row>
    <row r="1326">
      <c r="A1326" s="34"/>
    </row>
    <row r="1327">
      <c r="A1327" s="34"/>
    </row>
    <row r="1328">
      <c r="A1328" s="34"/>
    </row>
    <row r="1329">
      <c r="A1329" s="34"/>
    </row>
    <row r="1330">
      <c r="A1330" s="34"/>
    </row>
    <row r="1331">
      <c r="A1331" s="34"/>
    </row>
    <row r="1332">
      <c r="A1332" s="34"/>
    </row>
    <row r="1333">
      <c r="A1333" s="34"/>
    </row>
    <row r="1334">
      <c r="A1334" s="34"/>
    </row>
    <row r="1335">
      <c r="A1335" s="34"/>
    </row>
    <row r="1336">
      <c r="A1336" s="34"/>
    </row>
    <row r="1337">
      <c r="A1337" s="34"/>
    </row>
    <row r="1338">
      <c r="A1338" s="34"/>
    </row>
    <row r="1339">
      <c r="A1339" s="34"/>
    </row>
    <row r="1340">
      <c r="A1340" s="34"/>
    </row>
    <row r="1341">
      <c r="A1341" s="34"/>
    </row>
    <row r="1342">
      <c r="A1342" s="34"/>
    </row>
    <row r="1343">
      <c r="A1343" s="34"/>
    </row>
    <row r="1344">
      <c r="A1344" s="34"/>
    </row>
    <row r="1345">
      <c r="A1345" s="34"/>
    </row>
    <row r="1346">
      <c r="A1346" s="34"/>
    </row>
    <row r="1347">
      <c r="A1347" s="34"/>
    </row>
    <row r="1348">
      <c r="A1348" s="34"/>
    </row>
    <row r="1349">
      <c r="A1349" s="34"/>
    </row>
    <row r="1350">
      <c r="A1350" s="34"/>
    </row>
    <row r="1351">
      <c r="A1351" s="34"/>
    </row>
    <row r="1352">
      <c r="A1352" s="34"/>
    </row>
    <row r="1353">
      <c r="A1353" s="34"/>
    </row>
    <row r="1354">
      <c r="A1354" s="34"/>
    </row>
    <row r="1355">
      <c r="A1355" s="34"/>
    </row>
    <row r="1356">
      <c r="A1356" s="34"/>
    </row>
    <row r="1357">
      <c r="A1357" s="34"/>
    </row>
    <row r="1358">
      <c r="A1358" s="34"/>
    </row>
    <row r="1359">
      <c r="A1359" s="34"/>
    </row>
    <row r="1360">
      <c r="A1360" s="34"/>
    </row>
    <row r="1361">
      <c r="A1361" s="34"/>
    </row>
    <row r="1362">
      <c r="A1362" s="34"/>
    </row>
    <row r="1363">
      <c r="A1363" s="34"/>
    </row>
    <row r="1364">
      <c r="A1364" s="34"/>
    </row>
    <row r="1365">
      <c r="A1365" s="34"/>
    </row>
    <row r="1366">
      <c r="A1366" s="34"/>
    </row>
    <row r="1367">
      <c r="A1367" s="34"/>
    </row>
    <row r="1368">
      <c r="A1368" s="34"/>
    </row>
    <row r="1369">
      <c r="A1369" s="34"/>
    </row>
    <row r="1370">
      <c r="A1370" s="34"/>
    </row>
    <row r="1371">
      <c r="A1371" s="34"/>
    </row>
    <row r="1372">
      <c r="A1372" s="34"/>
    </row>
    <row r="1373">
      <c r="A1373" s="34"/>
    </row>
    <row r="1374">
      <c r="A1374" s="34"/>
    </row>
    <row r="1375">
      <c r="A1375" s="34"/>
    </row>
    <row r="1376">
      <c r="A1376" s="34"/>
    </row>
    <row r="1377">
      <c r="A1377" s="34"/>
    </row>
    <row r="1378">
      <c r="A1378" s="34"/>
    </row>
    <row r="1379">
      <c r="A1379" s="34"/>
    </row>
    <row r="1380">
      <c r="A1380" s="34"/>
    </row>
    <row r="1381">
      <c r="A1381" s="34"/>
    </row>
    <row r="1382">
      <c r="A1382" s="34"/>
    </row>
    <row r="1383">
      <c r="A1383" s="34"/>
    </row>
    <row r="1384">
      <c r="A1384" s="34"/>
    </row>
    <row r="1385">
      <c r="A1385" s="34"/>
    </row>
    <row r="1386">
      <c r="A1386" s="34"/>
    </row>
    <row r="1387">
      <c r="A1387" s="34"/>
    </row>
    <row r="1388">
      <c r="A1388" s="34"/>
    </row>
    <row r="1389">
      <c r="A1389" s="34"/>
    </row>
    <row r="1390">
      <c r="A1390" s="34"/>
    </row>
    <row r="1391">
      <c r="A1391" s="34"/>
    </row>
    <row r="1392">
      <c r="A1392" s="34"/>
    </row>
    <row r="1393">
      <c r="A1393" s="34"/>
    </row>
    <row r="1394">
      <c r="A1394" s="34"/>
    </row>
    <row r="1395">
      <c r="A1395" s="34"/>
    </row>
    <row r="1396">
      <c r="A1396" s="34"/>
    </row>
    <row r="1397">
      <c r="A1397" s="34"/>
    </row>
    <row r="1398">
      <c r="A1398" s="34"/>
    </row>
    <row r="1399">
      <c r="A1399" s="34"/>
    </row>
    <row r="1400">
      <c r="A1400" s="34"/>
    </row>
    <row r="1401">
      <c r="A1401" s="34"/>
    </row>
    <row r="1402">
      <c r="A1402" s="34"/>
    </row>
    <row r="1403">
      <c r="A1403" s="34"/>
    </row>
    <row r="1404">
      <c r="A1404" s="34"/>
    </row>
    <row r="1405">
      <c r="A1405" s="34"/>
    </row>
    <row r="1406">
      <c r="A1406" s="34"/>
    </row>
    <row r="1407">
      <c r="A1407" s="34"/>
    </row>
    <row r="1408">
      <c r="A1408" s="34"/>
    </row>
    <row r="1409">
      <c r="A1409" s="34"/>
    </row>
    <row r="1410">
      <c r="A1410" s="34"/>
    </row>
    <row r="1411">
      <c r="A1411" s="34"/>
    </row>
    <row r="1412">
      <c r="A1412" s="34"/>
    </row>
    <row r="1413">
      <c r="A1413" s="34"/>
    </row>
    <row r="1414">
      <c r="A1414" s="34"/>
    </row>
    <row r="1415">
      <c r="A1415" s="34"/>
    </row>
    <row r="1416">
      <c r="A1416" s="34"/>
    </row>
    <row r="1417">
      <c r="A1417" s="34"/>
    </row>
    <row r="1418">
      <c r="A1418" s="34"/>
    </row>
    <row r="1419">
      <c r="A1419" s="34"/>
    </row>
    <row r="1420">
      <c r="A1420" s="34"/>
    </row>
    <row r="1421">
      <c r="A1421" s="34"/>
    </row>
    <row r="1422">
      <c r="A1422" s="34"/>
    </row>
    <row r="1423">
      <c r="A1423" s="34"/>
    </row>
    <row r="1424">
      <c r="A1424" s="34"/>
    </row>
    <row r="1425">
      <c r="A1425" s="34"/>
    </row>
    <row r="1426">
      <c r="A1426" s="34"/>
    </row>
    <row r="1427">
      <c r="A1427" s="34"/>
    </row>
    <row r="1428">
      <c r="A1428" s="34"/>
    </row>
    <row r="1429">
      <c r="A1429" s="34"/>
    </row>
    <row r="1430">
      <c r="A1430" s="34"/>
    </row>
    <row r="1431">
      <c r="A1431" s="34"/>
    </row>
    <row r="1432">
      <c r="A1432" s="34"/>
    </row>
    <row r="1433">
      <c r="A1433" s="34"/>
    </row>
    <row r="1434">
      <c r="A1434" s="34"/>
    </row>
    <row r="1435">
      <c r="A1435" s="34"/>
    </row>
    <row r="1436">
      <c r="A1436" s="34"/>
    </row>
    <row r="1437">
      <c r="A1437" s="34"/>
    </row>
    <row r="1438">
      <c r="A1438" s="34"/>
    </row>
    <row r="1439">
      <c r="A1439" s="34"/>
    </row>
    <row r="1440">
      <c r="A1440" s="34"/>
    </row>
    <row r="1441">
      <c r="A1441" s="34"/>
    </row>
    <row r="1442">
      <c r="A1442" s="34"/>
    </row>
    <row r="1443">
      <c r="A1443" s="34"/>
    </row>
    <row r="1444">
      <c r="A1444" s="34"/>
    </row>
    <row r="1445">
      <c r="A1445" s="34"/>
    </row>
    <row r="1446">
      <c r="A1446" s="34"/>
    </row>
    <row r="1447">
      <c r="A1447" s="34"/>
    </row>
    <row r="1448">
      <c r="A1448" s="34"/>
    </row>
    <row r="1449">
      <c r="A1449" s="34"/>
    </row>
    <row r="1450">
      <c r="A1450" s="34"/>
    </row>
    <row r="1451">
      <c r="A1451" s="34"/>
    </row>
    <row r="1452">
      <c r="A1452" s="34"/>
    </row>
    <row r="1453">
      <c r="A1453" s="34"/>
    </row>
    <row r="1454">
      <c r="A1454" s="34"/>
    </row>
    <row r="1455">
      <c r="A1455" s="34"/>
    </row>
    <row r="1456">
      <c r="A1456" s="34"/>
    </row>
    <row r="1457">
      <c r="A1457" s="34"/>
    </row>
    <row r="1458">
      <c r="A1458" s="34"/>
    </row>
    <row r="1459">
      <c r="A1459" s="34"/>
    </row>
    <row r="1460">
      <c r="A1460" s="34"/>
    </row>
    <row r="1461">
      <c r="A1461" s="34"/>
    </row>
    <row r="1462">
      <c r="A1462" s="34"/>
    </row>
    <row r="1463">
      <c r="A1463" s="34"/>
    </row>
    <row r="1464">
      <c r="A1464" s="34"/>
    </row>
    <row r="1465">
      <c r="A1465" s="34"/>
    </row>
    <row r="1466">
      <c r="A1466" s="34"/>
    </row>
    <row r="1467">
      <c r="A1467" s="34"/>
    </row>
    <row r="1468">
      <c r="A1468" s="34"/>
    </row>
    <row r="1469">
      <c r="A1469" s="34"/>
    </row>
    <row r="1470">
      <c r="A1470" s="34"/>
    </row>
    <row r="1471">
      <c r="A1471" s="34"/>
    </row>
    <row r="1472">
      <c r="A1472" s="34"/>
    </row>
    <row r="1473">
      <c r="A1473" s="34"/>
    </row>
    <row r="1474">
      <c r="A1474" s="34"/>
    </row>
    <row r="1475">
      <c r="A1475" s="34"/>
    </row>
    <row r="1476">
      <c r="A1476" s="34"/>
    </row>
    <row r="1477">
      <c r="A1477" s="34"/>
    </row>
    <row r="1478">
      <c r="A1478" s="34"/>
    </row>
    <row r="1479">
      <c r="A1479" s="34"/>
    </row>
    <row r="1480">
      <c r="A1480" s="34"/>
    </row>
    <row r="1481">
      <c r="A1481" s="34"/>
    </row>
    <row r="1482">
      <c r="A1482" s="34"/>
    </row>
    <row r="1483">
      <c r="A1483" s="34"/>
    </row>
    <row r="1484">
      <c r="A1484" s="34"/>
    </row>
    <row r="1485">
      <c r="A1485" s="34"/>
    </row>
    <row r="1486">
      <c r="A1486" s="34"/>
    </row>
    <row r="1487">
      <c r="A1487" s="34"/>
    </row>
    <row r="1488">
      <c r="A1488" s="34"/>
    </row>
    <row r="1489">
      <c r="A1489" s="34"/>
    </row>
    <row r="1490">
      <c r="A1490" s="34"/>
    </row>
    <row r="1491">
      <c r="A1491" s="34"/>
    </row>
    <row r="1492">
      <c r="A1492" s="34"/>
    </row>
    <row r="1493">
      <c r="A1493" s="34"/>
    </row>
    <row r="1494">
      <c r="A1494" s="34"/>
    </row>
    <row r="1495">
      <c r="A1495" s="34"/>
    </row>
    <row r="1496">
      <c r="A1496" s="34"/>
    </row>
    <row r="1497">
      <c r="A1497" s="34"/>
    </row>
    <row r="1498">
      <c r="A1498" s="34"/>
    </row>
    <row r="1499">
      <c r="A1499" s="34"/>
    </row>
    <row r="1500">
      <c r="A1500" s="34"/>
    </row>
    <row r="1501">
      <c r="A1501" s="34"/>
    </row>
    <row r="1502">
      <c r="A1502" s="34"/>
    </row>
    <row r="1503">
      <c r="A1503" s="34"/>
    </row>
    <row r="1504">
      <c r="A1504" s="34"/>
    </row>
    <row r="1505">
      <c r="A1505" s="34"/>
    </row>
    <row r="1506">
      <c r="A1506" s="34"/>
    </row>
    <row r="1507">
      <c r="A1507" s="34"/>
    </row>
    <row r="1508">
      <c r="A1508" s="34"/>
    </row>
    <row r="1509">
      <c r="A1509" s="34"/>
    </row>
    <row r="1510">
      <c r="A1510" s="34"/>
    </row>
    <row r="1511">
      <c r="A1511" s="34"/>
    </row>
    <row r="1512">
      <c r="A1512" s="34"/>
    </row>
    <row r="1513">
      <c r="A1513" s="34"/>
    </row>
    <row r="1514">
      <c r="A1514" s="34"/>
    </row>
    <row r="1515">
      <c r="A1515" s="34"/>
    </row>
    <row r="1516">
      <c r="A1516" s="34"/>
    </row>
    <row r="1517">
      <c r="A1517" s="34"/>
    </row>
    <row r="1518">
      <c r="A1518" s="34"/>
    </row>
    <row r="1519">
      <c r="A1519" s="34"/>
    </row>
    <row r="1520">
      <c r="A1520" s="34"/>
    </row>
    <row r="1521">
      <c r="A1521" s="34"/>
    </row>
    <row r="1522">
      <c r="A1522" s="34"/>
    </row>
    <row r="1523">
      <c r="A1523" s="34"/>
    </row>
    <row r="1524">
      <c r="A1524" s="34"/>
    </row>
    <row r="1525">
      <c r="A1525" s="34"/>
    </row>
    <row r="1526">
      <c r="A1526" s="34"/>
    </row>
    <row r="1527">
      <c r="A1527" s="34"/>
    </row>
    <row r="1528">
      <c r="A1528" s="34"/>
    </row>
    <row r="1529">
      <c r="A1529" s="34"/>
    </row>
    <row r="1530">
      <c r="A1530" s="34"/>
    </row>
    <row r="1531">
      <c r="A1531" s="34"/>
    </row>
    <row r="1532">
      <c r="A1532" s="34"/>
    </row>
    <row r="1533">
      <c r="A1533" s="34"/>
    </row>
    <row r="1534">
      <c r="A1534" s="34"/>
    </row>
    <row r="1535">
      <c r="A1535" s="34"/>
    </row>
    <row r="1536">
      <c r="A1536" s="34"/>
    </row>
    <row r="1537">
      <c r="A1537" s="34"/>
    </row>
    <row r="1538">
      <c r="A1538" s="34"/>
    </row>
    <row r="1539">
      <c r="A1539" s="34"/>
    </row>
    <row r="1540">
      <c r="A1540" s="34"/>
    </row>
    <row r="1541">
      <c r="A1541" s="34"/>
    </row>
    <row r="1542">
      <c r="A1542" s="34"/>
    </row>
    <row r="1543">
      <c r="A1543" s="34"/>
    </row>
    <row r="1544">
      <c r="A1544" s="34"/>
    </row>
    <row r="1545">
      <c r="A1545" s="34"/>
    </row>
    <row r="1546">
      <c r="A1546" s="34"/>
    </row>
    <row r="1547">
      <c r="A1547" s="34"/>
    </row>
    <row r="1548">
      <c r="A1548" s="34"/>
    </row>
    <row r="1549">
      <c r="A1549" s="34"/>
    </row>
    <row r="1550">
      <c r="A1550" s="34"/>
    </row>
    <row r="1551">
      <c r="A1551" s="34"/>
    </row>
    <row r="1552">
      <c r="A1552" s="34"/>
    </row>
    <row r="1553">
      <c r="A1553" s="34"/>
    </row>
    <row r="1554">
      <c r="A1554" s="34"/>
    </row>
    <row r="1555">
      <c r="A1555" s="34"/>
    </row>
    <row r="1556">
      <c r="A1556" s="34"/>
    </row>
    <row r="1557">
      <c r="A1557" s="34"/>
    </row>
    <row r="1558">
      <c r="A1558" s="34"/>
    </row>
    <row r="1559">
      <c r="A1559" s="34"/>
    </row>
    <row r="1560">
      <c r="A1560" s="34"/>
    </row>
    <row r="1561">
      <c r="A1561" s="34"/>
    </row>
    <row r="1562">
      <c r="A1562" s="34"/>
    </row>
    <row r="1563">
      <c r="A1563" s="34"/>
    </row>
    <row r="1564">
      <c r="A1564" s="34"/>
    </row>
    <row r="1565">
      <c r="A1565" s="34"/>
    </row>
    <row r="1566">
      <c r="A1566" s="34"/>
    </row>
    <row r="1567">
      <c r="A1567" s="34"/>
    </row>
    <row r="1568">
      <c r="A1568" s="34"/>
    </row>
    <row r="1569">
      <c r="A1569" s="34"/>
    </row>
    <row r="1570">
      <c r="A1570" s="34"/>
    </row>
    <row r="1571">
      <c r="A1571" s="34"/>
    </row>
    <row r="1572">
      <c r="A1572" s="34"/>
    </row>
    <row r="1573">
      <c r="A1573" s="34"/>
    </row>
    <row r="1574">
      <c r="A1574" s="34"/>
    </row>
    <row r="1575">
      <c r="A1575" s="34"/>
    </row>
    <row r="1576">
      <c r="A1576" s="34"/>
    </row>
    <row r="1577">
      <c r="A1577" s="34"/>
    </row>
    <row r="1578">
      <c r="A1578" s="34"/>
    </row>
    <row r="1579">
      <c r="A1579" s="34"/>
    </row>
    <row r="1580">
      <c r="A1580" s="34"/>
    </row>
    <row r="1581">
      <c r="A1581" s="34"/>
    </row>
    <row r="1582">
      <c r="A1582" s="34"/>
    </row>
    <row r="1583">
      <c r="A1583" s="34"/>
    </row>
    <row r="1584">
      <c r="A1584" s="34"/>
    </row>
    <row r="1585">
      <c r="A1585" s="34"/>
    </row>
    <row r="1586">
      <c r="A1586" s="34"/>
    </row>
    <row r="1587">
      <c r="A1587" s="34"/>
    </row>
    <row r="1588">
      <c r="A1588" s="34"/>
    </row>
    <row r="1589">
      <c r="A1589" s="34"/>
    </row>
    <row r="1590">
      <c r="A1590" s="34"/>
    </row>
    <row r="1591">
      <c r="A1591" s="34"/>
    </row>
    <row r="1592">
      <c r="A1592" s="34"/>
    </row>
    <row r="1593">
      <c r="A1593" s="34"/>
    </row>
    <row r="1594">
      <c r="A1594" s="34"/>
    </row>
    <row r="1595">
      <c r="A1595" s="34"/>
    </row>
    <row r="1596">
      <c r="A1596" s="34"/>
    </row>
    <row r="1597">
      <c r="A1597" s="34"/>
    </row>
    <row r="1598">
      <c r="A1598" s="34"/>
    </row>
    <row r="1599">
      <c r="A1599" s="34"/>
    </row>
    <row r="1600">
      <c r="A1600" s="34"/>
    </row>
    <row r="1601">
      <c r="A1601" s="34"/>
    </row>
    <row r="1602">
      <c r="A1602" s="34"/>
    </row>
    <row r="1603">
      <c r="A1603" s="34"/>
    </row>
    <row r="1604">
      <c r="A1604" s="34"/>
    </row>
    <row r="1605">
      <c r="A1605" s="34"/>
    </row>
    <row r="1606">
      <c r="A1606" s="34"/>
    </row>
    <row r="1607">
      <c r="A1607" s="34"/>
    </row>
    <row r="1608">
      <c r="A1608" s="34"/>
    </row>
    <row r="1609">
      <c r="A1609" s="34"/>
    </row>
    <row r="1610">
      <c r="A1610" s="34"/>
    </row>
    <row r="1611">
      <c r="A1611" s="34"/>
    </row>
    <row r="1612">
      <c r="A1612" s="34"/>
    </row>
    <row r="1613">
      <c r="A1613" s="34"/>
    </row>
    <row r="1614">
      <c r="A1614" s="34"/>
    </row>
    <row r="1615">
      <c r="A1615" s="34"/>
    </row>
    <row r="1616">
      <c r="A1616" s="34"/>
    </row>
    <row r="1617">
      <c r="A1617" s="34"/>
    </row>
    <row r="1618">
      <c r="A1618" s="34"/>
    </row>
    <row r="1619">
      <c r="A1619" s="34"/>
    </row>
    <row r="1620">
      <c r="A1620" s="34"/>
    </row>
    <row r="1621">
      <c r="A1621" s="34"/>
    </row>
    <row r="1622">
      <c r="A1622" s="34"/>
    </row>
    <row r="1623">
      <c r="A1623" s="34"/>
    </row>
    <row r="1624">
      <c r="A1624" s="34"/>
    </row>
    <row r="1625">
      <c r="A1625" s="34"/>
    </row>
    <row r="1626">
      <c r="A1626" s="34"/>
    </row>
    <row r="1627">
      <c r="A1627" s="34"/>
    </row>
    <row r="1628">
      <c r="A1628" s="34"/>
    </row>
    <row r="1629">
      <c r="A1629" s="34"/>
    </row>
    <row r="1630">
      <c r="A1630" s="34"/>
    </row>
    <row r="1631">
      <c r="A1631" s="34"/>
    </row>
    <row r="1632">
      <c r="A1632" s="34"/>
    </row>
    <row r="1633">
      <c r="A1633" s="34"/>
    </row>
    <row r="1634">
      <c r="A1634" s="34"/>
    </row>
    <row r="1635">
      <c r="A1635" s="34"/>
    </row>
    <row r="1636">
      <c r="A1636" s="34"/>
    </row>
    <row r="1637">
      <c r="A1637" s="34"/>
    </row>
    <row r="1638">
      <c r="A1638" s="34"/>
    </row>
    <row r="1639">
      <c r="A1639" s="34"/>
    </row>
    <row r="1640">
      <c r="A1640" s="34"/>
    </row>
    <row r="1641">
      <c r="A1641" s="34"/>
    </row>
    <row r="1642">
      <c r="A1642" s="34"/>
    </row>
    <row r="1643">
      <c r="A1643" s="34"/>
    </row>
    <row r="1644">
      <c r="A1644" s="34"/>
    </row>
    <row r="1645">
      <c r="A1645" s="34"/>
    </row>
    <row r="1646">
      <c r="A1646" s="34"/>
    </row>
    <row r="1647">
      <c r="A1647" s="34"/>
    </row>
    <row r="1648">
      <c r="A1648" s="34"/>
    </row>
    <row r="1649">
      <c r="A1649" s="34"/>
    </row>
    <row r="1650">
      <c r="A1650" s="34"/>
    </row>
    <row r="1651">
      <c r="A1651" s="34"/>
    </row>
    <row r="1652">
      <c r="A1652" s="34"/>
    </row>
    <row r="1653">
      <c r="A1653" s="34"/>
    </row>
    <row r="1654">
      <c r="A1654" s="34"/>
    </row>
    <row r="1655">
      <c r="A1655" s="34"/>
    </row>
    <row r="1656">
      <c r="A1656" s="34"/>
    </row>
    <row r="1657">
      <c r="A1657" s="34"/>
    </row>
    <row r="1658">
      <c r="A1658" s="34"/>
    </row>
    <row r="1659">
      <c r="A1659" s="34"/>
    </row>
    <row r="1660">
      <c r="A1660" s="34"/>
    </row>
    <row r="1661">
      <c r="A1661" s="34"/>
    </row>
    <row r="1662">
      <c r="A1662" s="34"/>
    </row>
    <row r="1663">
      <c r="A1663" s="34"/>
    </row>
    <row r="1664">
      <c r="A1664" s="34"/>
    </row>
    <row r="1665">
      <c r="A1665" s="34"/>
    </row>
    <row r="1666">
      <c r="A1666" s="34"/>
    </row>
    <row r="1667">
      <c r="A1667" s="34"/>
    </row>
    <row r="1668">
      <c r="A1668" s="34"/>
    </row>
    <row r="1669">
      <c r="A1669" s="34"/>
    </row>
    <row r="1670">
      <c r="A1670" s="34"/>
    </row>
    <row r="1671">
      <c r="A1671" s="34"/>
    </row>
    <row r="1672">
      <c r="A1672" s="34"/>
    </row>
    <row r="1673">
      <c r="A1673" s="34"/>
    </row>
    <row r="1674">
      <c r="A1674" s="34"/>
    </row>
    <row r="1675">
      <c r="A1675" s="34"/>
    </row>
    <row r="1676">
      <c r="A1676" s="34"/>
    </row>
    <row r="1677">
      <c r="A1677" s="34"/>
    </row>
    <row r="1678">
      <c r="A1678" s="34"/>
    </row>
    <row r="1679">
      <c r="A1679" s="34"/>
    </row>
    <row r="1680">
      <c r="A1680" s="34"/>
    </row>
    <row r="1681">
      <c r="A1681" s="34"/>
    </row>
    <row r="1682">
      <c r="A1682" s="34"/>
    </row>
    <row r="1683">
      <c r="A1683" s="34"/>
    </row>
    <row r="1684">
      <c r="A1684" s="34"/>
    </row>
    <row r="1685">
      <c r="A1685" s="34"/>
    </row>
    <row r="1686">
      <c r="A1686" s="34"/>
    </row>
    <row r="1687">
      <c r="A1687" s="34"/>
    </row>
    <row r="1688">
      <c r="A1688" s="34"/>
    </row>
    <row r="1689">
      <c r="A1689" s="34"/>
    </row>
    <row r="1690">
      <c r="A1690" s="34"/>
    </row>
    <row r="1691">
      <c r="A1691" s="34"/>
    </row>
    <row r="1692">
      <c r="A1692" s="34"/>
    </row>
    <row r="1693">
      <c r="A1693" s="34"/>
    </row>
    <row r="1694">
      <c r="A1694" s="34"/>
    </row>
    <row r="1695">
      <c r="A1695" s="34"/>
    </row>
    <row r="1696">
      <c r="A1696" s="34"/>
    </row>
    <row r="1697">
      <c r="A1697" s="34"/>
    </row>
    <row r="1698">
      <c r="A1698" s="34"/>
    </row>
    <row r="1699">
      <c r="A1699" s="34"/>
    </row>
    <row r="1700">
      <c r="A1700" s="34"/>
    </row>
    <row r="1701">
      <c r="A1701" s="34"/>
    </row>
    <row r="1702">
      <c r="A1702" s="34"/>
    </row>
    <row r="1703">
      <c r="A1703" s="34"/>
    </row>
    <row r="1704">
      <c r="A1704" s="34"/>
    </row>
    <row r="1705">
      <c r="A1705" s="34"/>
    </row>
    <row r="1706">
      <c r="A1706" s="34"/>
    </row>
    <row r="1707">
      <c r="A1707" s="34"/>
    </row>
    <row r="1708">
      <c r="A1708" s="34"/>
    </row>
    <row r="1709">
      <c r="A1709" s="34"/>
    </row>
    <row r="1710">
      <c r="A1710" s="34"/>
    </row>
    <row r="1711">
      <c r="A1711" s="34"/>
    </row>
    <row r="1712">
      <c r="A1712" s="34"/>
    </row>
    <row r="1713">
      <c r="A1713" s="34"/>
    </row>
    <row r="1714">
      <c r="A1714" s="34"/>
    </row>
    <row r="1715">
      <c r="A1715" s="34"/>
    </row>
    <row r="1716">
      <c r="A1716" s="34"/>
    </row>
    <row r="1717">
      <c r="A1717" s="34"/>
    </row>
    <row r="1718">
      <c r="A1718" s="34"/>
    </row>
    <row r="1719">
      <c r="A1719" s="34"/>
    </row>
    <row r="1720">
      <c r="A1720" s="34"/>
    </row>
    <row r="1721">
      <c r="A1721" s="34"/>
    </row>
    <row r="1722">
      <c r="A1722" s="34"/>
    </row>
    <row r="1723">
      <c r="A1723" s="34"/>
    </row>
    <row r="1724">
      <c r="A1724" s="34"/>
    </row>
    <row r="1725">
      <c r="A1725" s="34"/>
    </row>
    <row r="1726">
      <c r="A1726" s="34"/>
    </row>
    <row r="1727">
      <c r="A1727" s="34"/>
    </row>
    <row r="1728">
      <c r="A1728" s="34"/>
    </row>
    <row r="1729">
      <c r="A1729" s="34"/>
    </row>
    <row r="1730">
      <c r="A1730" s="34"/>
    </row>
    <row r="1731">
      <c r="A1731" s="34"/>
    </row>
    <row r="1732">
      <c r="A1732" s="34"/>
    </row>
    <row r="1733">
      <c r="A1733" s="34"/>
    </row>
    <row r="1734">
      <c r="A1734" s="34"/>
    </row>
    <row r="1735">
      <c r="A1735" s="34"/>
    </row>
    <row r="1736">
      <c r="A1736" s="34"/>
    </row>
    <row r="1737">
      <c r="A1737" s="34"/>
    </row>
    <row r="1738">
      <c r="A1738" s="34"/>
    </row>
    <row r="1739">
      <c r="A1739" s="34"/>
    </row>
    <row r="1740">
      <c r="A1740" s="34"/>
    </row>
    <row r="1741">
      <c r="A1741" s="34"/>
    </row>
    <row r="1742">
      <c r="A1742" s="34"/>
    </row>
    <row r="1743">
      <c r="A1743" s="34"/>
    </row>
    <row r="1744">
      <c r="A1744" s="34"/>
    </row>
    <row r="1745">
      <c r="A1745" s="34"/>
    </row>
    <row r="1746">
      <c r="A1746" s="34"/>
    </row>
    <row r="1747">
      <c r="A1747" s="34"/>
    </row>
    <row r="1748">
      <c r="A1748" s="34"/>
    </row>
    <row r="1749">
      <c r="A1749" s="34"/>
    </row>
    <row r="1750">
      <c r="A1750" s="34"/>
    </row>
    <row r="1751">
      <c r="A1751" s="34"/>
    </row>
    <row r="1752">
      <c r="A1752" s="34"/>
    </row>
    <row r="1753">
      <c r="A1753" s="34"/>
    </row>
    <row r="1754">
      <c r="A1754" s="34"/>
    </row>
    <row r="1755">
      <c r="A1755" s="34"/>
    </row>
    <row r="1756">
      <c r="A1756" s="34"/>
    </row>
    <row r="1757">
      <c r="A1757" s="34"/>
    </row>
    <row r="1758">
      <c r="A1758" s="34"/>
    </row>
    <row r="1759">
      <c r="A1759" s="34"/>
    </row>
    <row r="1760">
      <c r="A1760" s="34"/>
    </row>
    <row r="1761">
      <c r="A1761" s="34"/>
    </row>
    <row r="1762">
      <c r="A1762" s="34"/>
    </row>
    <row r="1763">
      <c r="A1763" s="34"/>
    </row>
    <row r="1764">
      <c r="A1764" s="34"/>
    </row>
    <row r="1765">
      <c r="A1765" s="34"/>
    </row>
    <row r="1766">
      <c r="A1766" s="34"/>
    </row>
    <row r="1767">
      <c r="A1767" s="34"/>
    </row>
    <row r="1768">
      <c r="A1768" s="34"/>
    </row>
    <row r="1769">
      <c r="A1769" s="34"/>
    </row>
    <row r="1770">
      <c r="A1770" s="34"/>
    </row>
    <row r="1771">
      <c r="A1771" s="34"/>
    </row>
    <row r="1772">
      <c r="A1772" s="34"/>
    </row>
    <row r="1773">
      <c r="A1773" s="34"/>
    </row>
    <row r="1774">
      <c r="A1774" s="34"/>
    </row>
    <row r="1775">
      <c r="A1775" s="34"/>
    </row>
    <row r="1776">
      <c r="A1776" s="34"/>
    </row>
    <row r="1777">
      <c r="A1777" s="34"/>
    </row>
    <row r="1778">
      <c r="A1778" s="34"/>
    </row>
    <row r="1779">
      <c r="A1779" s="34"/>
    </row>
    <row r="1780">
      <c r="A1780" s="34"/>
    </row>
    <row r="1781">
      <c r="A1781" s="34"/>
    </row>
    <row r="1782">
      <c r="A1782" s="34"/>
    </row>
    <row r="1783">
      <c r="A1783" s="34"/>
    </row>
    <row r="1784">
      <c r="A1784" s="34"/>
    </row>
    <row r="1785">
      <c r="A1785" s="34"/>
    </row>
    <row r="1786">
      <c r="A1786" s="34"/>
    </row>
    <row r="1787">
      <c r="A1787" s="34"/>
    </row>
    <row r="1788">
      <c r="A1788" s="34"/>
    </row>
    <row r="1789">
      <c r="A1789" s="34"/>
    </row>
    <row r="1790">
      <c r="A1790" s="34"/>
    </row>
    <row r="1791">
      <c r="A1791" s="34"/>
    </row>
    <row r="1792">
      <c r="A1792" s="34"/>
    </row>
    <row r="1793">
      <c r="A1793" s="34"/>
    </row>
    <row r="1794">
      <c r="A1794" s="34"/>
    </row>
    <row r="1795">
      <c r="A1795" s="34"/>
    </row>
    <row r="1796">
      <c r="A1796" s="34"/>
    </row>
    <row r="1797">
      <c r="A1797" s="34"/>
    </row>
    <row r="1798">
      <c r="A1798" s="34"/>
    </row>
    <row r="1799">
      <c r="A1799" s="34"/>
    </row>
    <row r="1800">
      <c r="A1800" s="34"/>
    </row>
    <row r="1801">
      <c r="A1801" s="34"/>
    </row>
    <row r="1802">
      <c r="A1802" s="34"/>
    </row>
    <row r="1803">
      <c r="A1803" s="34"/>
    </row>
    <row r="1804">
      <c r="A1804" s="34"/>
    </row>
    <row r="1805">
      <c r="A1805" s="34"/>
    </row>
    <row r="1806">
      <c r="A1806" s="34"/>
    </row>
    <row r="1807">
      <c r="A1807" s="34"/>
    </row>
    <row r="1808">
      <c r="A1808" s="34"/>
    </row>
    <row r="1809">
      <c r="A1809" s="34"/>
    </row>
    <row r="1810">
      <c r="A1810" s="34"/>
    </row>
    <row r="1811">
      <c r="A1811" s="34"/>
    </row>
    <row r="1812">
      <c r="A1812" s="34"/>
    </row>
    <row r="1813">
      <c r="A1813" s="34"/>
    </row>
    <row r="1814">
      <c r="A1814" s="34"/>
    </row>
    <row r="1815">
      <c r="A1815" s="34"/>
    </row>
    <row r="1816">
      <c r="A1816" s="34"/>
    </row>
    <row r="1817">
      <c r="A1817" s="34"/>
    </row>
    <row r="1818">
      <c r="A1818" s="34"/>
    </row>
    <row r="1819">
      <c r="A1819" s="34"/>
    </row>
    <row r="1820">
      <c r="A1820" s="34"/>
    </row>
    <row r="1821">
      <c r="A1821" s="34"/>
    </row>
    <row r="1822">
      <c r="A1822" s="34"/>
    </row>
    <row r="1823">
      <c r="A1823" s="34"/>
    </row>
    <row r="1824">
      <c r="A1824" s="34"/>
    </row>
    <row r="1825">
      <c r="A1825" s="34"/>
    </row>
    <row r="1826">
      <c r="A1826" s="34"/>
    </row>
    <row r="1827">
      <c r="A1827" s="34"/>
    </row>
    <row r="1828">
      <c r="A1828" s="34"/>
    </row>
    <row r="1829">
      <c r="A1829" s="34"/>
    </row>
    <row r="1830">
      <c r="A1830" s="34"/>
    </row>
    <row r="1831">
      <c r="A1831" s="34"/>
    </row>
    <row r="1832">
      <c r="A1832" s="34"/>
    </row>
    <row r="1833">
      <c r="A1833" s="34"/>
    </row>
    <row r="1834">
      <c r="A1834" s="34"/>
    </row>
    <row r="1835">
      <c r="A1835" s="34"/>
    </row>
    <row r="1836">
      <c r="A1836" s="34"/>
    </row>
    <row r="1837">
      <c r="A1837" s="34"/>
    </row>
    <row r="1838">
      <c r="A1838" s="34"/>
    </row>
    <row r="1839">
      <c r="A1839" s="34"/>
    </row>
    <row r="1840">
      <c r="A1840" s="34"/>
    </row>
    <row r="1841">
      <c r="A1841" s="34"/>
    </row>
    <row r="1842">
      <c r="A1842" s="34"/>
    </row>
    <row r="1843">
      <c r="A1843" s="34"/>
    </row>
    <row r="1844">
      <c r="A1844" s="34"/>
    </row>
    <row r="1845">
      <c r="A1845" s="34"/>
    </row>
    <row r="1846">
      <c r="A1846" s="34"/>
    </row>
    <row r="1847">
      <c r="A1847" s="34"/>
    </row>
    <row r="1848">
      <c r="A1848" s="34"/>
    </row>
    <row r="1849">
      <c r="A1849" s="34"/>
    </row>
    <row r="1850">
      <c r="A1850" s="34"/>
    </row>
    <row r="1851">
      <c r="A1851" s="34"/>
    </row>
    <row r="1852">
      <c r="A1852" s="34"/>
    </row>
    <row r="1853">
      <c r="A1853" s="34"/>
    </row>
    <row r="1854">
      <c r="A1854" s="34"/>
    </row>
    <row r="1855">
      <c r="A1855" s="34"/>
    </row>
    <row r="1856">
      <c r="A1856" s="34"/>
    </row>
    <row r="1857">
      <c r="A1857" s="34"/>
    </row>
    <row r="1858">
      <c r="A1858" s="34"/>
    </row>
    <row r="1859">
      <c r="A1859" s="34"/>
    </row>
    <row r="1860">
      <c r="A1860" s="34"/>
    </row>
    <row r="1861">
      <c r="A1861" s="34"/>
    </row>
    <row r="1862">
      <c r="A1862" s="34"/>
    </row>
    <row r="1863">
      <c r="A1863" s="34"/>
    </row>
    <row r="1864">
      <c r="A1864" s="34"/>
    </row>
    <row r="1865">
      <c r="A1865" s="34"/>
    </row>
    <row r="1866">
      <c r="A1866" s="34"/>
    </row>
    <row r="1867">
      <c r="A1867" s="34"/>
    </row>
    <row r="1868">
      <c r="A1868" s="34"/>
    </row>
    <row r="1869">
      <c r="A1869" s="34"/>
    </row>
    <row r="1870">
      <c r="A1870" s="34"/>
    </row>
    <row r="1871">
      <c r="A1871" s="34"/>
    </row>
    <row r="1872">
      <c r="A1872" s="34"/>
    </row>
    <row r="1873">
      <c r="A1873" s="34"/>
    </row>
    <row r="1874">
      <c r="A1874" s="34"/>
    </row>
    <row r="1875">
      <c r="A1875" s="34"/>
    </row>
    <row r="1876">
      <c r="A1876" s="34"/>
    </row>
    <row r="1877">
      <c r="A1877" s="34"/>
    </row>
    <row r="1878">
      <c r="A1878" s="34"/>
    </row>
    <row r="1879">
      <c r="A1879" s="34"/>
    </row>
    <row r="1880">
      <c r="A1880" s="34"/>
    </row>
    <row r="1881">
      <c r="A1881" s="34"/>
    </row>
    <row r="1882">
      <c r="A1882" s="34"/>
    </row>
    <row r="1883">
      <c r="A1883" s="34"/>
    </row>
    <row r="1884">
      <c r="A1884" s="34"/>
    </row>
    <row r="1885">
      <c r="A1885" s="34"/>
    </row>
    <row r="1886">
      <c r="A1886" s="34"/>
    </row>
    <row r="1887">
      <c r="A1887" s="34"/>
    </row>
    <row r="1888">
      <c r="A1888" s="34"/>
    </row>
    <row r="1889">
      <c r="A1889" s="34"/>
    </row>
    <row r="1890">
      <c r="A1890" s="34"/>
    </row>
    <row r="1891">
      <c r="A1891" s="34"/>
    </row>
    <row r="1892">
      <c r="A1892" s="34"/>
    </row>
    <row r="1893">
      <c r="A1893" s="34"/>
    </row>
    <row r="1894">
      <c r="A1894" s="34"/>
    </row>
    <row r="1895">
      <c r="A1895" s="34"/>
    </row>
    <row r="1896">
      <c r="A1896" s="34"/>
    </row>
    <row r="1897">
      <c r="A1897" s="34"/>
    </row>
    <row r="1898">
      <c r="A1898" s="34"/>
    </row>
    <row r="1899">
      <c r="A1899" s="34"/>
    </row>
    <row r="1900">
      <c r="A1900" s="34"/>
    </row>
    <row r="1901">
      <c r="A1901" s="34"/>
    </row>
    <row r="1902">
      <c r="A1902" s="34"/>
    </row>
    <row r="1903">
      <c r="A1903" s="34"/>
    </row>
    <row r="1904">
      <c r="A1904" s="34"/>
    </row>
    <row r="1905">
      <c r="A1905" s="34"/>
    </row>
    <row r="1906">
      <c r="A1906" s="34"/>
    </row>
    <row r="1907">
      <c r="A1907" s="34"/>
    </row>
    <row r="1908">
      <c r="A1908" s="34"/>
    </row>
    <row r="1909">
      <c r="A1909" s="34"/>
    </row>
    <row r="1910">
      <c r="A1910" s="34"/>
    </row>
    <row r="1911">
      <c r="A1911" s="34"/>
    </row>
    <row r="1912">
      <c r="A1912" s="34"/>
    </row>
    <row r="1913">
      <c r="A1913" s="34"/>
    </row>
    <row r="1914">
      <c r="A1914" s="34"/>
    </row>
    <row r="1915">
      <c r="A1915" s="34"/>
    </row>
    <row r="1916">
      <c r="A1916" s="34"/>
    </row>
    <row r="1917">
      <c r="A1917" s="34"/>
    </row>
    <row r="1918">
      <c r="A1918" s="34"/>
    </row>
    <row r="1919">
      <c r="A1919" s="34"/>
    </row>
    <row r="1920">
      <c r="A1920" s="34"/>
    </row>
    <row r="1921">
      <c r="A1921" s="34"/>
    </row>
    <row r="1922">
      <c r="A1922" s="34"/>
    </row>
    <row r="1923">
      <c r="A1923" s="34"/>
    </row>
    <row r="1924">
      <c r="A1924" s="34"/>
    </row>
    <row r="1925">
      <c r="A1925" s="34"/>
    </row>
    <row r="1926">
      <c r="A1926" s="34"/>
    </row>
    <row r="1927">
      <c r="A1927" s="34"/>
    </row>
    <row r="1928">
      <c r="A1928" s="34"/>
    </row>
    <row r="1929">
      <c r="A1929" s="3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4" max="4" width="30.88"/>
    <col customWidth="1" min="10" max="10" width="30.38"/>
    <col customWidth="1" min="12" max="12" width="12.63"/>
    <col customWidth="1" min="15" max="15" width="31.75"/>
    <col customWidth="1" min="20" max="20" width="31.88"/>
  </cols>
  <sheetData>
    <row r="1">
      <c r="A1" s="1" t="s">
        <v>0</v>
      </c>
      <c r="B1" s="47" t="s">
        <v>18</v>
      </c>
      <c r="D1" s="76" t="s">
        <v>65</v>
      </c>
      <c r="E1" s="65" t="s">
        <v>44</v>
      </c>
      <c r="J1" s="77" t="s">
        <v>66</v>
      </c>
      <c r="L1" s="1" t="s">
        <v>0</v>
      </c>
      <c r="M1" s="47" t="s">
        <v>19</v>
      </c>
      <c r="O1" s="76" t="s">
        <v>67</v>
      </c>
      <c r="T1" s="78" t="s">
        <v>66</v>
      </c>
    </row>
    <row r="2">
      <c r="A2" s="16">
        <v>46090.0</v>
      </c>
      <c r="B2" s="44">
        <f>VLOOKUP(A2,'Data preparation'!A:G,7,0)</f>
        <v>-0.01779448622</v>
      </c>
      <c r="D2" s="79" t="s">
        <v>68</v>
      </c>
      <c r="J2" s="24"/>
      <c r="L2" s="16">
        <v>46090.0</v>
      </c>
      <c r="M2" s="44">
        <f>VLOOKUP(L2, 'Data preparation'!A:I, 8,0)</f>
        <v>-0.0147864184</v>
      </c>
      <c r="O2" s="79" t="s">
        <v>68</v>
      </c>
    </row>
    <row r="3">
      <c r="A3" s="16">
        <v>46083.0</v>
      </c>
      <c r="B3" s="44">
        <f>VLOOKUP(A3,'Data preparation'!A:G,7,0)</f>
        <v>-0.1079812207</v>
      </c>
      <c r="D3" s="79" t="s">
        <v>69</v>
      </c>
      <c r="J3" s="24"/>
      <c r="L3" s="16">
        <v>46083.0</v>
      </c>
      <c r="M3" s="44">
        <f>VLOOKUP(L3, 'Data preparation'!A:I, 8,0)</f>
        <v>-0.07152542373</v>
      </c>
      <c r="O3" s="79" t="s">
        <v>69</v>
      </c>
    </row>
    <row r="4">
      <c r="A4" s="16">
        <v>46076.0</v>
      </c>
      <c r="B4" s="44">
        <f>VLOOKUP(A4,'Data preparation'!A:G,7,0)</f>
        <v>-0.00952170062</v>
      </c>
      <c r="D4" s="80" t="s">
        <v>70</v>
      </c>
      <c r="E4" s="81">
        <v>52.0</v>
      </c>
      <c r="F4" s="82"/>
      <c r="J4" s="24"/>
      <c r="L4" s="16">
        <v>46076.0</v>
      </c>
      <c r="M4" s="44">
        <f>VLOOKUP(L4, 'Data preparation'!A:I, 8,0)</f>
        <v>-0.004051316678</v>
      </c>
      <c r="O4" s="80" t="s">
        <v>70</v>
      </c>
      <c r="P4" s="80">
        <v>52.0</v>
      </c>
      <c r="Q4" s="82"/>
    </row>
    <row r="5">
      <c r="A5" s="16">
        <v>46069.0</v>
      </c>
      <c r="B5" s="44">
        <f>VLOOKUP(A5,'Data preparation'!A:G,7,0)</f>
        <v>0.01597300337</v>
      </c>
      <c r="D5" s="83" t="s">
        <v>71</v>
      </c>
      <c r="E5" s="70">
        <v>51.0</v>
      </c>
      <c r="F5" s="82"/>
      <c r="J5" s="24"/>
      <c r="L5" s="16">
        <v>46069.0</v>
      </c>
      <c r="M5" s="44">
        <f>VLOOKUP(L5, 'Data preparation'!A:I, 8,0)</f>
        <v>0.02811523776</v>
      </c>
      <c r="O5" s="83" t="s">
        <v>71</v>
      </c>
      <c r="P5" s="70">
        <v>51.0</v>
      </c>
      <c r="Q5" s="82"/>
    </row>
    <row r="6">
      <c r="A6" s="16">
        <v>46062.0</v>
      </c>
      <c r="B6" s="44">
        <f>VLOOKUP(A6,'Data preparation'!A:G,7,0)</f>
        <v>0.005201266395</v>
      </c>
      <c r="D6" s="84" t="s">
        <v>72</v>
      </c>
      <c r="E6" s="85">
        <v>0.0208</v>
      </c>
      <c r="F6" s="82"/>
      <c r="J6" s="24"/>
      <c r="L6" s="16">
        <v>46062.0</v>
      </c>
      <c r="M6" s="44">
        <f>VLOOKUP(L6, 'Data preparation'!A:I, 8,0)</f>
        <v>-0.01973460361</v>
      </c>
      <c r="O6" s="84" t="s">
        <v>72</v>
      </c>
      <c r="P6" s="85">
        <v>0.0208</v>
      </c>
      <c r="Q6" s="82"/>
    </row>
    <row r="7">
      <c r="A7" s="16">
        <v>46055.0</v>
      </c>
      <c r="B7" s="44">
        <f>VLOOKUP(A7,'Data preparation'!A:G,7,0)</f>
        <v>0.01166781057</v>
      </c>
      <c r="D7" s="86" t="s">
        <v>73</v>
      </c>
      <c r="E7" s="87">
        <f>E6^2</f>
        <v>0.00043264</v>
      </c>
      <c r="F7" s="82"/>
      <c r="J7" s="24"/>
      <c r="L7" s="16">
        <v>46055.0</v>
      </c>
      <c r="M7" s="44">
        <f>VLOOKUP(L7, 'Data preparation'!A:I, 8,0)</f>
        <v>0.01713099152</v>
      </c>
      <c r="O7" s="86" t="s">
        <v>73</v>
      </c>
      <c r="P7" s="87">
        <f>P6^2</f>
        <v>0.00043264</v>
      </c>
      <c r="Q7" s="82"/>
    </row>
    <row r="8">
      <c r="A8" s="16">
        <v>46048.0</v>
      </c>
      <c r="B8" s="44">
        <f>VLOOKUP(A8,'Data preparation'!A:G,7,0)</f>
        <v>-0.002282583885</v>
      </c>
      <c r="D8" s="80" t="s">
        <v>74</v>
      </c>
      <c r="E8" s="88">
        <f>_xlfn.STDEV.S(B:B)</f>
        <v>0.0475809851</v>
      </c>
      <c r="F8" s="82"/>
      <c r="J8" s="24"/>
      <c r="L8" s="16">
        <v>46048.0</v>
      </c>
      <c r="M8" s="44">
        <f>VLOOKUP(L8, 'Data preparation'!A:I, 8,0)</f>
        <v>-0.008747855918</v>
      </c>
      <c r="O8" s="80" t="s">
        <v>74</v>
      </c>
      <c r="P8" s="88">
        <f>_xlfn.STDEV.S(M:M)</f>
        <v>0.04575569427</v>
      </c>
      <c r="Q8" s="82"/>
    </row>
    <row r="9">
      <c r="A9" s="16">
        <v>46041.0</v>
      </c>
      <c r="B9" s="44">
        <f>VLOOKUP(A9,'Data preparation'!A:G,7,0)</f>
        <v>-0.01239855726</v>
      </c>
      <c r="D9" s="80" t="s">
        <v>75</v>
      </c>
      <c r="E9" s="88">
        <f>E8^2</f>
        <v>0.002263950143</v>
      </c>
      <c r="F9" s="82"/>
      <c r="J9" s="24"/>
      <c r="L9" s="16">
        <v>46041.0</v>
      </c>
      <c r="M9" s="44">
        <f>VLOOKUP(L9, 'Data preparation'!A:I, 8,0)</f>
        <v>-0.008840530432</v>
      </c>
      <c r="O9" s="80" t="s">
        <v>75</v>
      </c>
      <c r="P9" s="88">
        <f>P8^2</f>
        <v>0.002093583558</v>
      </c>
      <c r="Q9" s="82"/>
    </row>
    <row r="10">
      <c r="A10" s="16">
        <v>46034.0</v>
      </c>
      <c r="B10" s="44">
        <f>VLOOKUP(A10,'Data preparation'!A:G,7,0)</f>
        <v>-0.03586176918</v>
      </c>
      <c r="D10" s="82"/>
      <c r="E10" s="82"/>
      <c r="F10" s="82"/>
      <c r="J10" s="24"/>
      <c r="L10" s="16">
        <v>46034.0</v>
      </c>
      <c r="M10" s="44">
        <f>VLOOKUP(L10, 'Data preparation'!A:I, 8,0)</f>
        <v>-0.02567500414</v>
      </c>
      <c r="O10" s="82"/>
      <c r="P10" s="82"/>
      <c r="Q10" s="82"/>
    </row>
    <row r="11">
      <c r="A11" s="16">
        <v>46027.0</v>
      </c>
      <c r="B11" s="44">
        <f>VLOOKUP(A11,'Data preparation'!A:G,7,0)</f>
        <v>-0.04464285714</v>
      </c>
      <c r="D11" s="89"/>
      <c r="E11" s="82"/>
      <c r="F11" s="82"/>
      <c r="J11" s="24"/>
      <c r="L11" s="16">
        <v>46027.0</v>
      </c>
      <c r="M11" s="44">
        <f>VLOOKUP(L11, 'Data preparation'!A:I, 8,0)</f>
        <v>-0.02518973034</v>
      </c>
      <c r="O11" s="89"/>
      <c r="P11" s="82"/>
      <c r="Q11" s="82"/>
    </row>
    <row r="12">
      <c r="A12" s="16">
        <v>46020.0</v>
      </c>
      <c r="B12" s="44">
        <f>VLOOKUP(A12,'Data preparation'!A:G,7,0)</f>
        <v>0.03949924455</v>
      </c>
      <c r="D12" s="82"/>
      <c r="E12" s="70" t="s">
        <v>76</v>
      </c>
      <c r="F12" s="82">
        <f>(E5*E9)/E7</f>
        <v>266.8765192</v>
      </c>
      <c r="J12" s="24"/>
      <c r="L12" s="16">
        <v>46020.0</v>
      </c>
      <c r="M12" s="44">
        <f>VLOOKUP(L12, 'Data preparation'!A:I, 8,0)</f>
        <v>0.04435075885</v>
      </c>
      <c r="O12" s="82"/>
      <c r="P12" s="70" t="s">
        <v>76</v>
      </c>
      <c r="Q12" s="82">
        <f>(P5*P9)/P7</f>
        <v>246.79355</v>
      </c>
    </row>
    <row r="13">
      <c r="A13" s="16">
        <v>46013.0</v>
      </c>
      <c r="B13" s="44">
        <f>VLOOKUP(A13,'Data preparation'!A:G,7,0)</f>
        <v>-0.01025421918</v>
      </c>
      <c r="D13" s="82"/>
      <c r="E13" s="70" t="s">
        <v>59</v>
      </c>
      <c r="F13" s="90">
        <f>_xlfn.CHISQ.DIST.RT(F12,E5)</f>
        <v>0</v>
      </c>
      <c r="G13" s="53" t="s">
        <v>77</v>
      </c>
      <c r="I13" s="91" t="s">
        <v>78</v>
      </c>
      <c r="J13" s="24"/>
      <c r="L13" s="16">
        <v>46013.0</v>
      </c>
      <c r="M13" s="44">
        <f>VLOOKUP(L13, 'Data preparation'!A:I, 8,0)</f>
        <v>-0.009024064171</v>
      </c>
      <c r="O13" s="82"/>
      <c r="P13" s="70" t="s">
        <v>59</v>
      </c>
      <c r="Q13" s="90">
        <f>_xlfn.CHISQ.DIST.RT(Q12,P5)</f>
        <v>0</v>
      </c>
      <c r="R13" s="53" t="s">
        <v>79</v>
      </c>
      <c r="S13" s="91" t="s">
        <v>78</v>
      </c>
    </row>
    <row r="14">
      <c r="A14" s="16">
        <v>46006.0</v>
      </c>
      <c r="B14" s="44">
        <f>VLOOKUP(A14,'Data preparation'!A:G,7,0)</f>
        <v>-0.0262117745</v>
      </c>
      <c r="J14" s="24"/>
      <c r="L14" s="16">
        <v>46006.0</v>
      </c>
      <c r="M14" s="44">
        <f>VLOOKUP(L14, 'Data preparation'!A:I, 8,0)</f>
        <v>-0.02998865294</v>
      </c>
    </row>
    <row r="15">
      <c r="A15" s="16">
        <v>45999.0</v>
      </c>
      <c r="B15" s="44">
        <f>VLOOKUP(A15,'Data preparation'!A:G,7,0)</f>
        <v>-0.00331743728</v>
      </c>
      <c r="J15" s="24"/>
      <c r="L15" s="16">
        <v>45999.0</v>
      </c>
      <c r="M15" s="44">
        <f>VLOOKUP(L15, 'Data preparation'!A:I, 8,0)</f>
        <v>0.001461038961</v>
      </c>
    </row>
    <row r="16">
      <c r="A16" s="16">
        <v>45992.0</v>
      </c>
      <c r="B16" s="44">
        <f>VLOOKUP(A16,'Data preparation'!A:G,7,0)</f>
        <v>0.09563834621</v>
      </c>
      <c r="J16" s="24"/>
      <c r="L16" s="16">
        <v>45992.0</v>
      </c>
      <c r="M16" s="44">
        <f>VLOOKUP(L16, 'Data preparation'!A:I, 8,0)</f>
        <v>0.05914718019</v>
      </c>
    </row>
    <row r="17">
      <c r="A17" s="16">
        <v>45985.0</v>
      </c>
      <c r="B17" s="44">
        <f>VLOOKUP(A17,'Data preparation'!A:G,7,0)</f>
        <v>0.03479078514</v>
      </c>
      <c r="J17" s="24"/>
      <c r="L17" s="16">
        <v>45985.0</v>
      </c>
      <c r="M17" s="44">
        <f>VLOOKUP(L17, 'Data preparation'!A:I, 8,0)</f>
        <v>0.01999298492</v>
      </c>
    </row>
    <row r="18">
      <c r="A18" s="16">
        <v>45978.0</v>
      </c>
      <c r="B18" s="44">
        <f>VLOOKUP(A18,'Data preparation'!A:G,7,0)</f>
        <v>-0.04124408384</v>
      </c>
      <c r="J18" s="24"/>
      <c r="L18" s="16">
        <v>45978.0</v>
      </c>
      <c r="M18" s="44">
        <f>VLOOKUP(L18, 'Data preparation'!A:I, 8,0)</f>
        <v>-0.04264607119</v>
      </c>
    </row>
    <row r="19">
      <c r="A19" s="16">
        <v>45971.0</v>
      </c>
      <c r="B19" s="44">
        <f>VLOOKUP(A19,'Data preparation'!A:G,7,0)</f>
        <v>0.05266903915</v>
      </c>
      <c r="J19" s="24"/>
      <c r="L19" s="16">
        <v>45971.0</v>
      </c>
      <c r="M19" s="44">
        <f>VLOOKUP(L19, 'Data preparation'!A:I, 8,0)</f>
        <v>0.02354356419</v>
      </c>
    </row>
    <row r="20">
      <c r="A20" s="16">
        <v>45964.0</v>
      </c>
      <c r="B20" s="44">
        <f>VLOOKUP(A20,'Data preparation'!A:G,7,0)</f>
        <v>0.04435084242</v>
      </c>
      <c r="J20" s="24"/>
      <c r="L20" s="16">
        <v>45964.0</v>
      </c>
      <c r="M20" s="44">
        <f>VLOOKUP(L20, 'Data preparation'!A:I, 8,0)</f>
        <v>0.03522504892</v>
      </c>
    </row>
    <row r="21">
      <c r="A21" s="16">
        <v>45957.0</v>
      </c>
      <c r="B21" s="44">
        <f>VLOOKUP(A21,'Data preparation'!A:G,7,0)</f>
        <v>-0.005421389847</v>
      </c>
      <c r="J21" s="24"/>
      <c r="L21" s="16">
        <v>45957.0</v>
      </c>
      <c r="M21" s="44">
        <f>VLOOKUP(L21, 'Data preparation'!A:I, 8,0)</f>
        <v>0.04576744186</v>
      </c>
    </row>
    <row r="22">
      <c r="A22" s="16">
        <v>45950.0</v>
      </c>
      <c r="B22" s="44">
        <f>VLOOKUP(A22,'Data preparation'!A:G,7,0)</f>
        <v>0.01171777612</v>
      </c>
      <c r="J22" s="24"/>
      <c r="L22" s="16">
        <v>45950.0</v>
      </c>
      <c r="M22" s="44">
        <f>VLOOKUP(L22, 'Data preparation'!A:I, 8,0)</f>
        <v>0.007120104928</v>
      </c>
    </row>
    <row r="23">
      <c r="A23" s="16">
        <v>45943.0</v>
      </c>
      <c r="B23" s="44">
        <f>VLOOKUP(A23,'Data preparation'!A:G,7,0)</f>
        <v>0.02217125382</v>
      </c>
      <c r="J23" s="24"/>
      <c r="L23" s="16">
        <v>45943.0</v>
      </c>
      <c r="M23" s="44">
        <f>VLOOKUP(L23, 'Data preparation'!A:I, 8,0)</f>
        <v>0.003195488722</v>
      </c>
    </row>
    <row r="24">
      <c r="A24" s="16">
        <v>45936.0</v>
      </c>
      <c r="B24" s="44">
        <f>VLOOKUP(A24,'Data preparation'!A:G,7,0)</f>
        <v>-0.09187688035</v>
      </c>
      <c r="J24" s="24"/>
      <c r="L24" s="16">
        <v>45936.0</v>
      </c>
      <c r="M24" s="44">
        <f>VLOOKUP(L24, 'Data preparation'!A:I, 8,0)</f>
        <v>-0.03988449738</v>
      </c>
    </row>
    <row r="25">
      <c r="A25" s="16">
        <v>45929.0</v>
      </c>
      <c r="B25" s="44">
        <f>VLOOKUP(A25,'Data preparation'!A:G,7,0)</f>
        <v>0.007930954047</v>
      </c>
      <c r="J25" s="24"/>
      <c r="L25" s="16">
        <v>45929.0</v>
      </c>
      <c r="M25" s="44">
        <f>VLOOKUP(L25, 'Data preparation'!A:I, 8,0)</f>
        <v>0.03919729932</v>
      </c>
    </row>
    <row r="26">
      <c r="A26" s="16">
        <v>45922.0</v>
      </c>
      <c r="B26" s="44">
        <f>VLOOKUP(A26,'Data preparation'!A:G,7,0)</f>
        <v>0.02978621187</v>
      </c>
      <c r="J26" s="24"/>
      <c r="L26" s="16">
        <v>45922.0</v>
      </c>
      <c r="M26" s="44">
        <f>VLOOKUP(L26, 'Data preparation'!A:I, 8,0)</f>
        <v>0.03574203574</v>
      </c>
    </row>
    <row r="27">
      <c r="A27" s="16">
        <v>45915.0</v>
      </c>
      <c r="B27" s="44">
        <f>VLOOKUP(A27,'Data preparation'!A:G,7,0)</f>
        <v>-0.006680983059</v>
      </c>
      <c r="J27" s="24"/>
      <c r="L27" s="16">
        <v>45915.0</v>
      </c>
      <c r="M27" s="44">
        <f>VLOOKUP(L27, 'Data preparation'!A:I, 8,0)</f>
        <v>-0.00406268137</v>
      </c>
    </row>
    <row r="28">
      <c r="A28" s="16">
        <v>45908.0</v>
      </c>
      <c r="B28" s="44">
        <f>VLOOKUP(A28,'Data preparation'!A:G,7,0)</f>
        <v>-0.05223880597</v>
      </c>
      <c r="J28" s="24"/>
      <c r="L28" s="16">
        <v>45908.0</v>
      </c>
      <c r="M28" s="44">
        <f>VLOOKUP(L28, 'Data preparation'!A:I, 8,0)</f>
        <v>-0.02324263039</v>
      </c>
    </row>
    <row r="29">
      <c r="A29" s="16">
        <v>45901.0</v>
      </c>
      <c r="B29" s="44">
        <f>VLOOKUP(A29,'Data preparation'!A:G,7,0)</f>
        <v>-0.0114017438</v>
      </c>
      <c r="J29" s="24"/>
      <c r="L29" s="16">
        <v>45901.0</v>
      </c>
      <c r="M29" s="44">
        <f>VLOOKUP(L29, 'Data preparation'!A:I, 8,0)</f>
        <v>-0.008059981256</v>
      </c>
    </row>
    <row r="30">
      <c r="A30" s="16">
        <v>45894.0</v>
      </c>
      <c r="B30" s="44">
        <f>VLOOKUP(A30,'Data preparation'!A:G,7,0)</f>
        <v>-0.02143950995</v>
      </c>
      <c r="J30" s="24"/>
      <c r="L30" s="16">
        <v>45894.0</v>
      </c>
      <c r="M30" s="44">
        <f>VLOOKUP(L30, 'Data preparation'!A:I, 8,0)</f>
        <v>-0.03246282191</v>
      </c>
    </row>
    <row r="31">
      <c r="A31" s="16">
        <v>45887.0</v>
      </c>
      <c r="B31" s="44">
        <f>VLOOKUP(A31,'Data preparation'!A:G,7,0)</f>
        <v>0.01420013313</v>
      </c>
      <c r="J31" s="24"/>
      <c r="L31" s="16">
        <v>45887.0</v>
      </c>
      <c r="M31" s="44">
        <f>VLOOKUP(L31, 'Data preparation'!A:I, 8,0)</f>
        <v>0.03046159596</v>
      </c>
    </row>
    <row r="32">
      <c r="A32" s="16">
        <v>45880.0</v>
      </c>
      <c r="B32" s="44">
        <f>VLOOKUP(A32,'Data preparation'!A:G,7,0)</f>
        <v>0.03087831656</v>
      </c>
      <c r="J32" s="24"/>
      <c r="L32" s="16">
        <v>45880.0</v>
      </c>
      <c r="M32" s="44">
        <f>VLOOKUP(L32, 'Data preparation'!A:I, 8,0)</f>
        <v>0.02666922487</v>
      </c>
    </row>
    <row r="33">
      <c r="A33" s="16">
        <v>45873.0</v>
      </c>
      <c r="B33" s="44">
        <f>VLOOKUP(A33,'Data preparation'!A:G,7,0)</f>
        <v>0.06504263094</v>
      </c>
      <c r="J33" s="24"/>
      <c r="L33" s="16">
        <v>45873.0</v>
      </c>
      <c r="M33" s="44">
        <f>VLOOKUP(L33, 'Data preparation'!A:I, 8,0)</f>
        <v>0.06150712831</v>
      </c>
    </row>
    <row r="34">
      <c r="A34" s="16">
        <v>45866.0</v>
      </c>
      <c r="B34" s="44">
        <f>VLOOKUP(A34,'Data preparation'!A:G,7,0)</f>
        <v>-0.07773534037</v>
      </c>
      <c r="J34" s="24"/>
      <c r="L34" s="16">
        <v>45866.0</v>
      </c>
      <c r="M34" s="44">
        <f>VLOOKUP(L34, 'Data preparation'!A:I, 8,0)</f>
        <v>-0.1151558839</v>
      </c>
    </row>
    <row r="35">
      <c r="A35" s="16">
        <v>45859.0</v>
      </c>
      <c r="B35" s="44">
        <f>VLOOKUP(A35,'Data preparation'!A:G,7,0)</f>
        <v>0.06585249042</v>
      </c>
      <c r="J35" s="24"/>
      <c r="L35" s="16">
        <v>45859.0</v>
      </c>
      <c r="M35" s="44">
        <f>VLOOKUP(L35, 'Data preparation'!A:I, 8,0)</f>
        <v>0.08104422365</v>
      </c>
    </row>
    <row r="36">
      <c r="A36" s="16">
        <v>45852.0</v>
      </c>
      <c r="B36" s="44">
        <f>VLOOKUP(A36,'Data preparation'!A:G,7,0)</f>
        <v>-0.02407104464</v>
      </c>
      <c r="J36" s="24"/>
      <c r="L36" s="16">
        <v>45852.0</v>
      </c>
      <c r="M36" s="44">
        <f>VLOOKUP(L36, 'Data preparation'!A:I, 8,0)</f>
        <v>-0.03351534551</v>
      </c>
    </row>
    <row r="37">
      <c r="A37" s="16">
        <v>45845.0</v>
      </c>
      <c r="B37" s="44">
        <f>VLOOKUP(A37,'Data preparation'!A:G,7,0)</f>
        <v>0.09943473792</v>
      </c>
      <c r="J37" s="24"/>
      <c r="L37" s="16">
        <v>45845.0</v>
      </c>
      <c r="M37" s="44">
        <f>VLOOKUP(L37, 'Data preparation'!A:I, 8,0)</f>
        <v>0.06050319489</v>
      </c>
    </row>
    <row r="38">
      <c r="A38" s="16">
        <v>45838.0</v>
      </c>
      <c r="B38" s="44">
        <f>VLOOKUP(A38,'Data preparation'!A:G,7,0)</f>
        <v>0.01301405518</v>
      </c>
      <c r="J38" s="24"/>
      <c r="L38" s="16">
        <v>45838.0</v>
      </c>
      <c r="M38" s="44">
        <f>VLOOKUP(L38, 'Data preparation'!A:I, 8,0)</f>
        <v>-0.008120419885</v>
      </c>
    </row>
    <row r="39">
      <c r="A39" s="16">
        <v>45831.0</v>
      </c>
      <c r="B39" s="44">
        <f>VLOOKUP(A39,'Data preparation'!A:G,7,0)</f>
        <v>0.06722222222</v>
      </c>
      <c r="J39" s="24"/>
      <c r="L39" s="16">
        <v>45831.0</v>
      </c>
      <c r="M39" s="44">
        <f>VLOOKUP(L39, 'Data preparation'!A:I, 8,0)</f>
        <v>0.03824799506</v>
      </c>
    </row>
    <row r="40">
      <c r="A40" s="16">
        <v>45824.0</v>
      </c>
      <c r="B40" s="44">
        <f>VLOOKUP(A40,'Data preparation'!A:G,7,0)</f>
        <v>-0.0438247012</v>
      </c>
      <c r="J40" s="24"/>
      <c r="L40" s="16">
        <v>45824.0</v>
      </c>
      <c r="M40" s="44">
        <f>VLOOKUP(L40, 'Data preparation'!A:I, 8,0)</f>
        <v>-0.04309327037</v>
      </c>
    </row>
    <row r="41">
      <c r="A41" s="16">
        <v>45817.0</v>
      </c>
      <c r="B41" s="44">
        <f>VLOOKUP(A41,'Data preparation'!A:G,7,0)</f>
        <v>-0.01799687011</v>
      </c>
      <c r="J41" s="24"/>
      <c r="L41" s="16">
        <v>45817.0</v>
      </c>
      <c r="M41" s="44">
        <f>VLOOKUP(L41, 'Data preparation'!A:I, 8,0)</f>
        <v>-0.01032132425</v>
      </c>
    </row>
    <row r="42">
      <c r="A42" s="16">
        <v>45810.0</v>
      </c>
      <c r="B42" s="44">
        <f>VLOOKUP(A42,'Data preparation'!A:G,7,0)</f>
        <v>-0.01818181818</v>
      </c>
      <c r="J42" s="24"/>
      <c r="L42" s="16">
        <v>45810.0</v>
      </c>
      <c r="M42" s="44">
        <f>VLOOKUP(L42, 'Data preparation'!A:I, 8,0)</f>
        <v>-0.02357862712</v>
      </c>
    </row>
    <row r="43">
      <c r="A43" s="16">
        <v>45803.0</v>
      </c>
      <c r="B43" s="44">
        <f>VLOOKUP(A43,'Data preparation'!A:G,7,0)</f>
        <v>0.03773584906</v>
      </c>
      <c r="J43" s="24"/>
      <c r="L43" s="16">
        <v>45803.0</v>
      </c>
      <c r="M43" s="44">
        <f>VLOOKUP(L43, 'Data preparation'!A:I, 8,0)</f>
        <v>0.04056193114</v>
      </c>
    </row>
    <row r="44">
      <c r="A44" s="16">
        <v>45796.0</v>
      </c>
      <c r="B44" s="44">
        <f>VLOOKUP(A44,'Data preparation'!A:G,7,0)</f>
        <v>0.03124143601</v>
      </c>
      <c r="J44" s="24"/>
      <c r="L44" s="16">
        <v>45796.0</v>
      </c>
      <c r="M44" s="44">
        <f>VLOOKUP(L44, 'Data preparation'!A:I, 8,0)</f>
        <v>-0.03733333333</v>
      </c>
    </row>
    <row r="45">
      <c r="A45" s="16">
        <v>45789.0</v>
      </c>
      <c r="B45" s="44">
        <f>VLOOKUP(A45,'Data preparation'!A:G,7,0)</f>
        <v>-0.03465608466</v>
      </c>
      <c r="J45" s="24"/>
      <c r="L45" s="16">
        <v>45789.0</v>
      </c>
      <c r="M45" s="44">
        <f>VLOOKUP(L45, 'Data preparation'!A:I, 8,0)</f>
        <v>0.1170212766</v>
      </c>
    </row>
    <row r="46">
      <c r="A46" s="16">
        <v>45782.0</v>
      </c>
      <c r="B46" s="44">
        <f>VLOOKUP(A46,'Data preparation'!A:G,7,0)</f>
        <v>0.06493872376</v>
      </c>
      <c r="J46" s="24"/>
      <c r="L46" s="16">
        <v>45782.0</v>
      </c>
      <c r="M46" s="44">
        <f>VLOOKUP(L46, 'Data preparation'!A:I, 8,0)</f>
        <v>-0.04179408767</v>
      </c>
    </row>
    <row r="47">
      <c r="A47" s="16">
        <v>45775.0</v>
      </c>
      <c r="B47" s="44">
        <f>VLOOKUP(A47,'Data preparation'!A:G,7,0)</f>
        <v>-0.01961055103</v>
      </c>
      <c r="J47" s="24"/>
      <c r="L47" s="16">
        <v>45775.0</v>
      </c>
      <c r="M47" s="44">
        <f>VLOOKUP(L47, 'Data preparation'!A:I, 8,0)</f>
        <v>-0.02368630573</v>
      </c>
    </row>
    <row r="48">
      <c r="A48" s="16">
        <v>45768.0</v>
      </c>
      <c r="B48" s="44">
        <f>VLOOKUP(A48,'Data preparation'!A:G,7,0)</f>
        <v>0.08625862586</v>
      </c>
      <c r="J48" s="24"/>
      <c r="L48" s="16">
        <v>45768.0</v>
      </c>
      <c r="M48" s="44">
        <f>VLOOKUP(L48, 'Data preparation'!A:I, 8,0)</f>
        <v>0.08674021198</v>
      </c>
    </row>
    <row r="49">
      <c r="A49" s="16">
        <v>45761.0</v>
      </c>
      <c r="B49" s="44">
        <f>VLOOKUP(A49,'Data preparation'!A:G,7,0)</f>
        <v>0.05876747141</v>
      </c>
      <c r="J49" s="24"/>
      <c r="L49" s="16">
        <v>45761.0</v>
      </c>
      <c r="M49" s="44">
        <f>VLOOKUP(L49, 'Data preparation'!A:I, 8,0)</f>
        <v>0.04215509468</v>
      </c>
    </row>
    <row r="50">
      <c r="A50" s="16">
        <v>45754.0</v>
      </c>
      <c r="B50" s="44">
        <f>VLOOKUP(A50,'Data preparation'!A:G,7,0)</f>
        <v>-0.02417854929</v>
      </c>
      <c r="J50" s="24"/>
      <c r="L50" s="16">
        <v>45754.0</v>
      </c>
      <c r="M50" s="44">
        <f>VLOOKUP(L50, 'Data preparation'!A:I, 8,0)</f>
        <v>-0.01771479185</v>
      </c>
    </row>
    <row r="51">
      <c r="A51" s="16">
        <v>45747.0</v>
      </c>
      <c r="B51" s="44">
        <f>VLOOKUP(A51,'Data preparation'!A:G,7,0)</f>
        <v>-0.1045107564</v>
      </c>
      <c r="J51" s="24"/>
      <c r="L51" s="16">
        <v>45747.0</v>
      </c>
      <c r="M51" s="44">
        <f>VLOOKUP(L51, 'Data preparation'!A:I, 8,0)</f>
        <v>-0.1198596765</v>
      </c>
    </row>
    <row r="52">
      <c r="A52" s="16">
        <v>45740.0</v>
      </c>
      <c r="B52" s="44">
        <f>VLOOKUP(A52,'Data preparation'!A:G,7,0)</f>
        <v>-0.04074024764</v>
      </c>
      <c r="J52" s="24"/>
      <c r="L52" s="16">
        <v>45740.0</v>
      </c>
      <c r="M52" s="44">
        <f>VLOOKUP(L52, 'Data preparation'!A:I, 8,0)</f>
        <v>-0.04468441631</v>
      </c>
    </row>
    <row r="53">
      <c r="A53" s="16">
        <v>45733.0</v>
      </c>
      <c r="B53" s="44">
        <f>VLOOKUP(A53,'Data preparation'!A:G,7,0)</f>
        <v>-0.03581514763</v>
      </c>
      <c r="J53" s="24"/>
      <c r="L53" s="16">
        <v>45733.0</v>
      </c>
      <c r="M53" s="44">
        <f>VLOOKUP(L53, 'Data preparation'!A:I, 8,0)</f>
        <v>-0.02681645226</v>
      </c>
    </row>
    <row r="54">
      <c r="A54" s="16">
        <v>45726.0</v>
      </c>
      <c r="B54" s="44" t="str">
        <f>VLOOKUP(A54,'Data preparation'!A:G,7,0)</f>
        <v/>
      </c>
      <c r="J54" s="24"/>
      <c r="L54" s="16">
        <v>45726.0</v>
      </c>
      <c r="M54" s="44" t="str">
        <f>VLOOKUP(L54, 'Data preparation'!A:I, 8,0)</f>
        <v/>
      </c>
    </row>
    <row r="55">
      <c r="A55" s="30"/>
      <c r="J55" s="24"/>
      <c r="L55" s="30"/>
    </row>
    <row r="56">
      <c r="A56" s="30"/>
      <c r="J56" s="24"/>
      <c r="L56" s="30"/>
    </row>
    <row r="57">
      <c r="A57" s="30"/>
      <c r="J57" s="24"/>
      <c r="L57" s="30"/>
    </row>
    <row r="58">
      <c r="A58" s="30"/>
      <c r="J58" s="24"/>
      <c r="L58" s="30"/>
    </row>
    <row r="59">
      <c r="A59" s="34"/>
      <c r="J59" s="24"/>
      <c r="L59" s="34"/>
    </row>
    <row r="60">
      <c r="A60" s="34"/>
      <c r="J60" s="24"/>
      <c r="L60" s="34"/>
    </row>
    <row r="61">
      <c r="A61" s="34"/>
      <c r="J61" s="24"/>
      <c r="L61" s="34"/>
    </row>
    <row r="62">
      <c r="A62" s="34"/>
      <c r="J62" s="24"/>
      <c r="L62" s="34"/>
    </row>
    <row r="63">
      <c r="A63" s="34"/>
      <c r="J63" s="24"/>
      <c r="L63" s="34"/>
    </row>
    <row r="64">
      <c r="A64" s="34"/>
      <c r="J64" s="24"/>
      <c r="L64" s="34"/>
    </row>
    <row r="65">
      <c r="A65" s="34"/>
      <c r="J65" s="24"/>
      <c r="L65" s="34"/>
    </row>
    <row r="66">
      <c r="A66" s="34"/>
      <c r="J66" s="24"/>
      <c r="L66" s="34"/>
    </row>
    <row r="67">
      <c r="A67" s="34"/>
      <c r="J67" s="24"/>
      <c r="L67" s="34"/>
    </row>
    <row r="68">
      <c r="A68" s="34"/>
      <c r="J68" s="24"/>
      <c r="L68" s="34"/>
    </row>
    <row r="69">
      <c r="A69" s="34"/>
      <c r="J69" s="24"/>
      <c r="L69" s="34"/>
    </row>
    <row r="70">
      <c r="A70" s="34"/>
      <c r="J70" s="24"/>
      <c r="L70" s="34"/>
    </row>
    <row r="71">
      <c r="A71" s="34"/>
      <c r="J71" s="24"/>
      <c r="L71" s="34"/>
    </row>
    <row r="72">
      <c r="A72" s="34"/>
      <c r="J72" s="24"/>
      <c r="L72" s="34"/>
    </row>
    <row r="73">
      <c r="A73" s="34"/>
      <c r="J73" s="24"/>
      <c r="L73" s="34"/>
    </row>
    <row r="74">
      <c r="A74" s="34"/>
      <c r="J74" s="24"/>
      <c r="L74" s="34"/>
    </row>
    <row r="75">
      <c r="A75" s="34"/>
      <c r="J75" s="24"/>
      <c r="L75" s="34"/>
    </row>
    <row r="76">
      <c r="A76" s="34"/>
      <c r="J76" s="24"/>
      <c r="L76" s="34"/>
    </row>
    <row r="77">
      <c r="A77" s="34"/>
      <c r="J77" s="24"/>
      <c r="L77" s="34"/>
    </row>
    <row r="78">
      <c r="A78" s="34"/>
      <c r="J78" s="24"/>
      <c r="L78" s="34"/>
    </row>
    <row r="79">
      <c r="A79" s="34"/>
      <c r="J79" s="24"/>
      <c r="L79" s="34"/>
    </row>
    <row r="80">
      <c r="A80" s="34"/>
      <c r="J80" s="24"/>
      <c r="L80" s="34"/>
    </row>
    <row r="81">
      <c r="A81" s="34"/>
      <c r="J81" s="24"/>
      <c r="L81" s="34"/>
    </row>
    <row r="82">
      <c r="A82" s="34"/>
      <c r="J82" s="24"/>
      <c r="L82" s="34"/>
    </row>
    <row r="83">
      <c r="A83" s="34"/>
      <c r="J83" s="24"/>
      <c r="L83" s="34"/>
    </row>
    <row r="84">
      <c r="A84" s="34"/>
      <c r="J84" s="24"/>
      <c r="L84" s="34"/>
    </row>
    <row r="85">
      <c r="A85" s="34"/>
      <c r="J85" s="24"/>
      <c r="L85" s="34"/>
    </row>
    <row r="86">
      <c r="A86" s="34"/>
      <c r="J86" s="24"/>
      <c r="L86" s="34"/>
    </row>
    <row r="87">
      <c r="A87" s="34"/>
      <c r="J87" s="24"/>
      <c r="L87" s="34"/>
    </row>
    <row r="88">
      <c r="A88" s="34"/>
      <c r="J88" s="24"/>
      <c r="L88" s="34"/>
    </row>
    <row r="89">
      <c r="A89" s="34"/>
      <c r="J89" s="24"/>
      <c r="L89" s="34"/>
    </row>
    <row r="90">
      <c r="A90" s="34"/>
      <c r="J90" s="24"/>
      <c r="L90" s="34"/>
    </row>
    <row r="91">
      <c r="A91" s="34"/>
      <c r="J91" s="24"/>
      <c r="L91" s="34"/>
    </row>
    <row r="92">
      <c r="A92" s="34"/>
      <c r="J92" s="24"/>
      <c r="L92" s="34"/>
    </row>
    <row r="93">
      <c r="A93" s="34"/>
      <c r="J93" s="24"/>
      <c r="L93" s="34"/>
    </row>
    <row r="94">
      <c r="A94" s="34"/>
      <c r="J94" s="24"/>
      <c r="L94" s="34"/>
    </row>
    <row r="95">
      <c r="A95" s="34"/>
      <c r="J95" s="24"/>
      <c r="L95" s="34"/>
    </row>
    <row r="96">
      <c r="A96" s="34"/>
      <c r="J96" s="24"/>
      <c r="L96" s="34"/>
    </row>
    <row r="97">
      <c r="A97" s="34"/>
      <c r="J97" s="24"/>
      <c r="L97" s="34"/>
    </row>
    <row r="98">
      <c r="A98" s="34"/>
      <c r="J98" s="24"/>
      <c r="L98" s="34"/>
    </row>
    <row r="99">
      <c r="A99" s="34"/>
      <c r="J99" s="24"/>
      <c r="L99" s="34"/>
    </row>
    <row r="100">
      <c r="A100" s="34"/>
      <c r="J100" s="24"/>
      <c r="L100" s="34"/>
    </row>
    <row r="101">
      <c r="A101" s="34"/>
      <c r="J101" s="24"/>
      <c r="L101" s="34"/>
    </row>
    <row r="102">
      <c r="A102" s="34"/>
      <c r="J102" s="24"/>
      <c r="L102" s="34"/>
    </row>
    <row r="103">
      <c r="A103" s="34"/>
      <c r="J103" s="24"/>
      <c r="L103" s="34"/>
    </row>
    <row r="104">
      <c r="A104" s="34"/>
      <c r="J104" s="24"/>
      <c r="L104" s="34"/>
    </row>
    <row r="105">
      <c r="A105" s="34"/>
      <c r="J105" s="24"/>
      <c r="L105" s="34"/>
    </row>
    <row r="106">
      <c r="A106" s="34"/>
      <c r="J106" s="24"/>
      <c r="L106" s="34"/>
    </row>
    <row r="107">
      <c r="A107" s="34"/>
      <c r="J107" s="24"/>
      <c r="L107" s="34"/>
    </row>
    <row r="108">
      <c r="A108" s="34"/>
      <c r="J108" s="24"/>
      <c r="L108" s="34"/>
    </row>
    <row r="109">
      <c r="A109" s="34"/>
      <c r="J109" s="24"/>
      <c r="L109" s="34"/>
    </row>
    <row r="110">
      <c r="A110" s="34"/>
      <c r="J110" s="24"/>
      <c r="L110" s="34"/>
    </row>
    <row r="111">
      <c r="A111" s="34"/>
      <c r="J111" s="24"/>
      <c r="L111" s="34"/>
    </row>
    <row r="112">
      <c r="A112" s="34"/>
      <c r="J112" s="24"/>
      <c r="L112" s="34"/>
    </row>
    <row r="113">
      <c r="A113" s="34"/>
      <c r="J113" s="24"/>
      <c r="L113" s="34"/>
    </row>
    <row r="114">
      <c r="A114" s="34"/>
      <c r="J114" s="24"/>
      <c r="L114" s="34"/>
    </row>
    <row r="115">
      <c r="A115" s="34"/>
      <c r="J115" s="24"/>
      <c r="L115" s="34"/>
    </row>
    <row r="116">
      <c r="A116" s="34"/>
      <c r="J116" s="24"/>
      <c r="L116" s="34"/>
    </row>
    <row r="117">
      <c r="A117" s="34"/>
      <c r="J117" s="24"/>
      <c r="L117" s="34"/>
    </row>
    <row r="118">
      <c r="A118" s="34"/>
      <c r="J118" s="24"/>
      <c r="L118" s="34"/>
    </row>
    <row r="119">
      <c r="A119" s="34"/>
      <c r="J119" s="24"/>
      <c r="L119" s="34"/>
    </row>
    <row r="120">
      <c r="A120" s="34"/>
      <c r="J120" s="24"/>
      <c r="L120" s="34"/>
    </row>
    <row r="121">
      <c r="A121" s="34"/>
      <c r="J121" s="24"/>
      <c r="L121" s="34"/>
    </row>
    <row r="122">
      <c r="A122" s="34"/>
      <c r="J122" s="24"/>
      <c r="L122" s="34"/>
    </row>
    <row r="123">
      <c r="A123" s="34"/>
      <c r="J123" s="24"/>
      <c r="L123" s="34"/>
    </row>
    <row r="124">
      <c r="A124" s="34"/>
      <c r="J124" s="24"/>
      <c r="L124" s="34"/>
    </row>
    <row r="125">
      <c r="A125" s="34"/>
      <c r="J125" s="24"/>
      <c r="L125" s="34"/>
    </row>
    <row r="126">
      <c r="A126" s="34"/>
      <c r="J126" s="24"/>
      <c r="L126" s="34"/>
    </row>
    <row r="127">
      <c r="A127" s="34"/>
      <c r="J127" s="24"/>
      <c r="L127" s="34"/>
    </row>
    <row r="128">
      <c r="A128" s="34"/>
      <c r="J128" s="24"/>
      <c r="L128" s="34"/>
    </row>
    <row r="129">
      <c r="A129" s="34"/>
      <c r="J129" s="24"/>
      <c r="L129" s="34"/>
    </row>
    <row r="130">
      <c r="A130" s="34"/>
      <c r="J130" s="24"/>
      <c r="L130" s="34"/>
    </row>
    <row r="131">
      <c r="A131" s="34"/>
      <c r="J131" s="24"/>
      <c r="L131" s="34"/>
    </row>
    <row r="132">
      <c r="A132" s="34"/>
      <c r="J132" s="24"/>
      <c r="L132" s="34"/>
    </row>
    <row r="133">
      <c r="A133" s="34"/>
      <c r="J133" s="24"/>
      <c r="L133" s="34"/>
    </row>
    <row r="134">
      <c r="A134" s="34"/>
      <c r="J134" s="24"/>
      <c r="L134" s="34"/>
    </row>
    <row r="135">
      <c r="A135" s="34"/>
      <c r="J135" s="24"/>
      <c r="L135" s="34"/>
    </row>
    <row r="136">
      <c r="A136" s="34"/>
      <c r="J136" s="24"/>
      <c r="L136" s="34"/>
    </row>
    <row r="137">
      <c r="A137" s="34"/>
      <c r="J137" s="24"/>
      <c r="L137" s="34"/>
    </row>
    <row r="138">
      <c r="A138" s="34"/>
      <c r="J138" s="24"/>
      <c r="L138" s="34"/>
    </row>
    <row r="139">
      <c r="A139" s="34"/>
      <c r="J139" s="24"/>
      <c r="L139" s="34"/>
    </row>
    <row r="140">
      <c r="A140" s="34"/>
      <c r="J140" s="24"/>
      <c r="L140" s="34"/>
    </row>
    <row r="141">
      <c r="A141" s="34"/>
      <c r="J141" s="24"/>
      <c r="L141" s="34"/>
    </row>
    <row r="142">
      <c r="A142" s="34"/>
      <c r="J142" s="24"/>
      <c r="L142" s="34"/>
    </row>
    <row r="143">
      <c r="A143" s="34"/>
      <c r="J143" s="24"/>
      <c r="L143" s="34"/>
    </row>
    <row r="144">
      <c r="A144" s="34"/>
      <c r="J144" s="24"/>
      <c r="L144" s="34"/>
    </row>
    <row r="145">
      <c r="A145" s="34"/>
      <c r="J145" s="24"/>
      <c r="L145" s="34"/>
    </row>
    <row r="146">
      <c r="A146" s="34"/>
      <c r="J146" s="24"/>
      <c r="L146" s="34"/>
    </row>
    <row r="147">
      <c r="A147" s="34"/>
      <c r="J147" s="24"/>
      <c r="L147" s="34"/>
    </row>
    <row r="148">
      <c r="A148" s="34"/>
      <c r="J148" s="24"/>
      <c r="L148" s="34"/>
    </row>
    <row r="149">
      <c r="A149" s="34"/>
      <c r="J149" s="24"/>
      <c r="L149" s="34"/>
    </row>
    <row r="150">
      <c r="A150" s="34"/>
      <c r="J150" s="24"/>
      <c r="L150" s="34"/>
    </row>
    <row r="151">
      <c r="A151" s="34"/>
      <c r="J151" s="24"/>
      <c r="L151" s="34"/>
    </row>
    <row r="152">
      <c r="A152" s="34"/>
      <c r="J152" s="24"/>
      <c r="L152" s="34"/>
    </row>
    <row r="153">
      <c r="A153" s="34"/>
      <c r="J153" s="24"/>
      <c r="L153" s="34"/>
    </row>
    <row r="154">
      <c r="A154" s="34"/>
      <c r="J154" s="24"/>
      <c r="L154" s="34"/>
    </row>
    <row r="155">
      <c r="A155" s="34"/>
      <c r="J155" s="24"/>
      <c r="L155" s="34"/>
    </row>
    <row r="156">
      <c r="A156" s="34"/>
      <c r="J156" s="24"/>
      <c r="L156" s="34"/>
    </row>
    <row r="157">
      <c r="A157" s="34"/>
      <c r="J157" s="24"/>
      <c r="L157" s="34"/>
    </row>
    <row r="158">
      <c r="A158" s="34"/>
      <c r="J158" s="24"/>
      <c r="L158" s="34"/>
    </row>
    <row r="159">
      <c r="A159" s="34"/>
      <c r="J159" s="24"/>
      <c r="L159" s="34"/>
    </row>
    <row r="160">
      <c r="A160" s="34"/>
      <c r="J160" s="24"/>
      <c r="L160" s="34"/>
    </row>
    <row r="161">
      <c r="A161" s="34"/>
      <c r="J161" s="24"/>
      <c r="L161" s="34"/>
    </row>
    <row r="162">
      <c r="A162" s="34"/>
      <c r="J162" s="24"/>
      <c r="L162" s="34"/>
    </row>
    <row r="163">
      <c r="A163" s="34"/>
      <c r="J163" s="24"/>
      <c r="L163" s="34"/>
    </row>
    <row r="164">
      <c r="A164" s="34"/>
      <c r="J164" s="24"/>
      <c r="L164" s="34"/>
    </row>
    <row r="165">
      <c r="A165" s="34"/>
      <c r="J165" s="24"/>
      <c r="L165" s="34"/>
    </row>
    <row r="166">
      <c r="A166" s="34"/>
      <c r="J166" s="24"/>
      <c r="L166" s="34"/>
    </row>
    <row r="167">
      <c r="A167" s="34"/>
      <c r="J167" s="24"/>
      <c r="L167" s="34"/>
    </row>
    <row r="168">
      <c r="A168" s="34"/>
      <c r="J168" s="24"/>
      <c r="L168" s="34"/>
    </row>
    <row r="169">
      <c r="A169" s="34"/>
      <c r="J169" s="24"/>
      <c r="L169" s="34"/>
    </row>
    <row r="170">
      <c r="A170" s="34"/>
      <c r="J170" s="24"/>
      <c r="L170" s="34"/>
    </row>
    <row r="171">
      <c r="A171" s="34"/>
      <c r="J171" s="24"/>
      <c r="L171" s="34"/>
    </row>
    <row r="172">
      <c r="A172" s="34"/>
      <c r="J172" s="24"/>
      <c r="L172" s="34"/>
    </row>
    <row r="173">
      <c r="A173" s="34"/>
      <c r="J173" s="24"/>
      <c r="L173" s="34"/>
    </row>
    <row r="174">
      <c r="A174" s="34"/>
      <c r="J174" s="24"/>
      <c r="L174" s="34"/>
    </row>
    <row r="175">
      <c r="A175" s="34"/>
      <c r="J175" s="24"/>
      <c r="L175" s="34"/>
    </row>
    <row r="176">
      <c r="A176" s="34"/>
      <c r="J176" s="24"/>
      <c r="L176" s="34"/>
    </row>
    <row r="177">
      <c r="A177" s="34"/>
      <c r="J177" s="24"/>
      <c r="L177" s="34"/>
    </row>
    <row r="178">
      <c r="A178" s="34"/>
      <c r="J178" s="24"/>
      <c r="L178" s="34"/>
    </row>
    <row r="179">
      <c r="A179" s="34"/>
      <c r="J179" s="24"/>
      <c r="L179" s="34"/>
    </row>
    <row r="180">
      <c r="A180" s="34"/>
      <c r="J180" s="24"/>
      <c r="L180" s="34"/>
    </row>
    <row r="181">
      <c r="A181" s="34"/>
      <c r="J181" s="24"/>
      <c r="L181" s="34"/>
    </row>
    <row r="182">
      <c r="A182" s="34"/>
      <c r="J182" s="24"/>
      <c r="L182" s="34"/>
    </row>
    <row r="183">
      <c r="A183" s="34"/>
      <c r="J183" s="24"/>
      <c r="L183" s="34"/>
    </row>
    <row r="184">
      <c r="A184" s="34"/>
      <c r="J184" s="24"/>
      <c r="L184" s="34"/>
    </row>
    <row r="185">
      <c r="A185" s="34"/>
      <c r="J185" s="24"/>
      <c r="L185" s="34"/>
    </row>
    <row r="186">
      <c r="A186" s="34"/>
      <c r="J186" s="24"/>
      <c r="L186" s="34"/>
    </row>
    <row r="187">
      <c r="A187" s="34"/>
      <c r="J187" s="24"/>
      <c r="L187" s="34"/>
    </row>
    <row r="188">
      <c r="A188" s="34"/>
      <c r="J188" s="24"/>
      <c r="L188" s="34"/>
    </row>
    <row r="189">
      <c r="A189" s="34"/>
      <c r="J189" s="24"/>
      <c r="L189" s="34"/>
    </row>
    <row r="190">
      <c r="A190" s="34"/>
      <c r="J190" s="24"/>
      <c r="L190" s="34"/>
    </row>
    <row r="191">
      <c r="A191" s="34"/>
      <c r="J191" s="24"/>
      <c r="L191" s="34"/>
    </row>
    <row r="192">
      <c r="A192" s="34"/>
      <c r="J192" s="24"/>
      <c r="L192" s="34"/>
    </row>
    <row r="193">
      <c r="A193" s="34"/>
      <c r="J193" s="24"/>
      <c r="L193" s="34"/>
    </row>
    <row r="194">
      <c r="A194" s="34"/>
      <c r="J194" s="24"/>
      <c r="L194" s="34"/>
    </row>
    <row r="195">
      <c r="A195" s="34"/>
      <c r="J195" s="24"/>
      <c r="L195" s="34"/>
    </row>
    <row r="196">
      <c r="A196" s="34"/>
      <c r="J196" s="24"/>
      <c r="L196" s="34"/>
    </row>
    <row r="197">
      <c r="A197" s="34"/>
      <c r="J197" s="24"/>
      <c r="L197" s="34"/>
    </row>
    <row r="198">
      <c r="A198" s="34"/>
      <c r="J198" s="24"/>
      <c r="L198" s="34"/>
    </row>
    <row r="199">
      <c r="A199" s="34"/>
      <c r="J199" s="24"/>
      <c r="L199" s="34"/>
    </row>
    <row r="200">
      <c r="A200" s="34"/>
      <c r="J200" s="24"/>
      <c r="L200" s="34"/>
    </row>
    <row r="201">
      <c r="A201" s="34"/>
      <c r="J201" s="24"/>
      <c r="L201" s="34"/>
    </row>
    <row r="202">
      <c r="A202" s="34"/>
      <c r="J202" s="24"/>
      <c r="L202" s="34"/>
    </row>
    <row r="203">
      <c r="A203" s="34"/>
      <c r="J203" s="24"/>
      <c r="L203" s="34"/>
    </row>
    <row r="204">
      <c r="A204" s="34"/>
      <c r="J204" s="24"/>
      <c r="L204" s="34"/>
    </row>
    <row r="205">
      <c r="A205" s="34"/>
      <c r="J205" s="24"/>
      <c r="L205" s="34"/>
    </row>
    <row r="206">
      <c r="A206" s="34"/>
      <c r="J206" s="24"/>
      <c r="L206" s="34"/>
    </row>
    <row r="207">
      <c r="A207" s="34"/>
      <c r="J207" s="24"/>
      <c r="L207" s="34"/>
    </row>
    <row r="208">
      <c r="A208" s="34"/>
      <c r="J208" s="24"/>
      <c r="L208" s="34"/>
    </row>
    <row r="209">
      <c r="A209" s="34"/>
      <c r="J209" s="24"/>
      <c r="L209" s="34"/>
    </row>
    <row r="210">
      <c r="A210" s="34"/>
      <c r="J210" s="24"/>
      <c r="L210" s="34"/>
    </row>
    <row r="211">
      <c r="A211" s="34"/>
      <c r="J211" s="24"/>
      <c r="L211" s="34"/>
    </row>
    <row r="212">
      <c r="A212" s="34"/>
      <c r="J212" s="24"/>
      <c r="L212" s="34"/>
    </row>
    <row r="213">
      <c r="A213" s="34"/>
      <c r="J213" s="24"/>
      <c r="L213" s="34"/>
    </row>
    <row r="214">
      <c r="A214" s="34"/>
      <c r="J214" s="24"/>
      <c r="L214" s="34"/>
    </row>
    <row r="215">
      <c r="A215" s="34"/>
      <c r="J215" s="24"/>
      <c r="L215" s="34"/>
    </row>
    <row r="216">
      <c r="A216" s="34"/>
      <c r="J216" s="24"/>
      <c r="L216" s="34"/>
    </row>
    <row r="217">
      <c r="A217" s="34"/>
      <c r="J217" s="24"/>
      <c r="L217" s="34"/>
    </row>
    <row r="218">
      <c r="A218" s="34"/>
      <c r="J218" s="24"/>
      <c r="L218" s="34"/>
    </row>
    <row r="219">
      <c r="A219" s="34"/>
      <c r="J219" s="24"/>
      <c r="L219" s="34"/>
    </row>
    <row r="220">
      <c r="A220" s="34"/>
      <c r="J220" s="24"/>
      <c r="L220" s="34"/>
    </row>
    <row r="221">
      <c r="A221" s="34"/>
      <c r="J221" s="24"/>
      <c r="L221" s="34"/>
    </row>
    <row r="222">
      <c r="A222" s="34"/>
      <c r="J222" s="24"/>
      <c r="L222" s="34"/>
    </row>
    <row r="223">
      <c r="A223" s="34"/>
      <c r="J223" s="24"/>
      <c r="L223" s="34"/>
    </row>
    <row r="224">
      <c r="A224" s="34"/>
      <c r="J224" s="24"/>
      <c r="L224" s="34"/>
    </row>
    <row r="225">
      <c r="A225" s="34"/>
      <c r="J225" s="24"/>
      <c r="L225" s="34"/>
    </row>
    <row r="226">
      <c r="A226" s="34"/>
      <c r="J226" s="24"/>
      <c r="L226" s="34"/>
    </row>
    <row r="227">
      <c r="A227" s="34"/>
      <c r="J227" s="24"/>
      <c r="L227" s="34"/>
    </row>
    <row r="228">
      <c r="A228" s="34"/>
      <c r="J228" s="24"/>
      <c r="L228" s="34"/>
    </row>
    <row r="229">
      <c r="A229" s="34"/>
      <c r="J229" s="24"/>
      <c r="L229" s="34"/>
    </row>
    <row r="230">
      <c r="A230" s="34"/>
      <c r="J230" s="24"/>
      <c r="L230" s="34"/>
    </row>
    <row r="231">
      <c r="A231" s="34"/>
      <c r="J231" s="24"/>
      <c r="L231" s="34"/>
    </row>
    <row r="232">
      <c r="A232" s="34"/>
      <c r="J232" s="24"/>
      <c r="L232" s="34"/>
    </row>
    <row r="233">
      <c r="A233" s="34"/>
      <c r="J233" s="24"/>
      <c r="L233" s="34"/>
    </row>
    <row r="234">
      <c r="A234" s="34"/>
      <c r="J234" s="24"/>
      <c r="L234" s="34"/>
    </row>
    <row r="235">
      <c r="A235" s="34"/>
      <c r="J235" s="24"/>
      <c r="L235" s="34"/>
    </row>
    <row r="236">
      <c r="A236" s="34"/>
      <c r="J236" s="24"/>
      <c r="L236" s="34"/>
    </row>
    <row r="237">
      <c r="A237" s="34"/>
      <c r="J237" s="24"/>
      <c r="L237" s="34"/>
    </row>
    <row r="238">
      <c r="A238" s="34"/>
      <c r="J238" s="24"/>
      <c r="L238" s="34"/>
    </row>
    <row r="239">
      <c r="A239" s="34"/>
      <c r="J239" s="24"/>
      <c r="L239" s="34"/>
    </row>
    <row r="240">
      <c r="A240" s="34"/>
      <c r="J240" s="24"/>
      <c r="L240" s="34"/>
    </row>
    <row r="241">
      <c r="A241" s="34"/>
      <c r="J241" s="24"/>
      <c r="L241" s="34"/>
    </row>
    <row r="242">
      <c r="A242" s="34"/>
      <c r="J242" s="24"/>
      <c r="L242" s="34"/>
    </row>
    <row r="243">
      <c r="A243" s="34"/>
      <c r="J243" s="24"/>
      <c r="L243" s="34"/>
    </row>
    <row r="244">
      <c r="A244" s="34"/>
      <c r="J244" s="24"/>
      <c r="L244" s="34"/>
    </row>
    <row r="245">
      <c r="A245" s="34"/>
      <c r="J245" s="24"/>
      <c r="L245" s="34"/>
    </row>
    <row r="246">
      <c r="A246" s="34"/>
      <c r="J246" s="24"/>
      <c r="L246" s="34"/>
    </row>
    <row r="247">
      <c r="A247" s="34"/>
      <c r="J247" s="24"/>
      <c r="L247" s="34"/>
    </row>
    <row r="248">
      <c r="A248" s="34"/>
      <c r="J248" s="24"/>
      <c r="L248" s="34"/>
    </row>
    <row r="249">
      <c r="A249" s="34"/>
      <c r="J249" s="24"/>
      <c r="L249" s="34"/>
    </row>
    <row r="250">
      <c r="A250" s="34"/>
      <c r="J250" s="24"/>
      <c r="L250" s="34"/>
    </row>
    <row r="251">
      <c r="A251" s="34"/>
      <c r="J251" s="24"/>
      <c r="L251" s="34"/>
    </row>
    <row r="252">
      <c r="A252" s="34"/>
      <c r="J252" s="24"/>
      <c r="L252" s="34"/>
    </row>
    <row r="253">
      <c r="A253" s="34"/>
      <c r="J253" s="24"/>
      <c r="L253" s="34"/>
    </row>
    <row r="254">
      <c r="A254" s="34"/>
      <c r="J254" s="24"/>
      <c r="L254" s="34"/>
    </row>
    <row r="255">
      <c r="A255" s="34"/>
      <c r="J255" s="24"/>
      <c r="L255" s="34"/>
    </row>
    <row r="256">
      <c r="A256" s="34"/>
      <c r="J256" s="24"/>
      <c r="L256" s="34"/>
    </row>
    <row r="257">
      <c r="A257" s="34"/>
      <c r="J257" s="24"/>
      <c r="L257" s="34"/>
    </row>
    <row r="258">
      <c r="A258" s="34"/>
      <c r="J258" s="24"/>
      <c r="L258" s="34"/>
    </row>
    <row r="259">
      <c r="A259" s="34"/>
      <c r="J259" s="24"/>
      <c r="L259" s="34"/>
    </row>
    <row r="260">
      <c r="A260" s="34"/>
      <c r="J260" s="24"/>
      <c r="L260" s="34"/>
    </row>
    <row r="261">
      <c r="A261" s="34"/>
      <c r="J261" s="24"/>
      <c r="L261" s="34"/>
    </row>
    <row r="262">
      <c r="A262" s="34"/>
      <c r="J262" s="24"/>
      <c r="L262" s="34"/>
    </row>
    <row r="263">
      <c r="A263" s="34"/>
      <c r="J263" s="24"/>
      <c r="L263" s="34"/>
    </row>
    <row r="264">
      <c r="A264" s="34"/>
      <c r="J264" s="24"/>
      <c r="L264" s="34"/>
    </row>
    <row r="265">
      <c r="A265" s="34"/>
      <c r="J265" s="24"/>
      <c r="L265" s="34"/>
    </row>
    <row r="266">
      <c r="A266" s="34"/>
      <c r="J266" s="24"/>
      <c r="L266" s="34"/>
    </row>
    <row r="267">
      <c r="A267" s="34"/>
      <c r="J267" s="24"/>
      <c r="L267" s="34"/>
    </row>
    <row r="268">
      <c r="A268" s="34"/>
      <c r="J268" s="24"/>
      <c r="L268" s="34"/>
    </row>
    <row r="269">
      <c r="A269" s="34"/>
      <c r="J269" s="24"/>
      <c r="L269" s="34"/>
    </row>
    <row r="270">
      <c r="A270" s="34"/>
      <c r="J270" s="24"/>
      <c r="L270" s="34"/>
    </row>
    <row r="271">
      <c r="A271" s="34"/>
      <c r="J271" s="24"/>
      <c r="L271" s="34"/>
    </row>
    <row r="272">
      <c r="A272" s="34"/>
      <c r="J272" s="24"/>
      <c r="L272" s="34"/>
    </row>
    <row r="273">
      <c r="A273" s="34"/>
      <c r="J273" s="24"/>
      <c r="L273" s="34"/>
    </row>
    <row r="274">
      <c r="A274" s="34"/>
      <c r="J274" s="24"/>
      <c r="L274" s="34"/>
    </row>
    <row r="275">
      <c r="A275" s="34"/>
      <c r="J275" s="24"/>
      <c r="L275" s="34"/>
    </row>
    <row r="276">
      <c r="A276" s="34"/>
      <c r="J276" s="24"/>
      <c r="L276" s="34"/>
    </row>
    <row r="277">
      <c r="A277" s="34"/>
      <c r="J277" s="24"/>
      <c r="L277" s="34"/>
    </row>
    <row r="278">
      <c r="A278" s="34"/>
      <c r="J278" s="24"/>
      <c r="L278" s="34"/>
    </row>
    <row r="279">
      <c r="A279" s="34"/>
      <c r="J279" s="24"/>
      <c r="L279" s="34"/>
    </row>
    <row r="280">
      <c r="A280" s="34"/>
      <c r="J280" s="24"/>
      <c r="L280" s="34"/>
    </row>
    <row r="281">
      <c r="A281" s="34"/>
      <c r="J281" s="24"/>
      <c r="L281" s="34"/>
    </row>
    <row r="282">
      <c r="A282" s="34"/>
      <c r="J282" s="24"/>
      <c r="L282" s="34"/>
    </row>
    <row r="283">
      <c r="A283" s="34"/>
      <c r="J283" s="24"/>
      <c r="L283" s="34"/>
    </row>
    <row r="284">
      <c r="A284" s="34"/>
      <c r="J284" s="24"/>
      <c r="L284" s="34"/>
    </row>
    <row r="285">
      <c r="A285" s="34"/>
      <c r="J285" s="24"/>
      <c r="L285" s="34"/>
    </row>
    <row r="286">
      <c r="A286" s="34"/>
      <c r="J286" s="24"/>
      <c r="L286" s="34"/>
    </row>
    <row r="287">
      <c r="A287" s="34"/>
      <c r="J287" s="24"/>
      <c r="L287" s="34"/>
    </row>
    <row r="288">
      <c r="A288" s="34"/>
      <c r="J288" s="24"/>
      <c r="L288" s="34"/>
    </row>
    <row r="289">
      <c r="A289" s="34"/>
      <c r="J289" s="24"/>
      <c r="L289" s="34"/>
    </row>
    <row r="290">
      <c r="A290" s="34"/>
      <c r="J290" s="24"/>
      <c r="L290" s="34"/>
    </row>
    <row r="291">
      <c r="A291" s="34"/>
      <c r="J291" s="24"/>
      <c r="L291" s="34"/>
    </row>
    <row r="292">
      <c r="A292" s="34"/>
      <c r="J292" s="24"/>
      <c r="L292" s="34"/>
    </row>
    <row r="293">
      <c r="A293" s="34"/>
      <c r="J293" s="24"/>
      <c r="L293" s="34"/>
    </row>
    <row r="294">
      <c r="A294" s="34"/>
      <c r="J294" s="24"/>
      <c r="L294" s="34"/>
    </row>
    <row r="295">
      <c r="A295" s="34"/>
      <c r="J295" s="24"/>
      <c r="L295" s="34"/>
    </row>
    <row r="296">
      <c r="A296" s="34"/>
      <c r="J296" s="24"/>
      <c r="L296" s="34"/>
    </row>
    <row r="297">
      <c r="A297" s="34"/>
      <c r="J297" s="24"/>
      <c r="L297" s="34"/>
    </row>
    <row r="298">
      <c r="A298" s="34"/>
      <c r="J298" s="24"/>
      <c r="L298" s="34"/>
    </row>
    <row r="299">
      <c r="A299" s="34"/>
      <c r="J299" s="24"/>
      <c r="L299" s="34"/>
    </row>
    <row r="300">
      <c r="A300" s="34"/>
      <c r="J300" s="24"/>
      <c r="L300" s="34"/>
    </row>
    <row r="301">
      <c r="A301" s="34"/>
      <c r="J301" s="24"/>
      <c r="L301" s="34"/>
    </row>
    <row r="302">
      <c r="A302" s="34"/>
      <c r="J302" s="24"/>
      <c r="L302" s="34"/>
    </row>
    <row r="303">
      <c r="A303" s="34"/>
      <c r="J303" s="24"/>
      <c r="L303" s="34"/>
    </row>
    <row r="304">
      <c r="A304" s="34"/>
      <c r="J304" s="24"/>
      <c r="L304" s="34"/>
    </row>
    <row r="305">
      <c r="A305" s="34"/>
      <c r="J305" s="24"/>
      <c r="L305" s="34"/>
    </row>
    <row r="306">
      <c r="A306" s="34"/>
      <c r="J306" s="24"/>
      <c r="L306" s="34"/>
    </row>
    <row r="307">
      <c r="A307" s="34"/>
      <c r="J307" s="24"/>
      <c r="L307" s="34"/>
    </row>
    <row r="308">
      <c r="A308" s="34"/>
      <c r="J308" s="24"/>
      <c r="L308" s="34"/>
    </row>
    <row r="309">
      <c r="A309" s="34"/>
      <c r="J309" s="24"/>
      <c r="L309" s="34"/>
    </row>
    <row r="310">
      <c r="A310" s="34"/>
      <c r="J310" s="24"/>
      <c r="L310" s="34"/>
    </row>
    <row r="311">
      <c r="A311" s="34"/>
      <c r="J311" s="24"/>
      <c r="L311" s="34"/>
    </row>
    <row r="312">
      <c r="A312" s="34"/>
      <c r="J312" s="24"/>
      <c r="L312" s="34"/>
    </row>
    <row r="313">
      <c r="A313" s="34"/>
      <c r="J313" s="24"/>
      <c r="L313" s="34"/>
    </row>
    <row r="314">
      <c r="A314" s="34"/>
      <c r="J314" s="24"/>
      <c r="L314" s="34"/>
    </row>
    <row r="315">
      <c r="A315" s="34"/>
      <c r="J315" s="24"/>
      <c r="L315" s="34"/>
    </row>
    <row r="316">
      <c r="A316" s="34"/>
      <c r="J316" s="24"/>
      <c r="L316" s="34"/>
    </row>
    <row r="317">
      <c r="A317" s="34"/>
      <c r="J317" s="24"/>
      <c r="L317" s="34"/>
    </row>
    <row r="318">
      <c r="A318" s="34"/>
      <c r="J318" s="24"/>
      <c r="L318" s="34"/>
    </row>
    <row r="319">
      <c r="A319" s="34"/>
      <c r="J319" s="24"/>
      <c r="L319" s="34"/>
    </row>
    <row r="320">
      <c r="A320" s="34"/>
      <c r="J320" s="24"/>
      <c r="L320" s="34"/>
    </row>
    <row r="321">
      <c r="A321" s="34"/>
      <c r="J321" s="24"/>
      <c r="L321" s="34"/>
    </row>
    <row r="322">
      <c r="A322" s="34"/>
      <c r="J322" s="24"/>
      <c r="L322" s="34"/>
    </row>
    <row r="323">
      <c r="A323" s="34"/>
      <c r="J323" s="24"/>
      <c r="L323" s="34"/>
    </row>
    <row r="324">
      <c r="A324" s="34"/>
      <c r="J324" s="24"/>
      <c r="L324" s="34"/>
    </row>
    <row r="325">
      <c r="A325" s="34"/>
      <c r="J325" s="24"/>
      <c r="L325" s="34"/>
    </row>
    <row r="326">
      <c r="A326" s="34"/>
      <c r="J326" s="24"/>
      <c r="L326" s="34"/>
    </row>
    <row r="327">
      <c r="A327" s="34"/>
      <c r="J327" s="24"/>
      <c r="L327" s="34"/>
    </row>
    <row r="328">
      <c r="A328" s="34"/>
      <c r="J328" s="24"/>
      <c r="L328" s="34"/>
    </row>
    <row r="329">
      <c r="A329" s="34"/>
      <c r="J329" s="24"/>
      <c r="L329" s="34"/>
    </row>
    <row r="330">
      <c r="A330" s="34"/>
      <c r="J330" s="24"/>
      <c r="L330" s="34"/>
    </row>
    <row r="331">
      <c r="A331" s="34"/>
      <c r="J331" s="24"/>
      <c r="L331" s="34"/>
    </row>
    <row r="332">
      <c r="A332" s="34"/>
      <c r="J332" s="24"/>
      <c r="L332" s="34"/>
    </row>
    <row r="333">
      <c r="A333" s="34"/>
      <c r="J333" s="24"/>
      <c r="L333" s="34"/>
    </row>
    <row r="334">
      <c r="A334" s="34"/>
      <c r="J334" s="24"/>
      <c r="L334" s="34"/>
    </row>
    <row r="335">
      <c r="A335" s="34"/>
      <c r="J335" s="24"/>
      <c r="L335" s="34"/>
    </row>
    <row r="336">
      <c r="A336" s="34"/>
      <c r="J336" s="24"/>
      <c r="L336" s="34"/>
    </row>
    <row r="337">
      <c r="A337" s="34"/>
      <c r="J337" s="24"/>
      <c r="L337" s="34"/>
    </row>
    <row r="338">
      <c r="A338" s="34"/>
      <c r="J338" s="24"/>
      <c r="L338" s="34"/>
    </row>
    <row r="339">
      <c r="A339" s="34"/>
      <c r="J339" s="24"/>
      <c r="L339" s="34"/>
    </row>
    <row r="340">
      <c r="A340" s="34"/>
      <c r="J340" s="24"/>
      <c r="L340" s="34"/>
    </row>
    <row r="341">
      <c r="A341" s="34"/>
      <c r="J341" s="24"/>
      <c r="L341" s="34"/>
    </row>
    <row r="342">
      <c r="A342" s="34"/>
      <c r="J342" s="24"/>
      <c r="L342" s="34"/>
    </row>
    <row r="343">
      <c r="A343" s="34"/>
      <c r="J343" s="24"/>
      <c r="L343" s="34"/>
    </row>
    <row r="344">
      <c r="A344" s="34"/>
      <c r="J344" s="24"/>
      <c r="L344" s="34"/>
    </row>
    <row r="345">
      <c r="A345" s="34"/>
      <c r="J345" s="24"/>
      <c r="L345" s="34"/>
    </row>
    <row r="346">
      <c r="A346" s="34"/>
      <c r="J346" s="24"/>
      <c r="L346" s="34"/>
    </row>
    <row r="347">
      <c r="A347" s="34"/>
      <c r="J347" s="24"/>
      <c r="L347" s="34"/>
    </row>
    <row r="348">
      <c r="A348" s="34"/>
      <c r="J348" s="24"/>
      <c r="L348" s="34"/>
    </row>
    <row r="349">
      <c r="A349" s="34"/>
      <c r="J349" s="24"/>
      <c r="L349" s="34"/>
    </row>
    <row r="350">
      <c r="A350" s="34"/>
      <c r="J350" s="24"/>
      <c r="L350" s="34"/>
    </row>
    <row r="351">
      <c r="A351" s="34"/>
      <c r="J351" s="24"/>
      <c r="L351" s="34"/>
    </row>
    <row r="352">
      <c r="A352" s="34"/>
      <c r="J352" s="24"/>
      <c r="L352" s="34"/>
    </row>
    <row r="353">
      <c r="A353" s="34"/>
      <c r="J353" s="24"/>
      <c r="L353" s="34"/>
    </row>
    <row r="354">
      <c r="A354" s="34"/>
      <c r="J354" s="24"/>
      <c r="L354" s="34"/>
    </row>
    <row r="355">
      <c r="A355" s="34"/>
      <c r="J355" s="24"/>
      <c r="L355" s="34"/>
    </row>
    <row r="356">
      <c r="A356" s="34"/>
      <c r="J356" s="24"/>
      <c r="L356" s="34"/>
    </row>
    <row r="357">
      <c r="A357" s="34"/>
      <c r="J357" s="24"/>
      <c r="L357" s="34"/>
    </row>
    <row r="358">
      <c r="A358" s="34"/>
      <c r="J358" s="24"/>
      <c r="L358" s="34"/>
    </row>
    <row r="359">
      <c r="A359" s="34"/>
      <c r="J359" s="24"/>
      <c r="L359" s="34"/>
    </row>
    <row r="360">
      <c r="A360" s="34"/>
      <c r="J360" s="24"/>
      <c r="L360" s="34"/>
    </row>
    <row r="361">
      <c r="A361" s="34"/>
      <c r="J361" s="24"/>
      <c r="L361" s="34"/>
    </row>
    <row r="362">
      <c r="A362" s="34"/>
      <c r="J362" s="24"/>
      <c r="L362" s="34"/>
    </row>
    <row r="363">
      <c r="A363" s="34"/>
      <c r="J363" s="24"/>
      <c r="L363" s="34"/>
    </row>
    <row r="364">
      <c r="A364" s="34"/>
      <c r="J364" s="24"/>
      <c r="L364" s="34"/>
    </row>
    <row r="365">
      <c r="A365" s="34"/>
      <c r="J365" s="24"/>
      <c r="L365" s="34"/>
    </row>
    <row r="366">
      <c r="A366" s="34"/>
      <c r="J366" s="24"/>
      <c r="L366" s="34"/>
    </row>
    <row r="367">
      <c r="A367" s="34"/>
      <c r="J367" s="24"/>
      <c r="L367" s="34"/>
    </row>
    <row r="368">
      <c r="A368" s="34"/>
      <c r="J368" s="24"/>
      <c r="L368" s="34"/>
    </row>
    <row r="369">
      <c r="A369" s="34"/>
      <c r="J369" s="24"/>
      <c r="L369" s="34"/>
    </row>
    <row r="370">
      <c r="A370" s="34"/>
      <c r="J370" s="24"/>
      <c r="L370" s="34"/>
    </row>
    <row r="371">
      <c r="A371" s="34"/>
      <c r="J371" s="24"/>
      <c r="L371" s="34"/>
    </row>
    <row r="372">
      <c r="A372" s="34"/>
      <c r="J372" s="24"/>
      <c r="L372" s="34"/>
    </row>
    <row r="373">
      <c r="A373" s="34"/>
      <c r="J373" s="24"/>
      <c r="L373" s="34"/>
    </row>
    <row r="374">
      <c r="A374" s="34"/>
      <c r="J374" s="24"/>
      <c r="L374" s="34"/>
    </row>
    <row r="375">
      <c r="A375" s="34"/>
      <c r="J375" s="24"/>
      <c r="L375" s="34"/>
    </row>
    <row r="376">
      <c r="A376" s="34"/>
      <c r="J376" s="24"/>
      <c r="L376" s="34"/>
    </row>
    <row r="377">
      <c r="A377" s="34"/>
      <c r="J377" s="24"/>
      <c r="L377" s="34"/>
    </row>
    <row r="378">
      <c r="A378" s="34"/>
      <c r="J378" s="24"/>
      <c r="L378" s="34"/>
    </row>
    <row r="379">
      <c r="A379" s="34"/>
      <c r="J379" s="24"/>
      <c r="L379" s="34"/>
    </row>
    <row r="380">
      <c r="A380" s="34"/>
      <c r="J380" s="24"/>
      <c r="L380" s="34"/>
    </row>
    <row r="381">
      <c r="A381" s="34"/>
      <c r="J381" s="24"/>
      <c r="L381" s="34"/>
    </row>
    <row r="382">
      <c r="A382" s="34"/>
      <c r="J382" s="24"/>
      <c r="L382" s="34"/>
    </row>
    <row r="383">
      <c r="A383" s="34"/>
      <c r="J383" s="24"/>
      <c r="L383" s="34"/>
    </row>
    <row r="384">
      <c r="A384" s="34"/>
      <c r="J384" s="24"/>
      <c r="L384" s="34"/>
    </row>
    <row r="385">
      <c r="A385" s="34"/>
      <c r="J385" s="24"/>
      <c r="L385" s="34"/>
    </row>
    <row r="386">
      <c r="A386" s="34"/>
      <c r="J386" s="24"/>
      <c r="L386" s="34"/>
    </row>
    <row r="387">
      <c r="A387" s="34"/>
      <c r="J387" s="24"/>
      <c r="L387" s="34"/>
    </row>
    <row r="388">
      <c r="A388" s="34"/>
      <c r="J388" s="24"/>
      <c r="L388" s="34"/>
    </row>
    <row r="389">
      <c r="A389" s="34"/>
      <c r="J389" s="24"/>
      <c r="L389" s="34"/>
    </row>
    <row r="390">
      <c r="A390" s="34"/>
      <c r="J390" s="24"/>
      <c r="L390" s="34"/>
    </row>
    <row r="391">
      <c r="A391" s="34"/>
      <c r="J391" s="24"/>
      <c r="L391" s="34"/>
    </row>
    <row r="392">
      <c r="A392" s="34"/>
      <c r="J392" s="24"/>
      <c r="L392" s="34"/>
    </row>
    <row r="393">
      <c r="A393" s="34"/>
      <c r="J393" s="24"/>
      <c r="L393" s="34"/>
    </row>
    <row r="394">
      <c r="A394" s="34"/>
      <c r="J394" s="24"/>
      <c r="L394" s="34"/>
    </row>
    <row r="395">
      <c r="A395" s="34"/>
      <c r="J395" s="24"/>
      <c r="L395" s="34"/>
    </row>
    <row r="396">
      <c r="A396" s="34"/>
      <c r="J396" s="24"/>
      <c r="L396" s="34"/>
    </row>
    <row r="397">
      <c r="A397" s="34"/>
      <c r="J397" s="24"/>
      <c r="L397" s="34"/>
    </row>
    <row r="398">
      <c r="A398" s="34"/>
      <c r="J398" s="24"/>
      <c r="L398" s="34"/>
    </row>
    <row r="399">
      <c r="A399" s="34"/>
      <c r="J399" s="24"/>
      <c r="L399" s="34"/>
    </row>
    <row r="400">
      <c r="A400" s="34"/>
      <c r="J400" s="24"/>
      <c r="L400" s="34"/>
    </row>
    <row r="401">
      <c r="A401" s="34"/>
      <c r="J401" s="24"/>
      <c r="L401" s="34"/>
    </row>
    <row r="402">
      <c r="A402" s="34"/>
      <c r="J402" s="24"/>
      <c r="L402" s="34"/>
    </row>
    <row r="403">
      <c r="A403" s="34"/>
      <c r="J403" s="24"/>
      <c r="L403" s="34"/>
    </row>
    <row r="404">
      <c r="A404" s="34"/>
      <c r="J404" s="24"/>
      <c r="L404" s="34"/>
    </row>
    <row r="405">
      <c r="A405" s="34"/>
      <c r="J405" s="24"/>
      <c r="L405" s="34"/>
    </row>
    <row r="406">
      <c r="A406" s="34"/>
      <c r="J406" s="24"/>
      <c r="L406" s="34"/>
    </row>
    <row r="407">
      <c r="A407" s="34"/>
      <c r="J407" s="24"/>
      <c r="L407" s="34"/>
    </row>
    <row r="408">
      <c r="A408" s="34"/>
      <c r="J408" s="24"/>
      <c r="L408" s="34"/>
    </row>
    <row r="409">
      <c r="A409" s="34"/>
      <c r="J409" s="24"/>
      <c r="L409" s="34"/>
    </row>
    <row r="410">
      <c r="A410" s="34"/>
      <c r="J410" s="24"/>
      <c r="L410" s="34"/>
    </row>
    <row r="411">
      <c r="A411" s="34"/>
      <c r="J411" s="24"/>
      <c r="L411" s="34"/>
    </row>
    <row r="412">
      <c r="A412" s="34"/>
      <c r="J412" s="24"/>
      <c r="L412" s="34"/>
    </row>
    <row r="413">
      <c r="A413" s="34"/>
      <c r="J413" s="24"/>
      <c r="L413" s="34"/>
    </row>
    <row r="414">
      <c r="A414" s="34"/>
      <c r="J414" s="24"/>
      <c r="L414" s="34"/>
    </row>
    <row r="415">
      <c r="A415" s="34"/>
      <c r="J415" s="24"/>
      <c r="L415" s="34"/>
    </row>
    <row r="416">
      <c r="A416" s="34"/>
      <c r="J416" s="24"/>
      <c r="L416" s="34"/>
    </row>
    <row r="417">
      <c r="A417" s="34"/>
      <c r="J417" s="24"/>
      <c r="L417" s="34"/>
    </row>
    <row r="418">
      <c r="A418" s="34"/>
      <c r="J418" s="24"/>
      <c r="L418" s="34"/>
    </row>
    <row r="419">
      <c r="A419" s="34"/>
      <c r="J419" s="24"/>
      <c r="L419" s="34"/>
    </row>
    <row r="420">
      <c r="A420" s="34"/>
      <c r="J420" s="24"/>
      <c r="L420" s="34"/>
    </row>
    <row r="421">
      <c r="A421" s="34"/>
      <c r="J421" s="24"/>
      <c r="L421" s="34"/>
    </row>
    <row r="422">
      <c r="A422" s="34"/>
      <c r="J422" s="24"/>
      <c r="L422" s="34"/>
    </row>
    <row r="423">
      <c r="A423" s="34"/>
      <c r="J423" s="24"/>
      <c r="L423" s="34"/>
    </row>
    <row r="424">
      <c r="A424" s="34"/>
      <c r="J424" s="24"/>
      <c r="L424" s="34"/>
    </row>
    <row r="425">
      <c r="A425" s="34"/>
      <c r="J425" s="24"/>
      <c r="L425" s="34"/>
    </row>
    <row r="426">
      <c r="A426" s="34"/>
      <c r="J426" s="24"/>
      <c r="L426" s="34"/>
    </row>
    <row r="427">
      <c r="A427" s="34"/>
      <c r="J427" s="24"/>
      <c r="L427" s="34"/>
    </row>
    <row r="428">
      <c r="A428" s="34"/>
      <c r="J428" s="24"/>
      <c r="L428" s="34"/>
    </row>
    <row r="429">
      <c r="A429" s="34"/>
      <c r="J429" s="24"/>
      <c r="L429" s="34"/>
    </row>
    <row r="430">
      <c r="A430" s="34"/>
      <c r="J430" s="24"/>
      <c r="L430" s="34"/>
    </row>
    <row r="431">
      <c r="A431" s="34"/>
      <c r="J431" s="24"/>
      <c r="L431" s="34"/>
    </row>
    <row r="432">
      <c r="A432" s="34"/>
      <c r="J432" s="24"/>
      <c r="L432" s="34"/>
    </row>
    <row r="433">
      <c r="A433" s="34"/>
      <c r="J433" s="24"/>
      <c r="L433" s="34"/>
    </row>
    <row r="434">
      <c r="A434" s="34"/>
      <c r="J434" s="24"/>
      <c r="L434" s="34"/>
    </row>
    <row r="435">
      <c r="A435" s="34"/>
      <c r="J435" s="24"/>
      <c r="L435" s="34"/>
    </row>
    <row r="436">
      <c r="A436" s="34"/>
      <c r="J436" s="24"/>
      <c r="L436" s="34"/>
    </row>
    <row r="437">
      <c r="A437" s="34"/>
      <c r="J437" s="24"/>
      <c r="L437" s="34"/>
    </row>
    <row r="438">
      <c r="A438" s="34"/>
      <c r="J438" s="24"/>
      <c r="L438" s="34"/>
    </row>
    <row r="439">
      <c r="A439" s="34"/>
      <c r="J439" s="24"/>
      <c r="L439" s="34"/>
    </row>
    <row r="440">
      <c r="A440" s="34"/>
      <c r="J440" s="24"/>
      <c r="L440" s="34"/>
    </row>
    <row r="441">
      <c r="A441" s="34"/>
      <c r="J441" s="24"/>
      <c r="L441" s="34"/>
    </row>
    <row r="442">
      <c r="A442" s="34"/>
      <c r="J442" s="24"/>
      <c r="L442" s="34"/>
    </row>
    <row r="443">
      <c r="A443" s="34"/>
      <c r="J443" s="24"/>
      <c r="L443" s="34"/>
    </row>
    <row r="444">
      <c r="A444" s="34"/>
      <c r="J444" s="24"/>
      <c r="L444" s="34"/>
    </row>
    <row r="445">
      <c r="A445" s="34"/>
      <c r="J445" s="24"/>
      <c r="L445" s="34"/>
    </row>
    <row r="446">
      <c r="A446" s="34"/>
      <c r="J446" s="24"/>
      <c r="L446" s="34"/>
    </row>
    <row r="447">
      <c r="A447" s="34"/>
      <c r="J447" s="24"/>
      <c r="L447" s="34"/>
    </row>
    <row r="448">
      <c r="A448" s="34"/>
      <c r="J448" s="24"/>
      <c r="L448" s="34"/>
    </row>
    <row r="449">
      <c r="A449" s="34"/>
      <c r="J449" s="24"/>
      <c r="L449" s="34"/>
    </row>
    <row r="450">
      <c r="A450" s="34"/>
      <c r="J450" s="24"/>
      <c r="L450" s="34"/>
    </row>
    <row r="451">
      <c r="A451" s="34"/>
      <c r="J451" s="24"/>
      <c r="L451" s="34"/>
    </row>
    <row r="452">
      <c r="A452" s="34"/>
      <c r="J452" s="24"/>
      <c r="L452" s="34"/>
    </row>
    <row r="453">
      <c r="A453" s="34"/>
      <c r="J453" s="24"/>
      <c r="L453" s="34"/>
    </row>
    <row r="454">
      <c r="A454" s="34"/>
      <c r="J454" s="24"/>
      <c r="L454" s="34"/>
    </row>
    <row r="455">
      <c r="A455" s="34"/>
      <c r="J455" s="24"/>
      <c r="L455" s="34"/>
    </row>
    <row r="456">
      <c r="A456" s="34"/>
      <c r="J456" s="24"/>
      <c r="L456" s="34"/>
    </row>
    <row r="457">
      <c r="A457" s="34"/>
      <c r="J457" s="24"/>
      <c r="L457" s="34"/>
    </row>
    <row r="458">
      <c r="A458" s="34"/>
      <c r="J458" s="24"/>
      <c r="L458" s="34"/>
    </row>
    <row r="459">
      <c r="A459" s="34"/>
      <c r="J459" s="24"/>
      <c r="L459" s="34"/>
    </row>
    <row r="460">
      <c r="A460" s="34"/>
      <c r="J460" s="24"/>
      <c r="L460" s="34"/>
    </row>
    <row r="461">
      <c r="A461" s="34"/>
      <c r="J461" s="24"/>
      <c r="L461" s="34"/>
    </row>
    <row r="462">
      <c r="A462" s="34"/>
      <c r="J462" s="24"/>
      <c r="L462" s="34"/>
    </row>
    <row r="463">
      <c r="A463" s="34"/>
      <c r="J463" s="24"/>
      <c r="L463" s="34"/>
    </row>
    <row r="464">
      <c r="A464" s="34"/>
      <c r="J464" s="24"/>
      <c r="L464" s="34"/>
    </row>
    <row r="465">
      <c r="A465" s="34"/>
      <c r="J465" s="24"/>
      <c r="L465" s="34"/>
    </row>
    <row r="466">
      <c r="A466" s="34"/>
      <c r="J466" s="24"/>
      <c r="L466" s="34"/>
    </row>
    <row r="467">
      <c r="A467" s="34"/>
      <c r="J467" s="24"/>
      <c r="L467" s="34"/>
    </row>
    <row r="468">
      <c r="A468" s="34"/>
      <c r="J468" s="24"/>
      <c r="L468" s="34"/>
    </row>
    <row r="469">
      <c r="A469" s="34"/>
      <c r="J469" s="24"/>
      <c r="L469" s="34"/>
    </row>
    <row r="470">
      <c r="A470" s="34"/>
      <c r="J470" s="24"/>
      <c r="L470" s="34"/>
    </row>
    <row r="471">
      <c r="A471" s="34"/>
      <c r="J471" s="24"/>
      <c r="L471" s="34"/>
    </row>
    <row r="472">
      <c r="A472" s="34"/>
      <c r="J472" s="24"/>
      <c r="L472" s="34"/>
    </row>
    <row r="473">
      <c r="A473" s="34"/>
      <c r="J473" s="24"/>
      <c r="L473" s="34"/>
    </row>
    <row r="474">
      <c r="A474" s="34"/>
      <c r="J474" s="24"/>
      <c r="L474" s="34"/>
    </row>
    <row r="475">
      <c r="A475" s="34"/>
      <c r="J475" s="24"/>
      <c r="L475" s="34"/>
    </row>
    <row r="476">
      <c r="A476" s="34"/>
      <c r="J476" s="24"/>
      <c r="L476" s="34"/>
    </row>
    <row r="477">
      <c r="A477" s="34"/>
      <c r="J477" s="24"/>
      <c r="L477" s="34"/>
    </row>
    <row r="478">
      <c r="A478" s="34"/>
      <c r="J478" s="24"/>
      <c r="L478" s="34"/>
    </row>
    <row r="479">
      <c r="A479" s="34"/>
      <c r="J479" s="24"/>
      <c r="L479" s="34"/>
    </row>
    <row r="480">
      <c r="A480" s="34"/>
      <c r="J480" s="24"/>
      <c r="L480" s="34"/>
    </row>
    <row r="481">
      <c r="A481" s="34"/>
      <c r="J481" s="24"/>
      <c r="L481" s="34"/>
    </row>
    <row r="482">
      <c r="A482" s="34"/>
      <c r="J482" s="24"/>
      <c r="L482" s="34"/>
    </row>
    <row r="483">
      <c r="A483" s="34"/>
      <c r="J483" s="24"/>
      <c r="L483" s="34"/>
    </row>
    <row r="484">
      <c r="A484" s="34"/>
      <c r="J484" s="24"/>
      <c r="L484" s="34"/>
    </row>
    <row r="485">
      <c r="A485" s="34"/>
      <c r="J485" s="24"/>
      <c r="L485" s="34"/>
    </row>
    <row r="486">
      <c r="A486" s="34"/>
      <c r="J486" s="24"/>
      <c r="L486" s="34"/>
    </row>
    <row r="487">
      <c r="A487" s="34"/>
      <c r="J487" s="24"/>
      <c r="L487" s="34"/>
    </row>
    <row r="488">
      <c r="A488" s="34"/>
      <c r="J488" s="24"/>
      <c r="L488" s="34"/>
    </row>
    <row r="489">
      <c r="A489" s="34"/>
      <c r="J489" s="24"/>
      <c r="L489" s="34"/>
    </row>
    <row r="490">
      <c r="A490" s="34"/>
      <c r="J490" s="24"/>
      <c r="L490" s="34"/>
    </row>
    <row r="491">
      <c r="A491" s="34"/>
      <c r="J491" s="24"/>
      <c r="L491" s="34"/>
    </row>
    <row r="492">
      <c r="A492" s="34"/>
      <c r="J492" s="24"/>
      <c r="L492" s="34"/>
    </row>
    <row r="493">
      <c r="A493" s="34"/>
      <c r="J493" s="24"/>
      <c r="L493" s="34"/>
    </row>
    <row r="494">
      <c r="A494" s="34"/>
      <c r="J494" s="24"/>
      <c r="L494" s="34"/>
    </row>
    <row r="495">
      <c r="A495" s="34"/>
      <c r="J495" s="24"/>
      <c r="L495" s="34"/>
    </row>
    <row r="496">
      <c r="A496" s="34"/>
      <c r="J496" s="24"/>
      <c r="L496" s="34"/>
    </row>
    <row r="497">
      <c r="A497" s="34"/>
      <c r="J497" s="24"/>
      <c r="L497" s="34"/>
    </row>
    <row r="498">
      <c r="A498" s="34"/>
      <c r="J498" s="24"/>
      <c r="L498" s="34"/>
    </row>
    <row r="499">
      <c r="A499" s="34"/>
      <c r="J499" s="24"/>
      <c r="L499" s="34"/>
    </row>
    <row r="500">
      <c r="A500" s="34"/>
      <c r="J500" s="24"/>
      <c r="L500" s="34"/>
    </row>
    <row r="501">
      <c r="A501" s="34"/>
      <c r="J501" s="24"/>
      <c r="L501" s="34"/>
    </row>
    <row r="502">
      <c r="A502" s="34"/>
      <c r="J502" s="24"/>
      <c r="L502" s="34"/>
    </row>
    <row r="503">
      <c r="A503" s="34"/>
      <c r="J503" s="24"/>
      <c r="L503" s="34"/>
    </row>
    <row r="504">
      <c r="A504" s="34"/>
      <c r="J504" s="24"/>
      <c r="L504" s="34"/>
    </row>
    <row r="505">
      <c r="A505" s="34"/>
      <c r="J505" s="24"/>
      <c r="L505" s="34"/>
    </row>
    <row r="506">
      <c r="A506" s="34"/>
      <c r="J506" s="24"/>
      <c r="L506" s="34"/>
    </row>
    <row r="507">
      <c r="A507" s="34"/>
      <c r="J507" s="24"/>
      <c r="L507" s="34"/>
    </row>
    <row r="508">
      <c r="A508" s="34"/>
      <c r="J508" s="24"/>
      <c r="L508" s="34"/>
    </row>
    <row r="509">
      <c r="A509" s="34"/>
      <c r="J509" s="24"/>
      <c r="L509" s="34"/>
    </row>
    <row r="510">
      <c r="A510" s="34"/>
      <c r="J510" s="24"/>
      <c r="L510" s="34"/>
    </row>
    <row r="511">
      <c r="A511" s="34"/>
      <c r="J511" s="24"/>
      <c r="L511" s="34"/>
    </row>
    <row r="512">
      <c r="A512" s="34"/>
      <c r="J512" s="24"/>
      <c r="L512" s="34"/>
    </row>
    <row r="513">
      <c r="A513" s="34"/>
      <c r="J513" s="24"/>
      <c r="L513" s="34"/>
    </row>
    <row r="514">
      <c r="A514" s="34"/>
      <c r="J514" s="24"/>
      <c r="L514" s="34"/>
    </row>
    <row r="515">
      <c r="A515" s="34"/>
      <c r="J515" s="24"/>
      <c r="L515" s="34"/>
    </row>
    <row r="516">
      <c r="A516" s="34"/>
      <c r="J516" s="24"/>
      <c r="L516" s="34"/>
    </row>
    <row r="517">
      <c r="A517" s="34"/>
      <c r="J517" s="24"/>
      <c r="L517" s="34"/>
    </row>
    <row r="518">
      <c r="A518" s="34"/>
      <c r="J518" s="24"/>
      <c r="L518" s="34"/>
    </row>
    <row r="519">
      <c r="A519" s="34"/>
      <c r="J519" s="24"/>
      <c r="L519" s="34"/>
    </row>
    <row r="520">
      <c r="A520" s="34"/>
      <c r="J520" s="24"/>
      <c r="L520" s="34"/>
    </row>
    <row r="521">
      <c r="A521" s="34"/>
      <c r="J521" s="24"/>
      <c r="L521" s="34"/>
    </row>
    <row r="522">
      <c r="A522" s="34"/>
      <c r="J522" s="24"/>
      <c r="L522" s="34"/>
    </row>
    <row r="523">
      <c r="A523" s="34"/>
      <c r="J523" s="24"/>
      <c r="L523" s="34"/>
    </row>
    <row r="524">
      <c r="A524" s="34"/>
      <c r="J524" s="24"/>
      <c r="L524" s="34"/>
    </row>
    <row r="525">
      <c r="A525" s="34"/>
      <c r="J525" s="24"/>
      <c r="L525" s="34"/>
    </row>
    <row r="526">
      <c r="A526" s="34"/>
      <c r="J526" s="24"/>
      <c r="L526" s="34"/>
    </row>
    <row r="527">
      <c r="A527" s="34"/>
      <c r="J527" s="24"/>
      <c r="L527" s="34"/>
    </row>
    <row r="528">
      <c r="A528" s="34"/>
      <c r="J528" s="24"/>
      <c r="L528" s="34"/>
    </row>
    <row r="529">
      <c r="A529" s="34"/>
      <c r="J529" s="24"/>
      <c r="L529" s="34"/>
    </row>
    <row r="530">
      <c r="A530" s="34"/>
      <c r="J530" s="24"/>
      <c r="L530" s="34"/>
    </row>
    <row r="531">
      <c r="A531" s="34"/>
      <c r="J531" s="24"/>
      <c r="L531" s="34"/>
    </row>
    <row r="532">
      <c r="A532" s="34"/>
      <c r="J532" s="24"/>
      <c r="L532" s="34"/>
    </row>
    <row r="533">
      <c r="A533" s="34"/>
      <c r="J533" s="24"/>
      <c r="L533" s="34"/>
    </row>
    <row r="534">
      <c r="A534" s="34"/>
      <c r="J534" s="24"/>
      <c r="L534" s="34"/>
    </row>
    <row r="535">
      <c r="A535" s="34"/>
      <c r="J535" s="24"/>
      <c r="L535" s="34"/>
    </row>
    <row r="536">
      <c r="A536" s="34"/>
      <c r="J536" s="24"/>
      <c r="L536" s="34"/>
    </row>
    <row r="537">
      <c r="A537" s="34"/>
      <c r="J537" s="24"/>
      <c r="L537" s="34"/>
    </row>
    <row r="538">
      <c r="A538" s="34"/>
      <c r="J538" s="24"/>
      <c r="L538" s="34"/>
    </row>
    <row r="539">
      <c r="A539" s="34"/>
      <c r="J539" s="24"/>
      <c r="L539" s="34"/>
    </row>
    <row r="540">
      <c r="A540" s="34"/>
      <c r="J540" s="24"/>
      <c r="L540" s="34"/>
    </row>
    <row r="541">
      <c r="A541" s="34"/>
      <c r="J541" s="24"/>
      <c r="L541" s="34"/>
    </row>
    <row r="542">
      <c r="A542" s="34"/>
      <c r="J542" s="24"/>
      <c r="L542" s="34"/>
    </row>
    <row r="543">
      <c r="A543" s="34"/>
      <c r="J543" s="24"/>
      <c r="L543" s="34"/>
    </row>
    <row r="544">
      <c r="A544" s="34"/>
      <c r="J544" s="24"/>
      <c r="L544" s="34"/>
    </row>
    <row r="545">
      <c r="A545" s="34"/>
      <c r="J545" s="24"/>
      <c r="L545" s="34"/>
    </row>
    <row r="546">
      <c r="A546" s="34"/>
      <c r="J546" s="24"/>
      <c r="L546" s="34"/>
    </row>
    <row r="547">
      <c r="A547" s="34"/>
      <c r="J547" s="24"/>
      <c r="L547" s="34"/>
    </row>
    <row r="548">
      <c r="A548" s="34"/>
      <c r="J548" s="24"/>
      <c r="L548" s="34"/>
    </row>
    <row r="549">
      <c r="A549" s="34"/>
      <c r="J549" s="24"/>
      <c r="L549" s="34"/>
    </row>
    <row r="550">
      <c r="A550" s="34"/>
      <c r="J550" s="24"/>
      <c r="L550" s="34"/>
    </row>
    <row r="551">
      <c r="A551" s="34"/>
      <c r="J551" s="24"/>
      <c r="L551" s="34"/>
    </row>
    <row r="552">
      <c r="A552" s="34"/>
      <c r="J552" s="24"/>
      <c r="L552" s="34"/>
    </row>
    <row r="553">
      <c r="A553" s="34"/>
      <c r="J553" s="24"/>
      <c r="L553" s="34"/>
    </row>
    <row r="554">
      <c r="A554" s="34"/>
      <c r="J554" s="24"/>
      <c r="L554" s="34"/>
    </row>
    <row r="555">
      <c r="A555" s="34"/>
      <c r="J555" s="24"/>
      <c r="L555" s="34"/>
    </row>
    <row r="556">
      <c r="A556" s="34"/>
      <c r="J556" s="24"/>
      <c r="L556" s="34"/>
    </row>
    <row r="557">
      <c r="A557" s="34"/>
      <c r="J557" s="24"/>
      <c r="L557" s="34"/>
    </row>
    <row r="558">
      <c r="A558" s="34"/>
      <c r="J558" s="24"/>
      <c r="L558" s="34"/>
    </row>
    <row r="559">
      <c r="A559" s="34"/>
      <c r="J559" s="24"/>
      <c r="L559" s="34"/>
    </row>
    <row r="560">
      <c r="A560" s="34"/>
      <c r="J560" s="24"/>
      <c r="L560" s="34"/>
    </row>
    <row r="561">
      <c r="A561" s="34"/>
      <c r="J561" s="24"/>
      <c r="L561" s="34"/>
    </row>
    <row r="562">
      <c r="A562" s="34"/>
      <c r="J562" s="24"/>
      <c r="L562" s="34"/>
    </row>
    <row r="563">
      <c r="A563" s="34"/>
      <c r="J563" s="24"/>
      <c r="L563" s="34"/>
    </row>
    <row r="564">
      <c r="A564" s="34"/>
      <c r="J564" s="24"/>
      <c r="L564" s="34"/>
    </row>
    <row r="565">
      <c r="A565" s="34"/>
      <c r="J565" s="24"/>
      <c r="L565" s="34"/>
    </row>
    <row r="566">
      <c r="A566" s="34"/>
      <c r="J566" s="24"/>
      <c r="L566" s="34"/>
    </row>
    <row r="567">
      <c r="A567" s="34"/>
      <c r="J567" s="24"/>
      <c r="L567" s="34"/>
    </row>
    <row r="568">
      <c r="A568" s="34"/>
      <c r="J568" s="24"/>
      <c r="L568" s="34"/>
    </row>
    <row r="569">
      <c r="A569" s="34"/>
      <c r="J569" s="24"/>
      <c r="L569" s="34"/>
    </row>
    <row r="570">
      <c r="A570" s="34"/>
      <c r="J570" s="24"/>
      <c r="L570" s="34"/>
    </row>
    <row r="571">
      <c r="A571" s="34"/>
      <c r="J571" s="24"/>
      <c r="L571" s="34"/>
    </row>
    <row r="572">
      <c r="A572" s="34"/>
      <c r="J572" s="24"/>
      <c r="L572" s="34"/>
    </row>
    <row r="573">
      <c r="A573" s="34"/>
      <c r="J573" s="24"/>
      <c r="L573" s="34"/>
    </row>
    <row r="574">
      <c r="A574" s="34"/>
      <c r="J574" s="24"/>
      <c r="L574" s="34"/>
    </row>
    <row r="575">
      <c r="A575" s="34"/>
      <c r="J575" s="24"/>
      <c r="L575" s="34"/>
    </row>
    <row r="576">
      <c r="A576" s="34"/>
      <c r="J576" s="24"/>
      <c r="L576" s="34"/>
    </row>
    <row r="577">
      <c r="A577" s="34"/>
      <c r="J577" s="24"/>
      <c r="L577" s="34"/>
    </row>
    <row r="578">
      <c r="A578" s="34"/>
      <c r="J578" s="24"/>
      <c r="L578" s="34"/>
    </row>
    <row r="579">
      <c r="A579" s="34"/>
      <c r="J579" s="24"/>
      <c r="L579" s="34"/>
    </row>
    <row r="580">
      <c r="A580" s="34"/>
      <c r="J580" s="24"/>
      <c r="L580" s="34"/>
    </row>
    <row r="581">
      <c r="A581" s="34"/>
      <c r="J581" s="24"/>
      <c r="L581" s="34"/>
    </row>
    <row r="582">
      <c r="A582" s="34"/>
      <c r="J582" s="24"/>
      <c r="L582" s="34"/>
    </row>
    <row r="583">
      <c r="A583" s="34"/>
      <c r="J583" s="24"/>
      <c r="L583" s="34"/>
    </row>
    <row r="584">
      <c r="A584" s="34"/>
      <c r="J584" s="24"/>
      <c r="L584" s="34"/>
    </row>
    <row r="585">
      <c r="A585" s="34"/>
      <c r="J585" s="24"/>
      <c r="L585" s="34"/>
    </row>
    <row r="586">
      <c r="A586" s="34"/>
      <c r="J586" s="24"/>
      <c r="L586" s="34"/>
    </row>
    <row r="587">
      <c r="A587" s="34"/>
      <c r="J587" s="24"/>
      <c r="L587" s="34"/>
    </row>
    <row r="588">
      <c r="A588" s="34"/>
      <c r="J588" s="24"/>
      <c r="L588" s="34"/>
    </row>
    <row r="589">
      <c r="A589" s="34"/>
      <c r="J589" s="24"/>
      <c r="L589" s="34"/>
    </row>
    <row r="590">
      <c r="A590" s="34"/>
      <c r="J590" s="24"/>
      <c r="L590" s="34"/>
    </row>
    <row r="591">
      <c r="A591" s="34"/>
      <c r="J591" s="24"/>
      <c r="L591" s="34"/>
    </row>
    <row r="592">
      <c r="A592" s="34"/>
      <c r="J592" s="24"/>
      <c r="L592" s="34"/>
    </row>
    <row r="593">
      <c r="A593" s="34"/>
      <c r="J593" s="24"/>
      <c r="L593" s="34"/>
    </row>
    <row r="594">
      <c r="A594" s="34"/>
      <c r="J594" s="24"/>
      <c r="L594" s="34"/>
    </row>
    <row r="595">
      <c r="A595" s="34"/>
      <c r="J595" s="24"/>
      <c r="L595" s="34"/>
    </row>
    <row r="596">
      <c r="A596" s="34"/>
      <c r="J596" s="24"/>
      <c r="L596" s="34"/>
    </row>
    <row r="597">
      <c r="A597" s="34"/>
      <c r="J597" s="24"/>
      <c r="L597" s="34"/>
    </row>
    <row r="598">
      <c r="A598" s="34"/>
      <c r="J598" s="24"/>
      <c r="L598" s="34"/>
    </row>
    <row r="599">
      <c r="A599" s="34"/>
      <c r="J599" s="24"/>
      <c r="L599" s="34"/>
    </row>
    <row r="600">
      <c r="A600" s="34"/>
      <c r="J600" s="24"/>
      <c r="L600" s="34"/>
    </row>
    <row r="601">
      <c r="A601" s="34"/>
      <c r="J601" s="24"/>
      <c r="L601" s="34"/>
    </row>
    <row r="602">
      <c r="A602" s="34"/>
      <c r="J602" s="24"/>
      <c r="L602" s="34"/>
    </row>
    <row r="603">
      <c r="A603" s="34"/>
      <c r="J603" s="24"/>
      <c r="L603" s="34"/>
    </row>
    <row r="604">
      <c r="A604" s="34"/>
      <c r="J604" s="24"/>
      <c r="L604" s="34"/>
    </row>
    <row r="605">
      <c r="A605" s="34"/>
      <c r="J605" s="24"/>
      <c r="L605" s="34"/>
    </row>
    <row r="606">
      <c r="A606" s="34"/>
      <c r="J606" s="24"/>
      <c r="L606" s="34"/>
    </row>
    <row r="607">
      <c r="A607" s="34"/>
      <c r="J607" s="24"/>
      <c r="L607" s="34"/>
    </row>
    <row r="608">
      <c r="A608" s="34"/>
      <c r="J608" s="24"/>
      <c r="L608" s="34"/>
    </row>
    <row r="609">
      <c r="A609" s="34"/>
      <c r="J609" s="24"/>
      <c r="L609" s="34"/>
    </row>
    <row r="610">
      <c r="A610" s="34"/>
      <c r="J610" s="24"/>
      <c r="L610" s="34"/>
    </row>
    <row r="611">
      <c r="A611" s="34"/>
      <c r="J611" s="24"/>
      <c r="L611" s="34"/>
    </row>
    <row r="612">
      <c r="A612" s="34"/>
      <c r="J612" s="24"/>
      <c r="L612" s="34"/>
    </row>
    <row r="613">
      <c r="A613" s="34"/>
      <c r="J613" s="24"/>
      <c r="L613" s="34"/>
    </row>
    <row r="614">
      <c r="A614" s="34"/>
      <c r="J614" s="24"/>
      <c r="L614" s="34"/>
    </row>
    <row r="615">
      <c r="A615" s="34"/>
      <c r="J615" s="24"/>
      <c r="L615" s="34"/>
    </row>
    <row r="616">
      <c r="A616" s="34"/>
      <c r="J616" s="24"/>
      <c r="L616" s="34"/>
    </row>
    <row r="617">
      <c r="A617" s="34"/>
      <c r="J617" s="24"/>
      <c r="L617" s="34"/>
    </row>
    <row r="618">
      <c r="A618" s="34"/>
      <c r="J618" s="24"/>
      <c r="L618" s="34"/>
    </row>
    <row r="619">
      <c r="A619" s="34"/>
      <c r="J619" s="24"/>
      <c r="L619" s="34"/>
    </row>
    <row r="620">
      <c r="A620" s="34"/>
      <c r="J620" s="24"/>
      <c r="L620" s="34"/>
    </row>
    <row r="621">
      <c r="A621" s="34"/>
      <c r="J621" s="24"/>
      <c r="L621" s="34"/>
    </row>
    <row r="622">
      <c r="A622" s="34"/>
      <c r="J622" s="24"/>
      <c r="L622" s="34"/>
    </row>
    <row r="623">
      <c r="A623" s="34"/>
      <c r="J623" s="24"/>
      <c r="L623" s="34"/>
    </row>
    <row r="624">
      <c r="A624" s="34"/>
      <c r="J624" s="24"/>
      <c r="L624" s="34"/>
    </row>
    <row r="625">
      <c r="A625" s="34"/>
      <c r="J625" s="24"/>
      <c r="L625" s="34"/>
    </row>
    <row r="626">
      <c r="A626" s="34"/>
      <c r="J626" s="24"/>
      <c r="L626" s="34"/>
    </row>
    <row r="627">
      <c r="A627" s="34"/>
      <c r="J627" s="24"/>
      <c r="L627" s="34"/>
    </row>
    <row r="628">
      <c r="A628" s="34"/>
      <c r="J628" s="24"/>
      <c r="L628" s="34"/>
    </row>
    <row r="629">
      <c r="A629" s="34"/>
      <c r="J629" s="24"/>
      <c r="L629" s="34"/>
    </row>
    <row r="630">
      <c r="A630" s="34"/>
      <c r="J630" s="24"/>
      <c r="L630" s="34"/>
    </row>
    <row r="631">
      <c r="A631" s="34"/>
      <c r="J631" s="24"/>
      <c r="L631" s="34"/>
    </row>
    <row r="632">
      <c r="A632" s="34"/>
      <c r="J632" s="24"/>
      <c r="L632" s="34"/>
    </row>
    <row r="633">
      <c r="A633" s="34"/>
      <c r="J633" s="24"/>
      <c r="L633" s="34"/>
    </row>
    <row r="634">
      <c r="A634" s="34"/>
      <c r="J634" s="24"/>
      <c r="L634" s="34"/>
    </row>
    <row r="635">
      <c r="A635" s="34"/>
      <c r="J635" s="24"/>
      <c r="L635" s="34"/>
    </row>
    <row r="636">
      <c r="A636" s="34"/>
      <c r="J636" s="24"/>
      <c r="L636" s="34"/>
    </row>
    <row r="637">
      <c r="A637" s="34"/>
      <c r="J637" s="24"/>
      <c r="L637" s="34"/>
    </row>
    <row r="638">
      <c r="A638" s="34"/>
      <c r="J638" s="24"/>
      <c r="L638" s="34"/>
    </row>
    <row r="639">
      <c r="A639" s="34"/>
      <c r="J639" s="24"/>
      <c r="L639" s="34"/>
    </row>
    <row r="640">
      <c r="A640" s="34"/>
      <c r="J640" s="24"/>
      <c r="L640" s="34"/>
    </row>
    <row r="641">
      <c r="A641" s="34"/>
      <c r="J641" s="24"/>
      <c r="L641" s="34"/>
    </row>
    <row r="642">
      <c r="A642" s="34"/>
      <c r="J642" s="24"/>
      <c r="L642" s="34"/>
    </row>
    <row r="643">
      <c r="A643" s="34"/>
      <c r="J643" s="24"/>
      <c r="L643" s="34"/>
    </row>
    <row r="644">
      <c r="A644" s="34"/>
      <c r="J644" s="24"/>
      <c r="L644" s="34"/>
    </row>
    <row r="645">
      <c r="A645" s="34"/>
      <c r="J645" s="24"/>
      <c r="L645" s="34"/>
    </row>
    <row r="646">
      <c r="A646" s="34"/>
      <c r="J646" s="24"/>
      <c r="L646" s="34"/>
    </row>
    <row r="647">
      <c r="A647" s="34"/>
      <c r="J647" s="24"/>
      <c r="L647" s="34"/>
    </row>
    <row r="648">
      <c r="A648" s="34"/>
      <c r="J648" s="24"/>
      <c r="L648" s="34"/>
    </row>
    <row r="649">
      <c r="A649" s="34"/>
      <c r="J649" s="24"/>
      <c r="L649" s="34"/>
    </row>
    <row r="650">
      <c r="A650" s="34"/>
      <c r="J650" s="24"/>
      <c r="L650" s="34"/>
    </row>
    <row r="651">
      <c r="A651" s="34"/>
      <c r="J651" s="24"/>
      <c r="L651" s="34"/>
    </row>
    <row r="652">
      <c r="A652" s="34"/>
      <c r="J652" s="24"/>
      <c r="L652" s="34"/>
    </row>
    <row r="653">
      <c r="A653" s="34"/>
      <c r="J653" s="24"/>
      <c r="L653" s="34"/>
    </row>
    <row r="654">
      <c r="A654" s="34"/>
      <c r="J654" s="24"/>
      <c r="L654" s="34"/>
    </row>
    <row r="655">
      <c r="A655" s="34"/>
      <c r="J655" s="24"/>
      <c r="L655" s="34"/>
    </row>
    <row r="656">
      <c r="A656" s="34"/>
      <c r="J656" s="24"/>
      <c r="L656" s="34"/>
    </row>
    <row r="657">
      <c r="A657" s="34"/>
      <c r="J657" s="24"/>
      <c r="L657" s="34"/>
    </row>
    <row r="658">
      <c r="A658" s="34"/>
      <c r="J658" s="24"/>
      <c r="L658" s="34"/>
    </row>
    <row r="659">
      <c r="A659" s="34"/>
      <c r="J659" s="24"/>
      <c r="L659" s="34"/>
    </row>
    <row r="660">
      <c r="A660" s="34"/>
      <c r="J660" s="24"/>
      <c r="L660" s="34"/>
    </row>
    <row r="661">
      <c r="A661" s="34"/>
      <c r="J661" s="24"/>
      <c r="L661" s="34"/>
    </row>
    <row r="662">
      <c r="A662" s="34"/>
      <c r="J662" s="24"/>
      <c r="L662" s="34"/>
    </row>
    <row r="663">
      <c r="A663" s="34"/>
      <c r="J663" s="24"/>
      <c r="L663" s="34"/>
    </row>
    <row r="664">
      <c r="A664" s="34"/>
      <c r="J664" s="24"/>
      <c r="L664" s="34"/>
    </row>
    <row r="665">
      <c r="A665" s="34"/>
      <c r="J665" s="24"/>
      <c r="L665" s="34"/>
    </row>
    <row r="666">
      <c r="A666" s="34"/>
      <c r="J666" s="24"/>
      <c r="L666" s="34"/>
    </row>
    <row r="667">
      <c r="A667" s="34"/>
      <c r="J667" s="24"/>
      <c r="L667" s="34"/>
    </row>
    <row r="668">
      <c r="A668" s="34"/>
      <c r="J668" s="24"/>
      <c r="L668" s="34"/>
    </row>
    <row r="669">
      <c r="A669" s="34"/>
      <c r="J669" s="24"/>
      <c r="L669" s="34"/>
    </row>
    <row r="670">
      <c r="A670" s="34"/>
      <c r="J670" s="24"/>
      <c r="L670" s="34"/>
    </row>
    <row r="671">
      <c r="A671" s="34"/>
      <c r="J671" s="24"/>
      <c r="L671" s="34"/>
    </row>
    <row r="672">
      <c r="A672" s="34"/>
      <c r="J672" s="24"/>
      <c r="L672" s="34"/>
    </row>
    <row r="673">
      <c r="A673" s="34"/>
      <c r="J673" s="24"/>
      <c r="L673" s="34"/>
    </row>
    <row r="674">
      <c r="A674" s="34"/>
      <c r="J674" s="24"/>
      <c r="L674" s="34"/>
    </row>
    <row r="675">
      <c r="A675" s="34"/>
      <c r="J675" s="24"/>
      <c r="L675" s="34"/>
    </row>
    <row r="676">
      <c r="A676" s="34"/>
      <c r="J676" s="24"/>
      <c r="L676" s="34"/>
    </row>
    <row r="677">
      <c r="A677" s="34"/>
      <c r="J677" s="24"/>
      <c r="L677" s="34"/>
    </row>
    <row r="678">
      <c r="A678" s="34"/>
      <c r="J678" s="24"/>
      <c r="L678" s="34"/>
    </row>
    <row r="679">
      <c r="A679" s="34"/>
      <c r="J679" s="24"/>
      <c r="L679" s="34"/>
    </row>
    <row r="680">
      <c r="A680" s="34"/>
      <c r="J680" s="24"/>
      <c r="L680" s="34"/>
    </row>
    <row r="681">
      <c r="A681" s="34"/>
      <c r="J681" s="24"/>
      <c r="L681" s="34"/>
    </row>
    <row r="682">
      <c r="A682" s="34"/>
      <c r="J682" s="24"/>
      <c r="L682" s="34"/>
    </row>
    <row r="683">
      <c r="A683" s="34"/>
      <c r="J683" s="24"/>
      <c r="L683" s="34"/>
    </row>
    <row r="684">
      <c r="A684" s="34"/>
      <c r="J684" s="24"/>
      <c r="L684" s="34"/>
    </row>
    <row r="685">
      <c r="A685" s="34"/>
      <c r="J685" s="24"/>
      <c r="L685" s="34"/>
    </row>
    <row r="686">
      <c r="A686" s="34"/>
      <c r="J686" s="24"/>
      <c r="L686" s="34"/>
    </row>
    <row r="687">
      <c r="A687" s="34"/>
      <c r="J687" s="24"/>
      <c r="L687" s="34"/>
    </row>
    <row r="688">
      <c r="A688" s="34"/>
      <c r="J688" s="24"/>
      <c r="L688" s="34"/>
    </row>
    <row r="689">
      <c r="A689" s="34"/>
      <c r="J689" s="24"/>
      <c r="L689" s="34"/>
    </row>
    <row r="690">
      <c r="A690" s="34"/>
      <c r="J690" s="24"/>
      <c r="L690" s="34"/>
    </row>
    <row r="691">
      <c r="A691" s="34"/>
      <c r="J691" s="24"/>
      <c r="L691" s="34"/>
    </row>
    <row r="692">
      <c r="A692" s="34"/>
      <c r="J692" s="24"/>
      <c r="L692" s="34"/>
    </row>
    <row r="693">
      <c r="A693" s="34"/>
      <c r="J693" s="24"/>
      <c r="L693" s="34"/>
    </row>
    <row r="694">
      <c r="A694" s="34"/>
      <c r="J694" s="24"/>
      <c r="L694" s="34"/>
    </row>
    <row r="695">
      <c r="A695" s="34"/>
      <c r="J695" s="24"/>
      <c r="L695" s="34"/>
    </row>
    <row r="696">
      <c r="A696" s="34"/>
      <c r="J696" s="24"/>
      <c r="L696" s="34"/>
    </row>
    <row r="697">
      <c r="A697" s="34"/>
      <c r="J697" s="24"/>
      <c r="L697" s="34"/>
    </row>
    <row r="698">
      <c r="A698" s="34"/>
      <c r="J698" s="24"/>
      <c r="L698" s="34"/>
    </row>
    <row r="699">
      <c r="A699" s="34"/>
      <c r="J699" s="24"/>
      <c r="L699" s="34"/>
    </row>
    <row r="700">
      <c r="A700" s="34"/>
      <c r="J700" s="24"/>
      <c r="L700" s="34"/>
    </row>
    <row r="701">
      <c r="A701" s="34"/>
      <c r="J701" s="24"/>
      <c r="L701" s="34"/>
    </row>
    <row r="702">
      <c r="A702" s="34"/>
      <c r="J702" s="24"/>
      <c r="L702" s="34"/>
    </row>
    <row r="703">
      <c r="A703" s="34"/>
      <c r="J703" s="24"/>
      <c r="L703" s="34"/>
    </row>
    <row r="704">
      <c r="A704" s="34"/>
      <c r="J704" s="24"/>
      <c r="L704" s="34"/>
    </row>
    <row r="705">
      <c r="A705" s="34"/>
      <c r="J705" s="24"/>
      <c r="L705" s="34"/>
    </row>
    <row r="706">
      <c r="A706" s="34"/>
      <c r="J706" s="24"/>
      <c r="L706" s="34"/>
    </row>
    <row r="707">
      <c r="A707" s="34"/>
      <c r="J707" s="24"/>
      <c r="L707" s="34"/>
    </row>
    <row r="708">
      <c r="A708" s="34"/>
      <c r="J708" s="24"/>
      <c r="L708" s="34"/>
    </row>
    <row r="709">
      <c r="A709" s="34"/>
      <c r="J709" s="24"/>
      <c r="L709" s="34"/>
    </row>
    <row r="710">
      <c r="A710" s="34"/>
      <c r="J710" s="24"/>
      <c r="L710" s="34"/>
    </row>
    <row r="711">
      <c r="A711" s="34"/>
      <c r="J711" s="24"/>
      <c r="L711" s="34"/>
    </row>
    <row r="712">
      <c r="A712" s="34"/>
      <c r="J712" s="24"/>
      <c r="L712" s="34"/>
    </row>
    <row r="713">
      <c r="A713" s="34"/>
      <c r="J713" s="24"/>
      <c r="L713" s="34"/>
    </row>
    <row r="714">
      <c r="A714" s="34"/>
      <c r="J714" s="24"/>
      <c r="L714" s="34"/>
    </row>
    <row r="715">
      <c r="A715" s="34"/>
      <c r="J715" s="24"/>
      <c r="L715" s="34"/>
    </row>
    <row r="716">
      <c r="A716" s="34"/>
      <c r="J716" s="24"/>
      <c r="L716" s="34"/>
    </row>
    <row r="717">
      <c r="A717" s="34"/>
      <c r="J717" s="24"/>
      <c r="L717" s="34"/>
    </row>
    <row r="718">
      <c r="A718" s="34"/>
      <c r="J718" s="24"/>
      <c r="L718" s="34"/>
    </row>
    <row r="719">
      <c r="A719" s="34"/>
      <c r="J719" s="24"/>
      <c r="L719" s="34"/>
    </row>
    <row r="720">
      <c r="A720" s="34"/>
      <c r="J720" s="24"/>
      <c r="L720" s="34"/>
    </row>
    <row r="721">
      <c r="A721" s="34"/>
      <c r="J721" s="24"/>
      <c r="L721" s="34"/>
    </row>
    <row r="722">
      <c r="A722" s="34"/>
      <c r="J722" s="24"/>
      <c r="L722" s="34"/>
    </row>
    <row r="723">
      <c r="A723" s="34"/>
      <c r="J723" s="24"/>
      <c r="L723" s="34"/>
    </row>
    <row r="724">
      <c r="A724" s="34"/>
      <c r="J724" s="24"/>
      <c r="L724" s="34"/>
    </row>
    <row r="725">
      <c r="A725" s="34"/>
      <c r="J725" s="24"/>
      <c r="L725" s="34"/>
    </row>
    <row r="726">
      <c r="A726" s="34"/>
      <c r="J726" s="24"/>
      <c r="L726" s="34"/>
    </row>
    <row r="727">
      <c r="A727" s="34"/>
      <c r="J727" s="24"/>
      <c r="L727" s="34"/>
    </row>
    <row r="728">
      <c r="A728" s="34"/>
      <c r="J728" s="24"/>
      <c r="L728" s="34"/>
    </row>
    <row r="729">
      <c r="A729" s="34"/>
      <c r="J729" s="24"/>
      <c r="L729" s="34"/>
    </row>
    <row r="730">
      <c r="A730" s="34"/>
      <c r="J730" s="24"/>
      <c r="L730" s="34"/>
    </row>
    <row r="731">
      <c r="A731" s="34"/>
      <c r="J731" s="24"/>
      <c r="L731" s="34"/>
    </row>
    <row r="732">
      <c r="A732" s="34"/>
      <c r="J732" s="24"/>
      <c r="L732" s="34"/>
    </row>
    <row r="733">
      <c r="A733" s="34"/>
      <c r="J733" s="24"/>
      <c r="L733" s="34"/>
    </row>
    <row r="734">
      <c r="A734" s="34"/>
      <c r="J734" s="24"/>
      <c r="L734" s="34"/>
    </row>
    <row r="735">
      <c r="A735" s="34"/>
      <c r="J735" s="24"/>
      <c r="L735" s="34"/>
    </row>
    <row r="736">
      <c r="A736" s="34"/>
      <c r="J736" s="24"/>
      <c r="L736" s="34"/>
    </row>
    <row r="737">
      <c r="A737" s="34"/>
      <c r="J737" s="24"/>
      <c r="L737" s="34"/>
    </row>
    <row r="738">
      <c r="A738" s="34"/>
      <c r="J738" s="24"/>
      <c r="L738" s="34"/>
    </row>
    <row r="739">
      <c r="A739" s="34"/>
      <c r="J739" s="24"/>
      <c r="L739" s="34"/>
    </row>
    <row r="740">
      <c r="A740" s="34"/>
      <c r="J740" s="24"/>
      <c r="L740" s="34"/>
    </row>
    <row r="741">
      <c r="A741" s="34"/>
      <c r="J741" s="24"/>
      <c r="L741" s="34"/>
    </row>
    <row r="742">
      <c r="A742" s="34"/>
      <c r="J742" s="24"/>
      <c r="L742" s="34"/>
    </row>
    <row r="743">
      <c r="A743" s="34"/>
      <c r="J743" s="24"/>
      <c r="L743" s="34"/>
    </row>
    <row r="744">
      <c r="A744" s="34"/>
      <c r="J744" s="24"/>
      <c r="L744" s="34"/>
    </row>
    <row r="745">
      <c r="A745" s="34"/>
      <c r="J745" s="24"/>
      <c r="L745" s="34"/>
    </row>
    <row r="746">
      <c r="A746" s="34"/>
      <c r="J746" s="24"/>
      <c r="L746" s="34"/>
    </row>
    <row r="747">
      <c r="A747" s="34"/>
      <c r="J747" s="24"/>
      <c r="L747" s="34"/>
    </row>
    <row r="748">
      <c r="A748" s="34"/>
      <c r="J748" s="24"/>
      <c r="L748" s="34"/>
    </row>
    <row r="749">
      <c r="A749" s="34"/>
      <c r="J749" s="24"/>
      <c r="L749" s="34"/>
    </row>
    <row r="750">
      <c r="A750" s="34"/>
      <c r="J750" s="24"/>
      <c r="L750" s="34"/>
    </row>
    <row r="751">
      <c r="A751" s="34"/>
      <c r="J751" s="24"/>
      <c r="L751" s="34"/>
    </row>
    <row r="752">
      <c r="A752" s="34"/>
      <c r="J752" s="24"/>
      <c r="L752" s="34"/>
    </row>
    <row r="753">
      <c r="A753" s="34"/>
      <c r="J753" s="24"/>
      <c r="L753" s="34"/>
    </row>
    <row r="754">
      <c r="A754" s="34"/>
      <c r="J754" s="24"/>
      <c r="L754" s="34"/>
    </row>
    <row r="755">
      <c r="A755" s="34"/>
      <c r="J755" s="24"/>
      <c r="L755" s="34"/>
    </row>
    <row r="756">
      <c r="A756" s="34"/>
      <c r="J756" s="24"/>
      <c r="L756" s="34"/>
    </row>
    <row r="757">
      <c r="A757" s="34"/>
      <c r="J757" s="24"/>
      <c r="L757" s="34"/>
    </row>
    <row r="758">
      <c r="A758" s="34"/>
      <c r="J758" s="24"/>
      <c r="L758" s="34"/>
    </row>
    <row r="759">
      <c r="A759" s="34"/>
      <c r="J759" s="24"/>
      <c r="L759" s="34"/>
    </row>
    <row r="760">
      <c r="A760" s="34"/>
      <c r="J760" s="24"/>
      <c r="L760" s="34"/>
    </row>
    <row r="761">
      <c r="A761" s="34"/>
      <c r="J761" s="24"/>
      <c r="L761" s="34"/>
    </row>
    <row r="762">
      <c r="A762" s="34"/>
      <c r="J762" s="24"/>
      <c r="L762" s="34"/>
    </row>
    <row r="763">
      <c r="A763" s="34"/>
      <c r="J763" s="24"/>
      <c r="L763" s="34"/>
    </row>
    <row r="764">
      <c r="A764" s="34"/>
      <c r="J764" s="24"/>
      <c r="L764" s="34"/>
    </row>
    <row r="765">
      <c r="A765" s="34"/>
      <c r="J765" s="24"/>
      <c r="L765" s="34"/>
    </row>
    <row r="766">
      <c r="A766" s="34"/>
      <c r="J766" s="24"/>
      <c r="L766" s="34"/>
    </row>
    <row r="767">
      <c r="A767" s="34"/>
      <c r="J767" s="24"/>
      <c r="L767" s="34"/>
    </row>
    <row r="768">
      <c r="A768" s="34"/>
      <c r="J768" s="24"/>
      <c r="L768" s="34"/>
    </row>
    <row r="769">
      <c r="A769" s="34"/>
      <c r="J769" s="24"/>
      <c r="L769" s="34"/>
    </row>
    <row r="770">
      <c r="A770" s="34"/>
      <c r="J770" s="24"/>
      <c r="L770" s="34"/>
    </row>
    <row r="771">
      <c r="A771" s="34"/>
      <c r="J771" s="24"/>
      <c r="L771" s="34"/>
    </row>
    <row r="772">
      <c r="A772" s="34"/>
      <c r="J772" s="24"/>
      <c r="L772" s="34"/>
    </row>
    <row r="773">
      <c r="A773" s="34"/>
      <c r="J773" s="24"/>
      <c r="L773" s="34"/>
    </row>
    <row r="774">
      <c r="A774" s="34"/>
      <c r="J774" s="24"/>
      <c r="L774" s="34"/>
    </row>
    <row r="775">
      <c r="A775" s="34"/>
      <c r="J775" s="24"/>
      <c r="L775" s="34"/>
    </row>
    <row r="776">
      <c r="A776" s="34"/>
      <c r="J776" s="24"/>
      <c r="L776" s="34"/>
    </row>
    <row r="777">
      <c r="A777" s="34"/>
      <c r="J777" s="24"/>
      <c r="L777" s="34"/>
    </row>
    <row r="778">
      <c r="A778" s="34"/>
      <c r="J778" s="24"/>
      <c r="L778" s="34"/>
    </row>
    <row r="779">
      <c r="A779" s="34"/>
      <c r="J779" s="24"/>
      <c r="L779" s="34"/>
    </row>
    <row r="780">
      <c r="A780" s="34"/>
      <c r="J780" s="24"/>
      <c r="L780" s="34"/>
    </row>
    <row r="781">
      <c r="A781" s="34"/>
      <c r="J781" s="24"/>
      <c r="L781" s="34"/>
    </row>
    <row r="782">
      <c r="A782" s="34"/>
      <c r="J782" s="24"/>
      <c r="L782" s="34"/>
    </row>
    <row r="783">
      <c r="A783" s="34"/>
      <c r="J783" s="24"/>
      <c r="L783" s="34"/>
    </row>
    <row r="784">
      <c r="A784" s="34"/>
      <c r="J784" s="24"/>
      <c r="L784" s="34"/>
    </row>
    <row r="785">
      <c r="A785" s="34"/>
      <c r="J785" s="24"/>
      <c r="L785" s="34"/>
    </row>
    <row r="786">
      <c r="A786" s="34"/>
      <c r="J786" s="24"/>
      <c r="L786" s="34"/>
    </row>
    <row r="787">
      <c r="A787" s="34"/>
      <c r="J787" s="24"/>
      <c r="L787" s="34"/>
    </row>
    <row r="788">
      <c r="A788" s="34"/>
      <c r="J788" s="24"/>
      <c r="L788" s="34"/>
    </row>
    <row r="789">
      <c r="A789" s="34"/>
      <c r="J789" s="24"/>
      <c r="L789" s="34"/>
    </row>
    <row r="790">
      <c r="A790" s="34"/>
      <c r="J790" s="24"/>
      <c r="L790" s="34"/>
    </row>
    <row r="791">
      <c r="A791" s="34"/>
      <c r="J791" s="24"/>
      <c r="L791" s="34"/>
    </row>
    <row r="792">
      <c r="A792" s="34"/>
      <c r="J792" s="24"/>
      <c r="L792" s="34"/>
    </row>
    <row r="793">
      <c r="A793" s="34"/>
      <c r="J793" s="24"/>
      <c r="L793" s="34"/>
    </row>
    <row r="794">
      <c r="A794" s="34"/>
      <c r="J794" s="24"/>
      <c r="L794" s="34"/>
    </row>
    <row r="795">
      <c r="A795" s="34"/>
      <c r="J795" s="24"/>
      <c r="L795" s="34"/>
    </row>
    <row r="796">
      <c r="A796" s="34"/>
      <c r="J796" s="24"/>
      <c r="L796" s="34"/>
    </row>
    <row r="797">
      <c r="A797" s="34"/>
      <c r="J797" s="24"/>
      <c r="L797" s="34"/>
    </row>
    <row r="798">
      <c r="A798" s="34"/>
      <c r="J798" s="24"/>
      <c r="L798" s="34"/>
    </row>
    <row r="799">
      <c r="A799" s="34"/>
      <c r="J799" s="24"/>
      <c r="L799" s="34"/>
    </row>
    <row r="800">
      <c r="A800" s="34"/>
      <c r="J800" s="24"/>
      <c r="L800" s="34"/>
    </row>
    <row r="801">
      <c r="A801" s="34"/>
      <c r="J801" s="24"/>
      <c r="L801" s="34"/>
    </row>
    <row r="802">
      <c r="A802" s="34"/>
      <c r="J802" s="24"/>
      <c r="L802" s="34"/>
    </row>
    <row r="803">
      <c r="A803" s="34"/>
      <c r="J803" s="24"/>
      <c r="L803" s="34"/>
    </row>
    <row r="804">
      <c r="A804" s="34"/>
      <c r="J804" s="24"/>
      <c r="L804" s="34"/>
    </row>
    <row r="805">
      <c r="A805" s="34"/>
      <c r="J805" s="24"/>
      <c r="L805" s="34"/>
    </row>
    <row r="806">
      <c r="A806" s="34"/>
      <c r="J806" s="24"/>
      <c r="L806" s="34"/>
    </row>
    <row r="807">
      <c r="A807" s="34"/>
      <c r="J807" s="24"/>
      <c r="L807" s="34"/>
    </row>
    <row r="808">
      <c r="A808" s="34"/>
      <c r="J808" s="24"/>
      <c r="L808" s="34"/>
    </row>
    <row r="809">
      <c r="A809" s="34"/>
      <c r="J809" s="24"/>
      <c r="L809" s="34"/>
    </row>
    <row r="810">
      <c r="A810" s="34"/>
      <c r="J810" s="24"/>
      <c r="L810" s="34"/>
    </row>
    <row r="811">
      <c r="A811" s="34"/>
      <c r="J811" s="24"/>
      <c r="L811" s="34"/>
    </row>
    <row r="812">
      <c r="A812" s="34"/>
      <c r="J812" s="24"/>
      <c r="L812" s="34"/>
    </row>
    <row r="813">
      <c r="A813" s="34"/>
      <c r="J813" s="24"/>
      <c r="L813" s="34"/>
    </row>
    <row r="814">
      <c r="A814" s="34"/>
      <c r="J814" s="24"/>
      <c r="L814" s="34"/>
    </row>
    <row r="815">
      <c r="A815" s="34"/>
      <c r="J815" s="24"/>
      <c r="L815" s="34"/>
    </row>
    <row r="816">
      <c r="A816" s="34"/>
      <c r="J816" s="24"/>
      <c r="L816" s="34"/>
    </row>
    <row r="817">
      <c r="A817" s="34"/>
      <c r="J817" s="24"/>
      <c r="L817" s="34"/>
    </row>
    <row r="818">
      <c r="A818" s="34"/>
      <c r="J818" s="24"/>
      <c r="L818" s="34"/>
    </row>
    <row r="819">
      <c r="A819" s="34"/>
      <c r="J819" s="24"/>
      <c r="L819" s="34"/>
    </row>
    <row r="820">
      <c r="A820" s="34"/>
      <c r="J820" s="24"/>
      <c r="L820" s="34"/>
    </row>
    <row r="821">
      <c r="A821" s="34"/>
      <c r="J821" s="24"/>
      <c r="L821" s="34"/>
    </row>
    <row r="822">
      <c r="A822" s="34"/>
      <c r="J822" s="24"/>
      <c r="L822" s="34"/>
    </row>
    <row r="823">
      <c r="A823" s="34"/>
      <c r="J823" s="24"/>
      <c r="L823" s="34"/>
    </row>
    <row r="824">
      <c r="A824" s="34"/>
      <c r="J824" s="24"/>
      <c r="L824" s="34"/>
    </row>
    <row r="825">
      <c r="A825" s="34"/>
      <c r="J825" s="24"/>
      <c r="L825" s="34"/>
    </row>
    <row r="826">
      <c r="A826" s="34"/>
      <c r="J826" s="24"/>
      <c r="L826" s="34"/>
    </row>
    <row r="827">
      <c r="A827" s="34"/>
      <c r="J827" s="24"/>
      <c r="L827" s="34"/>
    </row>
    <row r="828">
      <c r="A828" s="34"/>
      <c r="J828" s="24"/>
      <c r="L828" s="34"/>
    </row>
    <row r="829">
      <c r="A829" s="34"/>
      <c r="J829" s="24"/>
      <c r="L829" s="34"/>
    </row>
    <row r="830">
      <c r="A830" s="34"/>
      <c r="J830" s="24"/>
      <c r="L830" s="34"/>
    </row>
    <row r="831">
      <c r="A831" s="34"/>
      <c r="J831" s="24"/>
      <c r="L831" s="34"/>
    </row>
    <row r="832">
      <c r="A832" s="34"/>
      <c r="J832" s="24"/>
      <c r="L832" s="34"/>
    </row>
    <row r="833">
      <c r="A833" s="34"/>
      <c r="J833" s="24"/>
      <c r="L833" s="34"/>
    </row>
    <row r="834">
      <c r="A834" s="34"/>
      <c r="J834" s="24"/>
      <c r="L834" s="34"/>
    </row>
    <row r="835">
      <c r="A835" s="34"/>
      <c r="J835" s="24"/>
      <c r="L835" s="34"/>
    </row>
    <row r="836">
      <c r="A836" s="34"/>
      <c r="J836" s="24"/>
      <c r="L836" s="34"/>
    </row>
    <row r="837">
      <c r="A837" s="34"/>
      <c r="J837" s="24"/>
      <c r="L837" s="34"/>
    </row>
    <row r="838">
      <c r="A838" s="34"/>
      <c r="J838" s="24"/>
      <c r="L838" s="34"/>
    </row>
    <row r="839">
      <c r="A839" s="34"/>
      <c r="J839" s="24"/>
      <c r="L839" s="34"/>
    </row>
    <row r="840">
      <c r="A840" s="34"/>
      <c r="J840" s="24"/>
      <c r="L840" s="34"/>
    </row>
    <row r="841">
      <c r="A841" s="34"/>
      <c r="J841" s="24"/>
      <c r="L841" s="34"/>
    </row>
    <row r="842">
      <c r="A842" s="34"/>
      <c r="J842" s="24"/>
      <c r="L842" s="34"/>
    </row>
    <row r="843">
      <c r="A843" s="34"/>
      <c r="J843" s="24"/>
      <c r="L843" s="34"/>
    </row>
    <row r="844">
      <c r="A844" s="34"/>
      <c r="J844" s="24"/>
      <c r="L844" s="34"/>
    </row>
    <row r="845">
      <c r="A845" s="34"/>
      <c r="J845" s="24"/>
      <c r="L845" s="34"/>
    </row>
    <row r="846">
      <c r="A846" s="34"/>
      <c r="J846" s="24"/>
      <c r="L846" s="34"/>
    </row>
    <row r="847">
      <c r="A847" s="34"/>
      <c r="J847" s="24"/>
      <c r="L847" s="34"/>
    </row>
    <row r="848">
      <c r="A848" s="34"/>
      <c r="J848" s="24"/>
      <c r="L848" s="34"/>
    </row>
    <row r="849">
      <c r="A849" s="34"/>
      <c r="J849" s="24"/>
      <c r="L849" s="34"/>
    </row>
    <row r="850">
      <c r="A850" s="34"/>
      <c r="J850" s="24"/>
      <c r="L850" s="34"/>
    </row>
    <row r="851">
      <c r="A851" s="34"/>
      <c r="J851" s="24"/>
      <c r="L851" s="34"/>
    </row>
    <row r="852">
      <c r="A852" s="34"/>
      <c r="J852" s="24"/>
      <c r="L852" s="34"/>
    </row>
    <row r="853">
      <c r="A853" s="34"/>
      <c r="J853" s="24"/>
      <c r="L853" s="34"/>
    </row>
    <row r="854">
      <c r="A854" s="34"/>
      <c r="J854" s="24"/>
      <c r="L854" s="34"/>
    </row>
    <row r="855">
      <c r="A855" s="34"/>
      <c r="J855" s="24"/>
      <c r="L855" s="34"/>
    </row>
    <row r="856">
      <c r="A856" s="34"/>
      <c r="J856" s="24"/>
      <c r="L856" s="34"/>
    </row>
    <row r="857">
      <c r="A857" s="34"/>
      <c r="J857" s="24"/>
      <c r="L857" s="34"/>
    </row>
    <row r="858">
      <c r="A858" s="34"/>
      <c r="J858" s="24"/>
      <c r="L858" s="34"/>
    </row>
    <row r="859">
      <c r="A859" s="34"/>
      <c r="J859" s="24"/>
      <c r="L859" s="34"/>
    </row>
    <row r="860">
      <c r="A860" s="34"/>
      <c r="J860" s="24"/>
      <c r="L860" s="34"/>
    </row>
    <row r="861">
      <c r="A861" s="34"/>
      <c r="J861" s="24"/>
      <c r="L861" s="34"/>
    </row>
    <row r="862">
      <c r="A862" s="34"/>
      <c r="J862" s="24"/>
      <c r="L862" s="34"/>
    </row>
    <row r="863">
      <c r="A863" s="34"/>
      <c r="J863" s="24"/>
      <c r="L863" s="34"/>
    </row>
    <row r="864">
      <c r="A864" s="34"/>
      <c r="J864" s="24"/>
      <c r="L864" s="34"/>
    </row>
    <row r="865">
      <c r="A865" s="34"/>
      <c r="J865" s="24"/>
      <c r="L865" s="34"/>
    </row>
    <row r="866">
      <c r="A866" s="34"/>
      <c r="J866" s="24"/>
      <c r="L866" s="34"/>
    </row>
    <row r="867">
      <c r="A867" s="34"/>
      <c r="J867" s="24"/>
      <c r="L867" s="34"/>
    </row>
    <row r="868">
      <c r="A868" s="34"/>
      <c r="J868" s="24"/>
      <c r="L868" s="34"/>
    </row>
    <row r="869">
      <c r="A869" s="34"/>
      <c r="J869" s="24"/>
      <c r="L869" s="34"/>
    </row>
    <row r="870">
      <c r="A870" s="34"/>
      <c r="J870" s="24"/>
      <c r="L870" s="34"/>
    </row>
    <row r="871">
      <c r="A871" s="34"/>
      <c r="J871" s="24"/>
      <c r="L871" s="34"/>
    </row>
    <row r="872">
      <c r="A872" s="34"/>
      <c r="J872" s="24"/>
      <c r="L872" s="34"/>
    </row>
    <row r="873">
      <c r="A873" s="34"/>
      <c r="J873" s="24"/>
      <c r="L873" s="34"/>
    </row>
    <row r="874">
      <c r="A874" s="34"/>
      <c r="J874" s="24"/>
      <c r="L874" s="34"/>
    </row>
    <row r="875">
      <c r="A875" s="34"/>
      <c r="J875" s="24"/>
      <c r="L875" s="34"/>
    </row>
    <row r="876">
      <c r="A876" s="34"/>
      <c r="J876" s="24"/>
      <c r="L876" s="34"/>
    </row>
    <row r="877">
      <c r="A877" s="34"/>
      <c r="J877" s="24"/>
      <c r="L877" s="34"/>
    </row>
    <row r="878">
      <c r="A878" s="34"/>
      <c r="J878" s="24"/>
      <c r="L878" s="34"/>
    </row>
    <row r="879">
      <c r="A879" s="34"/>
      <c r="J879" s="24"/>
      <c r="L879" s="34"/>
    </row>
    <row r="880">
      <c r="A880" s="34"/>
      <c r="J880" s="24"/>
      <c r="L880" s="34"/>
    </row>
    <row r="881">
      <c r="A881" s="34"/>
      <c r="J881" s="24"/>
      <c r="L881" s="34"/>
    </row>
    <row r="882">
      <c r="A882" s="34"/>
      <c r="J882" s="24"/>
      <c r="L882" s="34"/>
    </row>
    <row r="883">
      <c r="A883" s="34"/>
      <c r="J883" s="24"/>
      <c r="L883" s="34"/>
    </row>
    <row r="884">
      <c r="A884" s="34"/>
      <c r="J884" s="24"/>
      <c r="L884" s="34"/>
    </row>
    <row r="885">
      <c r="A885" s="34"/>
      <c r="J885" s="24"/>
      <c r="L885" s="34"/>
    </row>
    <row r="886">
      <c r="A886" s="34"/>
      <c r="J886" s="24"/>
      <c r="L886" s="34"/>
    </row>
    <row r="887">
      <c r="A887" s="34"/>
      <c r="J887" s="24"/>
      <c r="L887" s="34"/>
    </row>
    <row r="888">
      <c r="A888" s="34"/>
      <c r="J888" s="24"/>
      <c r="L888" s="34"/>
    </row>
    <row r="889">
      <c r="A889" s="34"/>
      <c r="J889" s="24"/>
      <c r="L889" s="34"/>
    </row>
    <row r="890">
      <c r="A890" s="34"/>
      <c r="J890" s="24"/>
      <c r="L890" s="34"/>
    </row>
    <row r="891">
      <c r="A891" s="34"/>
      <c r="J891" s="24"/>
      <c r="L891" s="34"/>
    </row>
    <row r="892">
      <c r="A892" s="34"/>
      <c r="J892" s="24"/>
      <c r="L892" s="34"/>
    </row>
    <row r="893">
      <c r="A893" s="34"/>
      <c r="J893" s="24"/>
      <c r="L893" s="34"/>
    </row>
    <row r="894">
      <c r="A894" s="34"/>
      <c r="J894" s="24"/>
      <c r="L894" s="34"/>
    </row>
    <row r="895">
      <c r="A895" s="34"/>
      <c r="J895" s="24"/>
      <c r="L895" s="34"/>
    </row>
    <row r="896">
      <c r="A896" s="34"/>
      <c r="J896" s="24"/>
      <c r="L896" s="34"/>
    </row>
    <row r="897">
      <c r="A897" s="34"/>
      <c r="J897" s="24"/>
      <c r="L897" s="34"/>
    </row>
    <row r="898">
      <c r="A898" s="34"/>
      <c r="J898" s="24"/>
      <c r="L898" s="34"/>
    </row>
    <row r="899">
      <c r="A899" s="34"/>
      <c r="J899" s="24"/>
      <c r="L899" s="34"/>
    </row>
    <row r="900">
      <c r="A900" s="34"/>
      <c r="J900" s="24"/>
      <c r="L900" s="34"/>
    </row>
    <row r="901">
      <c r="A901" s="34"/>
      <c r="J901" s="24"/>
      <c r="L901" s="34"/>
    </row>
    <row r="902">
      <c r="A902" s="34"/>
      <c r="J902" s="24"/>
      <c r="L902" s="34"/>
    </row>
    <row r="903">
      <c r="A903" s="34"/>
      <c r="J903" s="24"/>
      <c r="L903" s="34"/>
    </row>
    <row r="904">
      <c r="A904" s="34"/>
      <c r="J904" s="24"/>
      <c r="L904" s="34"/>
    </row>
    <row r="905">
      <c r="A905" s="34"/>
      <c r="J905" s="24"/>
      <c r="L905" s="34"/>
    </row>
    <row r="906">
      <c r="A906" s="34"/>
      <c r="J906" s="24"/>
      <c r="L906" s="34"/>
    </row>
    <row r="907">
      <c r="A907" s="34"/>
      <c r="J907" s="24"/>
      <c r="L907" s="34"/>
    </row>
    <row r="908">
      <c r="A908" s="34"/>
      <c r="J908" s="24"/>
      <c r="L908" s="34"/>
    </row>
    <row r="909">
      <c r="A909" s="34"/>
      <c r="J909" s="24"/>
      <c r="L909" s="34"/>
    </row>
    <row r="910">
      <c r="A910" s="34"/>
      <c r="J910" s="24"/>
      <c r="L910" s="34"/>
    </row>
    <row r="911">
      <c r="A911" s="34"/>
      <c r="J911" s="24"/>
      <c r="L911" s="34"/>
    </row>
    <row r="912">
      <c r="A912" s="34"/>
      <c r="J912" s="24"/>
      <c r="L912" s="34"/>
    </row>
    <row r="913">
      <c r="A913" s="34"/>
      <c r="J913" s="24"/>
      <c r="L913" s="34"/>
    </row>
    <row r="914">
      <c r="A914" s="34"/>
      <c r="J914" s="24"/>
      <c r="L914" s="34"/>
    </row>
    <row r="915">
      <c r="A915" s="34"/>
      <c r="J915" s="24"/>
      <c r="L915" s="34"/>
    </row>
    <row r="916">
      <c r="A916" s="34"/>
      <c r="J916" s="24"/>
      <c r="L916" s="34"/>
    </row>
    <row r="917">
      <c r="A917" s="34"/>
      <c r="J917" s="24"/>
      <c r="L917" s="34"/>
    </row>
    <row r="918">
      <c r="A918" s="34"/>
      <c r="J918" s="24"/>
      <c r="L918" s="34"/>
    </row>
    <row r="919">
      <c r="A919" s="34"/>
      <c r="J919" s="24"/>
      <c r="L919" s="34"/>
    </row>
    <row r="920">
      <c r="A920" s="34"/>
      <c r="J920" s="24"/>
      <c r="L920" s="34"/>
    </row>
    <row r="921">
      <c r="A921" s="34"/>
      <c r="J921" s="24"/>
      <c r="L921" s="34"/>
    </row>
    <row r="922">
      <c r="A922" s="34"/>
      <c r="J922" s="24"/>
      <c r="L922" s="34"/>
    </row>
    <row r="923">
      <c r="A923" s="34"/>
      <c r="J923" s="24"/>
      <c r="L923" s="34"/>
    </row>
    <row r="924">
      <c r="A924" s="34"/>
      <c r="J924" s="24"/>
      <c r="L924" s="34"/>
    </row>
    <row r="925">
      <c r="A925" s="34"/>
      <c r="J925" s="24"/>
      <c r="L925" s="34"/>
    </row>
    <row r="926">
      <c r="A926" s="34"/>
      <c r="J926" s="24"/>
      <c r="L926" s="34"/>
    </row>
    <row r="927">
      <c r="A927" s="34"/>
      <c r="J927" s="24"/>
      <c r="L927" s="34"/>
    </row>
    <row r="928">
      <c r="A928" s="34"/>
      <c r="J928" s="24"/>
      <c r="L928" s="34"/>
    </row>
    <row r="929">
      <c r="A929" s="34"/>
      <c r="J929" s="24"/>
      <c r="L929" s="34"/>
    </row>
    <row r="930">
      <c r="A930" s="34"/>
      <c r="J930" s="24"/>
      <c r="L930" s="34"/>
    </row>
    <row r="931">
      <c r="A931" s="34"/>
      <c r="J931" s="24"/>
      <c r="L931" s="34"/>
    </row>
    <row r="932">
      <c r="A932" s="34"/>
      <c r="J932" s="24"/>
      <c r="L932" s="34"/>
    </row>
    <row r="933">
      <c r="A933" s="34"/>
      <c r="J933" s="24"/>
      <c r="L933" s="34"/>
    </row>
    <row r="934">
      <c r="A934" s="34"/>
      <c r="J934" s="24"/>
      <c r="L934" s="34"/>
    </row>
    <row r="935">
      <c r="A935" s="34"/>
      <c r="J935" s="24"/>
      <c r="L935" s="34"/>
    </row>
    <row r="936">
      <c r="A936" s="34"/>
      <c r="J936" s="24"/>
      <c r="L936" s="34"/>
    </row>
    <row r="937">
      <c r="A937" s="34"/>
      <c r="J937" s="24"/>
      <c r="L937" s="34"/>
    </row>
    <row r="938">
      <c r="A938" s="34"/>
      <c r="J938" s="24"/>
      <c r="L938" s="34"/>
    </row>
    <row r="939">
      <c r="A939" s="34"/>
      <c r="J939" s="24"/>
      <c r="L939" s="34"/>
    </row>
    <row r="940">
      <c r="A940" s="34"/>
      <c r="J940" s="24"/>
      <c r="L940" s="34"/>
    </row>
    <row r="941">
      <c r="A941" s="34"/>
      <c r="J941" s="24"/>
      <c r="L941" s="34"/>
    </row>
    <row r="942">
      <c r="A942" s="34"/>
      <c r="J942" s="24"/>
      <c r="L942" s="34"/>
    </row>
    <row r="943">
      <c r="A943" s="34"/>
      <c r="J943" s="24"/>
      <c r="L943" s="34"/>
    </row>
    <row r="944">
      <c r="A944" s="34"/>
      <c r="J944" s="24"/>
      <c r="L944" s="34"/>
    </row>
    <row r="945">
      <c r="A945" s="34"/>
      <c r="J945" s="24"/>
      <c r="L945" s="34"/>
    </row>
    <row r="946">
      <c r="A946" s="34"/>
      <c r="J946" s="24"/>
      <c r="L946" s="34"/>
    </row>
    <row r="947">
      <c r="A947" s="34"/>
      <c r="J947" s="24"/>
      <c r="L947" s="34"/>
    </row>
    <row r="948">
      <c r="A948" s="34"/>
      <c r="J948" s="24"/>
      <c r="L948" s="34"/>
    </row>
    <row r="949">
      <c r="A949" s="34"/>
      <c r="J949" s="24"/>
      <c r="L949" s="34"/>
    </row>
    <row r="950">
      <c r="A950" s="34"/>
      <c r="J950" s="24"/>
      <c r="L950" s="34"/>
    </row>
    <row r="951">
      <c r="A951" s="34"/>
      <c r="J951" s="24"/>
      <c r="L951" s="34"/>
    </row>
    <row r="952">
      <c r="A952" s="34"/>
      <c r="J952" s="24"/>
      <c r="L952" s="34"/>
    </row>
    <row r="953">
      <c r="A953" s="34"/>
      <c r="J953" s="24"/>
      <c r="L953" s="34"/>
    </row>
    <row r="954">
      <c r="A954" s="34"/>
      <c r="J954" s="24"/>
      <c r="L954" s="34"/>
    </row>
    <row r="955">
      <c r="A955" s="34"/>
      <c r="J955" s="24"/>
      <c r="L955" s="34"/>
    </row>
    <row r="956">
      <c r="A956" s="34"/>
      <c r="J956" s="24"/>
      <c r="L956" s="34"/>
    </row>
    <row r="957">
      <c r="A957" s="34"/>
      <c r="J957" s="24"/>
      <c r="L957" s="34"/>
    </row>
    <row r="958">
      <c r="A958" s="34"/>
      <c r="J958" s="24"/>
      <c r="L958" s="34"/>
    </row>
    <row r="959">
      <c r="A959" s="34"/>
      <c r="J959" s="24"/>
      <c r="L959" s="34"/>
    </row>
    <row r="960">
      <c r="A960" s="34"/>
      <c r="J960" s="24"/>
      <c r="L960" s="34"/>
    </row>
    <row r="961">
      <c r="A961" s="34"/>
      <c r="J961" s="24"/>
      <c r="L961" s="34"/>
    </row>
    <row r="962">
      <c r="A962" s="34"/>
      <c r="J962" s="24"/>
      <c r="L962" s="34"/>
    </row>
    <row r="963">
      <c r="A963" s="34"/>
      <c r="J963" s="24"/>
      <c r="L963" s="34"/>
    </row>
    <row r="964">
      <c r="A964" s="34"/>
      <c r="J964" s="24"/>
      <c r="L964" s="34"/>
    </row>
    <row r="965">
      <c r="A965" s="34"/>
      <c r="J965" s="24"/>
      <c r="L965" s="34"/>
    </row>
    <row r="966">
      <c r="A966" s="34"/>
      <c r="J966" s="24"/>
      <c r="L966" s="34"/>
    </row>
    <row r="967">
      <c r="A967" s="34"/>
      <c r="J967" s="24"/>
      <c r="L967" s="34"/>
    </row>
    <row r="968">
      <c r="A968" s="34"/>
      <c r="J968" s="24"/>
      <c r="L968" s="34"/>
    </row>
    <row r="969">
      <c r="A969" s="34"/>
      <c r="J969" s="24"/>
      <c r="L969" s="34"/>
    </row>
    <row r="970">
      <c r="A970" s="34"/>
      <c r="J970" s="24"/>
      <c r="L970" s="34"/>
    </row>
    <row r="971">
      <c r="A971" s="34"/>
      <c r="J971" s="24"/>
      <c r="L971" s="34"/>
    </row>
    <row r="972">
      <c r="A972" s="34"/>
      <c r="J972" s="24"/>
      <c r="L972" s="34"/>
    </row>
    <row r="973">
      <c r="A973" s="34"/>
      <c r="J973" s="24"/>
      <c r="L973" s="34"/>
    </row>
    <row r="974">
      <c r="A974" s="34"/>
      <c r="J974" s="24"/>
      <c r="L974" s="34"/>
    </row>
    <row r="975">
      <c r="A975" s="34"/>
      <c r="J975" s="24"/>
      <c r="L975" s="34"/>
    </row>
    <row r="976">
      <c r="A976" s="34"/>
      <c r="J976" s="24"/>
      <c r="L976" s="34"/>
    </row>
    <row r="977">
      <c r="A977" s="34"/>
      <c r="J977" s="24"/>
      <c r="L977" s="34"/>
    </row>
    <row r="978">
      <c r="A978" s="34"/>
      <c r="J978" s="24"/>
      <c r="L978" s="34"/>
    </row>
    <row r="979">
      <c r="A979" s="34"/>
      <c r="J979" s="24"/>
      <c r="L979" s="34"/>
    </row>
    <row r="980">
      <c r="A980" s="34"/>
      <c r="J980" s="24"/>
      <c r="L980" s="34"/>
    </row>
    <row r="981">
      <c r="A981" s="34"/>
      <c r="J981" s="24"/>
      <c r="L981" s="34"/>
    </row>
    <row r="982">
      <c r="A982" s="34"/>
      <c r="J982" s="24"/>
      <c r="L982" s="34"/>
    </row>
    <row r="983">
      <c r="A983" s="34"/>
      <c r="J983" s="24"/>
      <c r="L983" s="34"/>
    </row>
    <row r="984">
      <c r="A984" s="34"/>
      <c r="J984" s="24"/>
      <c r="L984" s="34"/>
    </row>
    <row r="985">
      <c r="A985" s="34"/>
      <c r="J985" s="24"/>
      <c r="L985" s="34"/>
    </row>
    <row r="986">
      <c r="A986" s="34"/>
      <c r="J986" s="24"/>
      <c r="L986" s="34"/>
    </row>
    <row r="987">
      <c r="A987" s="34"/>
      <c r="J987" s="24"/>
      <c r="L987" s="34"/>
    </row>
    <row r="988">
      <c r="A988" s="34"/>
      <c r="J988" s="24"/>
      <c r="L988" s="34"/>
    </row>
    <row r="989">
      <c r="A989" s="34"/>
      <c r="J989" s="24"/>
      <c r="L989" s="34"/>
    </row>
    <row r="990">
      <c r="A990" s="34"/>
      <c r="J990" s="24"/>
      <c r="L990" s="34"/>
    </row>
    <row r="991">
      <c r="A991" s="34"/>
      <c r="J991" s="24"/>
      <c r="L991" s="34"/>
    </row>
    <row r="992">
      <c r="A992" s="34"/>
      <c r="J992" s="24"/>
      <c r="L992" s="34"/>
    </row>
    <row r="993">
      <c r="A993" s="34"/>
      <c r="J993" s="24"/>
      <c r="L993" s="34"/>
    </row>
    <row r="994">
      <c r="A994" s="34"/>
      <c r="J994" s="24"/>
      <c r="L994" s="34"/>
    </row>
    <row r="995">
      <c r="A995" s="34"/>
      <c r="J995" s="24"/>
      <c r="L995" s="34"/>
    </row>
    <row r="996">
      <c r="A996" s="34"/>
      <c r="J996" s="24"/>
      <c r="L996" s="34"/>
    </row>
    <row r="997">
      <c r="A997" s="34"/>
      <c r="J997" s="24"/>
      <c r="L997" s="34"/>
    </row>
    <row r="998">
      <c r="A998" s="34"/>
      <c r="J998" s="24"/>
      <c r="L998" s="34"/>
    </row>
    <row r="999">
      <c r="A999" s="34"/>
      <c r="J999" s="24"/>
      <c r="L999" s="34"/>
    </row>
    <row r="1000">
      <c r="A1000" s="34"/>
      <c r="J1000" s="24"/>
      <c r="L1000" s="34"/>
    </row>
    <row r="1001">
      <c r="A1001" s="34"/>
      <c r="J1001" s="24"/>
      <c r="L1001" s="34"/>
    </row>
    <row r="1002">
      <c r="A1002" s="34"/>
      <c r="J1002" s="24"/>
      <c r="L1002" s="34"/>
    </row>
    <row r="1003">
      <c r="A1003" s="34"/>
      <c r="J1003" s="24"/>
      <c r="L1003" s="34"/>
    </row>
    <row r="1004">
      <c r="A1004" s="34"/>
      <c r="J1004" s="24"/>
      <c r="L1004" s="34"/>
    </row>
    <row r="1005">
      <c r="A1005" s="34"/>
      <c r="J1005" s="24"/>
      <c r="L1005" s="34"/>
    </row>
    <row r="1006">
      <c r="A1006" s="34"/>
      <c r="J1006" s="24"/>
      <c r="L1006" s="34"/>
    </row>
    <row r="1007">
      <c r="A1007" s="34"/>
      <c r="J1007" s="24"/>
      <c r="L1007" s="34"/>
    </row>
    <row r="1008">
      <c r="A1008" s="34"/>
      <c r="J1008" s="24"/>
      <c r="L1008" s="34"/>
    </row>
    <row r="1009">
      <c r="A1009" s="34"/>
      <c r="J1009" s="24"/>
      <c r="L1009" s="34"/>
    </row>
    <row r="1010">
      <c r="A1010" s="34"/>
      <c r="J1010" s="24"/>
      <c r="L1010" s="34"/>
    </row>
    <row r="1011">
      <c r="A1011" s="34"/>
      <c r="J1011" s="24"/>
      <c r="L1011" s="34"/>
    </row>
    <row r="1012">
      <c r="A1012" s="34"/>
      <c r="J1012" s="24"/>
      <c r="L1012" s="34"/>
    </row>
    <row r="1013">
      <c r="A1013" s="34"/>
      <c r="J1013" s="24"/>
      <c r="L1013" s="34"/>
    </row>
    <row r="1014">
      <c r="A1014" s="34"/>
      <c r="J1014" s="24"/>
      <c r="L1014" s="34"/>
    </row>
    <row r="1015">
      <c r="A1015" s="34"/>
      <c r="J1015" s="24"/>
      <c r="L1015" s="34"/>
    </row>
    <row r="1016">
      <c r="A1016" s="34"/>
      <c r="J1016" s="24"/>
      <c r="L1016" s="34"/>
    </row>
    <row r="1017">
      <c r="A1017" s="34"/>
      <c r="J1017" s="24"/>
      <c r="L1017" s="34"/>
    </row>
    <row r="1018">
      <c r="A1018" s="34"/>
      <c r="J1018" s="24"/>
      <c r="L1018" s="34"/>
    </row>
    <row r="1019">
      <c r="A1019" s="34"/>
      <c r="J1019" s="24"/>
      <c r="L1019" s="34"/>
    </row>
    <row r="1020">
      <c r="A1020" s="34"/>
      <c r="J1020" s="24"/>
      <c r="L1020" s="34"/>
    </row>
    <row r="1021">
      <c r="A1021" s="34"/>
      <c r="J1021" s="24"/>
      <c r="L1021" s="34"/>
    </row>
    <row r="1022">
      <c r="A1022" s="34"/>
      <c r="J1022" s="24"/>
      <c r="L1022" s="34"/>
    </row>
    <row r="1023">
      <c r="A1023" s="34"/>
      <c r="J1023" s="24"/>
      <c r="L1023" s="34"/>
    </row>
    <row r="1024">
      <c r="A1024" s="34"/>
      <c r="J1024" s="24"/>
      <c r="L1024" s="34"/>
    </row>
    <row r="1025">
      <c r="A1025" s="34"/>
      <c r="J1025" s="24"/>
      <c r="L1025" s="34"/>
    </row>
    <row r="1026">
      <c r="A1026" s="34"/>
      <c r="J1026" s="24"/>
      <c r="L1026" s="34"/>
    </row>
    <row r="1027">
      <c r="A1027" s="34"/>
      <c r="J1027" s="24"/>
      <c r="L1027" s="34"/>
    </row>
    <row r="1028">
      <c r="A1028" s="34"/>
      <c r="J1028" s="24"/>
      <c r="L1028" s="34"/>
    </row>
    <row r="1029">
      <c r="A1029" s="34"/>
      <c r="J1029" s="24"/>
      <c r="L1029" s="34"/>
    </row>
    <row r="1030">
      <c r="A1030" s="34"/>
      <c r="J1030" s="24"/>
      <c r="L1030" s="34"/>
    </row>
    <row r="1031">
      <c r="A1031" s="34"/>
      <c r="J1031" s="24"/>
      <c r="L1031" s="34"/>
    </row>
    <row r="1032">
      <c r="A1032" s="34"/>
      <c r="J1032" s="24"/>
      <c r="L1032" s="34"/>
    </row>
    <row r="1033">
      <c r="A1033" s="34"/>
      <c r="J1033" s="24"/>
      <c r="L1033" s="34"/>
    </row>
    <row r="1034">
      <c r="A1034" s="34"/>
      <c r="J1034" s="24"/>
      <c r="L1034" s="34"/>
    </row>
    <row r="1035">
      <c r="A1035" s="34"/>
      <c r="J1035" s="24"/>
      <c r="L1035" s="34"/>
    </row>
    <row r="1036">
      <c r="A1036" s="34"/>
      <c r="J1036" s="24"/>
      <c r="L1036" s="34"/>
    </row>
    <row r="1037">
      <c r="A1037" s="34"/>
      <c r="J1037" s="24"/>
      <c r="L1037" s="34"/>
    </row>
    <row r="1038">
      <c r="A1038" s="34"/>
      <c r="J1038" s="24"/>
      <c r="L1038" s="34"/>
    </row>
    <row r="1039">
      <c r="A1039" s="34"/>
      <c r="J1039" s="24"/>
      <c r="L1039" s="34"/>
    </row>
    <row r="1040">
      <c r="A1040" s="34"/>
      <c r="J1040" s="24"/>
      <c r="L1040" s="34"/>
    </row>
    <row r="1041">
      <c r="A1041" s="34"/>
      <c r="J1041" s="24"/>
      <c r="L1041" s="34"/>
    </row>
    <row r="1042">
      <c r="A1042" s="34"/>
      <c r="J1042" s="24"/>
      <c r="L1042" s="34"/>
    </row>
    <row r="1043">
      <c r="A1043" s="34"/>
      <c r="J1043" s="24"/>
      <c r="L1043" s="34"/>
    </row>
    <row r="1044">
      <c r="A1044" s="34"/>
      <c r="J1044" s="24"/>
      <c r="L1044" s="34"/>
    </row>
    <row r="1045">
      <c r="A1045" s="34"/>
      <c r="J1045" s="24"/>
      <c r="L1045" s="34"/>
    </row>
    <row r="1046">
      <c r="A1046" s="34"/>
      <c r="J1046" s="24"/>
      <c r="L1046" s="34"/>
    </row>
    <row r="1047">
      <c r="A1047" s="34"/>
      <c r="J1047" s="24"/>
      <c r="L1047" s="34"/>
    </row>
    <row r="1048">
      <c r="A1048" s="34"/>
      <c r="J1048" s="24"/>
      <c r="L1048" s="34"/>
    </row>
    <row r="1049">
      <c r="A1049" s="34"/>
      <c r="J1049" s="24"/>
      <c r="L1049" s="34"/>
    </row>
    <row r="1050">
      <c r="A1050" s="34"/>
      <c r="J1050" s="24"/>
      <c r="L1050" s="34"/>
    </row>
    <row r="1051">
      <c r="A1051" s="34"/>
      <c r="J1051" s="24"/>
      <c r="L1051" s="34"/>
    </row>
    <row r="1052">
      <c r="A1052" s="34"/>
      <c r="J1052" s="24"/>
      <c r="L1052" s="34"/>
    </row>
    <row r="1053">
      <c r="A1053" s="34"/>
      <c r="J1053" s="24"/>
      <c r="L1053" s="34"/>
    </row>
    <row r="1054">
      <c r="A1054" s="34"/>
      <c r="J1054" s="24"/>
      <c r="L1054" s="34"/>
    </row>
    <row r="1055">
      <c r="A1055" s="34"/>
      <c r="J1055" s="24"/>
      <c r="L1055" s="34"/>
    </row>
    <row r="1056">
      <c r="A1056" s="34"/>
      <c r="J1056" s="24"/>
      <c r="L1056" s="34"/>
    </row>
    <row r="1057">
      <c r="A1057" s="34"/>
      <c r="J1057" s="24"/>
      <c r="L1057" s="34"/>
    </row>
    <row r="1058">
      <c r="A1058" s="34"/>
      <c r="J1058" s="24"/>
      <c r="L1058" s="34"/>
    </row>
    <row r="1059">
      <c r="A1059" s="34"/>
      <c r="J1059" s="24"/>
      <c r="L1059" s="34"/>
    </row>
    <row r="1060">
      <c r="A1060" s="34"/>
      <c r="J1060" s="24"/>
      <c r="L1060" s="34"/>
    </row>
    <row r="1061">
      <c r="A1061" s="34"/>
      <c r="J1061" s="24"/>
      <c r="L1061" s="34"/>
    </row>
    <row r="1062">
      <c r="A1062" s="34"/>
      <c r="J1062" s="24"/>
      <c r="L1062" s="34"/>
    </row>
    <row r="1063">
      <c r="A1063" s="34"/>
      <c r="J1063" s="24"/>
      <c r="L1063" s="34"/>
    </row>
    <row r="1064">
      <c r="A1064" s="34"/>
      <c r="J1064" s="24"/>
      <c r="L1064" s="34"/>
    </row>
    <row r="1065">
      <c r="A1065" s="34"/>
      <c r="J1065" s="24"/>
      <c r="L1065" s="34"/>
    </row>
    <row r="1066">
      <c r="A1066" s="34"/>
      <c r="J1066" s="24"/>
      <c r="L1066" s="34"/>
    </row>
    <row r="1067">
      <c r="A1067" s="34"/>
      <c r="J1067" s="24"/>
      <c r="L1067" s="34"/>
    </row>
    <row r="1068">
      <c r="A1068" s="34"/>
      <c r="J1068" s="24"/>
      <c r="L1068" s="34"/>
    </row>
    <row r="1069">
      <c r="A1069" s="34"/>
      <c r="J1069" s="24"/>
      <c r="L1069" s="34"/>
    </row>
    <row r="1070">
      <c r="A1070" s="34"/>
      <c r="J1070" s="24"/>
      <c r="L1070" s="34"/>
    </row>
    <row r="1071">
      <c r="A1071" s="34"/>
      <c r="J1071" s="24"/>
      <c r="L1071" s="34"/>
    </row>
    <row r="1072">
      <c r="A1072" s="34"/>
      <c r="J1072" s="24"/>
      <c r="L1072" s="34"/>
    </row>
    <row r="1073">
      <c r="A1073" s="34"/>
      <c r="J1073" s="24"/>
      <c r="L1073" s="34"/>
    </row>
    <row r="1074">
      <c r="A1074" s="34"/>
      <c r="J1074" s="24"/>
      <c r="L1074" s="34"/>
    </row>
    <row r="1075">
      <c r="A1075" s="34"/>
      <c r="J1075" s="24"/>
      <c r="L1075" s="34"/>
    </row>
    <row r="1076">
      <c r="A1076" s="34"/>
      <c r="J1076" s="24"/>
      <c r="L1076" s="34"/>
    </row>
    <row r="1077">
      <c r="A1077" s="34"/>
      <c r="J1077" s="24"/>
      <c r="L1077" s="34"/>
    </row>
    <row r="1078">
      <c r="A1078" s="34"/>
      <c r="J1078" s="24"/>
      <c r="L1078" s="34"/>
    </row>
    <row r="1079">
      <c r="A1079" s="34"/>
      <c r="J1079" s="24"/>
      <c r="L1079" s="34"/>
    </row>
    <row r="1080">
      <c r="A1080" s="34"/>
      <c r="J1080" s="24"/>
      <c r="L1080" s="34"/>
    </row>
    <row r="1081">
      <c r="A1081" s="34"/>
      <c r="J1081" s="24"/>
      <c r="L1081" s="34"/>
    </row>
    <row r="1082">
      <c r="A1082" s="34"/>
      <c r="J1082" s="24"/>
      <c r="L1082" s="34"/>
    </row>
    <row r="1083">
      <c r="A1083" s="34"/>
      <c r="J1083" s="24"/>
      <c r="L1083" s="34"/>
    </row>
    <row r="1084">
      <c r="A1084" s="34"/>
      <c r="J1084" s="24"/>
      <c r="L1084" s="34"/>
    </row>
    <row r="1085">
      <c r="A1085" s="34"/>
      <c r="J1085" s="24"/>
      <c r="L1085" s="34"/>
    </row>
    <row r="1086">
      <c r="A1086" s="34"/>
      <c r="J1086" s="24"/>
      <c r="L1086" s="34"/>
    </row>
    <row r="1087">
      <c r="A1087" s="34"/>
      <c r="J1087" s="24"/>
      <c r="L1087" s="34"/>
    </row>
    <row r="1088">
      <c r="A1088" s="34"/>
      <c r="J1088" s="24"/>
      <c r="L1088" s="34"/>
    </row>
    <row r="1089">
      <c r="A1089" s="34"/>
      <c r="J1089" s="24"/>
      <c r="L1089" s="34"/>
    </row>
    <row r="1090">
      <c r="A1090" s="34"/>
      <c r="J1090" s="24"/>
      <c r="L1090" s="34"/>
    </row>
    <row r="1091">
      <c r="A1091" s="34"/>
      <c r="J1091" s="24"/>
      <c r="L1091" s="34"/>
    </row>
    <row r="1092">
      <c r="A1092" s="34"/>
      <c r="J1092" s="24"/>
      <c r="L1092" s="34"/>
    </row>
    <row r="1093">
      <c r="A1093" s="34"/>
      <c r="J1093" s="24"/>
      <c r="L1093" s="34"/>
    </row>
    <row r="1094">
      <c r="A1094" s="34"/>
      <c r="J1094" s="24"/>
      <c r="L1094" s="34"/>
    </row>
    <row r="1095">
      <c r="A1095" s="34"/>
      <c r="J1095" s="24"/>
      <c r="L1095" s="34"/>
    </row>
    <row r="1096">
      <c r="A1096" s="34"/>
      <c r="J1096" s="24"/>
      <c r="L1096" s="34"/>
    </row>
    <row r="1097">
      <c r="A1097" s="34"/>
      <c r="J1097" s="24"/>
      <c r="L1097" s="34"/>
    </row>
    <row r="1098">
      <c r="A1098" s="34"/>
      <c r="J1098" s="24"/>
      <c r="L1098" s="34"/>
    </row>
    <row r="1099">
      <c r="A1099" s="34"/>
      <c r="J1099" s="24"/>
      <c r="L1099" s="34"/>
    </row>
    <row r="1100">
      <c r="A1100" s="34"/>
      <c r="J1100" s="24"/>
      <c r="L1100" s="34"/>
    </row>
    <row r="1101">
      <c r="A1101" s="34"/>
      <c r="J1101" s="24"/>
      <c r="L1101" s="34"/>
    </row>
    <row r="1102">
      <c r="A1102" s="34"/>
      <c r="J1102" s="24"/>
      <c r="L1102" s="34"/>
    </row>
    <row r="1103">
      <c r="A1103" s="34"/>
      <c r="J1103" s="24"/>
      <c r="L1103" s="34"/>
    </row>
    <row r="1104">
      <c r="A1104" s="34"/>
      <c r="J1104" s="24"/>
      <c r="L1104" s="34"/>
    </row>
    <row r="1105">
      <c r="A1105" s="34"/>
      <c r="J1105" s="24"/>
      <c r="L1105" s="34"/>
    </row>
    <row r="1106">
      <c r="A1106" s="34"/>
      <c r="J1106" s="24"/>
      <c r="L1106" s="34"/>
    </row>
    <row r="1107">
      <c r="A1107" s="34"/>
      <c r="J1107" s="24"/>
      <c r="L1107" s="34"/>
    </row>
    <row r="1108">
      <c r="A1108" s="34"/>
      <c r="J1108" s="24"/>
      <c r="L1108" s="34"/>
    </row>
    <row r="1109">
      <c r="A1109" s="34"/>
      <c r="J1109" s="24"/>
      <c r="L1109" s="34"/>
    </row>
    <row r="1110">
      <c r="A1110" s="34"/>
      <c r="J1110" s="24"/>
      <c r="L1110" s="34"/>
    </row>
    <row r="1111">
      <c r="A1111" s="34"/>
      <c r="J1111" s="24"/>
      <c r="L1111" s="34"/>
    </row>
    <row r="1112">
      <c r="A1112" s="34"/>
      <c r="J1112" s="24"/>
      <c r="L1112" s="34"/>
    </row>
    <row r="1113">
      <c r="A1113" s="34"/>
      <c r="J1113" s="24"/>
      <c r="L1113" s="34"/>
    </row>
    <row r="1114">
      <c r="A1114" s="34"/>
      <c r="J1114" s="24"/>
      <c r="L1114" s="34"/>
    </row>
    <row r="1115">
      <c r="A1115" s="34"/>
      <c r="J1115" s="24"/>
      <c r="L1115" s="34"/>
    </row>
    <row r="1116">
      <c r="A1116" s="34"/>
      <c r="J1116" s="24"/>
      <c r="L1116" s="34"/>
    </row>
    <row r="1117">
      <c r="A1117" s="34"/>
      <c r="J1117" s="24"/>
      <c r="L1117" s="34"/>
    </row>
    <row r="1118">
      <c r="A1118" s="34"/>
      <c r="J1118" s="24"/>
      <c r="L1118" s="34"/>
    </row>
    <row r="1119">
      <c r="A1119" s="34"/>
      <c r="J1119" s="24"/>
      <c r="L1119" s="34"/>
    </row>
    <row r="1120">
      <c r="A1120" s="34"/>
      <c r="J1120" s="24"/>
      <c r="L1120" s="34"/>
    </row>
    <row r="1121">
      <c r="A1121" s="34"/>
      <c r="J1121" s="24"/>
      <c r="L1121" s="34"/>
    </row>
    <row r="1122">
      <c r="A1122" s="34"/>
      <c r="J1122" s="24"/>
      <c r="L1122" s="34"/>
    </row>
    <row r="1123">
      <c r="A1123" s="34"/>
      <c r="J1123" s="24"/>
      <c r="L1123" s="34"/>
    </row>
    <row r="1124">
      <c r="A1124" s="34"/>
      <c r="J1124" s="24"/>
      <c r="L1124" s="34"/>
    </row>
    <row r="1125">
      <c r="A1125" s="34"/>
      <c r="J1125" s="24"/>
      <c r="L1125" s="34"/>
    </row>
    <row r="1126">
      <c r="A1126" s="34"/>
      <c r="J1126" s="24"/>
      <c r="L1126" s="34"/>
    </row>
    <row r="1127">
      <c r="A1127" s="34"/>
      <c r="J1127" s="24"/>
      <c r="L1127" s="34"/>
    </row>
    <row r="1128">
      <c r="A1128" s="34"/>
      <c r="J1128" s="24"/>
      <c r="L1128" s="34"/>
    </row>
    <row r="1129">
      <c r="A1129" s="34"/>
      <c r="J1129" s="24"/>
      <c r="L1129" s="34"/>
    </row>
    <row r="1130">
      <c r="A1130" s="34"/>
      <c r="J1130" s="24"/>
      <c r="L1130" s="34"/>
    </row>
    <row r="1131">
      <c r="A1131" s="34"/>
      <c r="J1131" s="24"/>
      <c r="L1131" s="34"/>
    </row>
    <row r="1132">
      <c r="A1132" s="34"/>
      <c r="J1132" s="24"/>
      <c r="L1132" s="34"/>
    </row>
    <row r="1133">
      <c r="A1133" s="34"/>
      <c r="J1133" s="24"/>
      <c r="L1133" s="34"/>
    </row>
    <row r="1134">
      <c r="A1134" s="34"/>
      <c r="J1134" s="24"/>
      <c r="L1134" s="34"/>
    </row>
    <row r="1135">
      <c r="A1135" s="34"/>
      <c r="J1135" s="24"/>
      <c r="L1135" s="34"/>
    </row>
    <row r="1136">
      <c r="A1136" s="34"/>
      <c r="J1136" s="24"/>
      <c r="L1136" s="34"/>
    </row>
    <row r="1137">
      <c r="A1137" s="34"/>
      <c r="J1137" s="24"/>
      <c r="L1137" s="34"/>
    </row>
    <row r="1138">
      <c r="A1138" s="34"/>
      <c r="J1138" s="24"/>
      <c r="L1138" s="34"/>
    </row>
    <row r="1139">
      <c r="A1139" s="34"/>
      <c r="J1139" s="24"/>
      <c r="L1139" s="34"/>
    </row>
    <row r="1140">
      <c r="A1140" s="34"/>
      <c r="J1140" s="24"/>
      <c r="L1140" s="34"/>
    </row>
    <row r="1141">
      <c r="A1141" s="34"/>
      <c r="J1141" s="24"/>
      <c r="L1141" s="34"/>
    </row>
    <row r="1142">
      <c r="A1142" s="34"/>
      <c r="J1142" s="24"/>
      <c r="L1142" s="34"/>
    </row>
    <row r="1143">
      <c r="A1143" s="34"/>
      <c r="J1143" s="24"/>
      <c r="L1143" s="34"/>
    </row>
    <row r="1144">
      <c r="A1144" s="34"/>
      <c r="J1144" s="24"/>
      <c r="L1144" s="34"/>
    </row>
    <row r="1145">
      <c r="A1145" s="34"/>
      <c r="J1145" s="24"/>
      <c r="L1145" s="34"/>
    </row>
    <row r="1146">
      <c r="A1146" s="34"/>
      <c r="J1146" s="24"/>
      <c r="L1146" s="34"/>
    </row>
    <row r="1147">
      <c r="A1147" s="34"/>
      <c r="J1147" s="24"/>
      <c r="L1147" s="34"/>
    </row>
    <row r="1148">
      <c r="A1148" s="34"/>
      <c r="J1148" s="24"/>
      <c r="L1148" s="34"/>
    </row>
    <row r="1149">
      <c r="A1149" s="34"/>
      <c r="J1149" s="24"/>
      <c r="L1149" s="34"/>
    </row>
    <row r="1150">
      <c r="A1150" s="34"/>
      <c r="J1150" s="24"/>
      <c r="L1150" s="34"/>
    </row>
    <row r="1151">
      <c r="A1151" s="34"/>
      <c r="J1151" s="24"/>
      <c r="L1151" s="34"/>
    </row>
    <row r="1152">
      <c r="A1152" s="34"/>
      <c r="J1152" s="24"/>
      <c r="L1152" s="34"/>
    </row>
    <row r="1153">
      <c r="A1153" s="34"/>
      <c r="J1153" s="24"/>
      <c r="L1153" s="34"/>
    </row>
    <row r="1154">
      <c r="A1154" s="34"/>
      <c r="J1154" s="24"/>
      <c r="L1154" s="34"/>
    </row>
    <row r="1155">
      <c r="A1155" s="34"/>
      <c r="J1155" s="24"/>
      <c r="L1155" s="34"/>
    </row>
    <row r="1156">
      <c r="A1156" s="34"/>
      <c r="J1156" s="24"/>
      <c r="L1156" s="34"/>
    </row>
    <row r="1157">
      <c r="A1157" s="34"/>
      <c r="J1157" s="24"/>
      <c r="L1157" s="34"/>
    </row>
    <row r="1158">
      <c r="A1158" s="34"/>
      <c r="J1158" s="24"/>
      <c r="L1158" s="34"/>
    </row>
    <row r="1159">
      <c r="A1159" s="34"/>
      <c r="J1159" s="24"/>
      <c r="L1159" s="34"/>
    </row>
    <row r="1160">
      <c r="A1160" s="34"/>
      <c r="J1160" s="24"/>
      <c r="L1160" s="34"/>
    </row>
    <row r="1161">
      <c r="A1161" s="34"/>
      <c r="J1161" s="24"/>
      <c r="L1161" s="34"/>
    </row>
    <row r="1162">
      <c r="A1162" s="34"/>
      <c r="J1162" s="24"/>
      <c r="L1162" s="34"/>
    </row>
    <row r="1163">
      <c r="A1163" s="34"/>
      <c r="J1163" s="24"/>
      <c r="L1163" s="34"/>
    </row>
    <row r="1164">
      <c r="A1164" s="34"/>
      <c r="J1164" s="24"/>
      <c r="L1164" s="34"/>
    </row>
    <row r="1165">
      <c r="A1165" s="34"/>
      <c r="J1165" s="24"/>
      <c r="L1165" s="34"/>
    </row>
    <row r="1166">
      <c r="A1166" s="34"/>
      <c r="J1166" s="24"/>
      <c r="L1166" s="34"/>
    </row>
    <row r="1167">
      <c r="A1167" s="34"/>
      <c r="J1167" s="24"/>
      <c r="L1167" s="34"/>
    </row>
    <row r="1168">
      <c r="A1168" s="34"/>
      <c r="J1168" s="24"/>
      <c r="L1168" s="34"/>
    </row>
    <row r="1169">
      <c r="A1169" s="34"/>
      <c r="J1169" s="24"/>
      <c r="L1169" s="34"/>
    </row>
    <row r="1170">
      <c r="A1170" s="34"/>
      <c r="J1170" s="24"/>
      <c r="L1170" s="34"/>
    </row>
    <row r="1171">
      <c r="A1171" s="34"/>
      <c r="J1171" s="24"/>
      <c r="L1171" s="34"/>
    </row>
    <row r="1172">
      <c r="A1172" s="34"/>
      <c r="J1172" s="24"/>
      <c r="L1172" s="34"/>
    </row>
    <row r="1173">
      <c r="A1173" s="34"/>
      <c r="J1173" s="24"/>
      <c r="L1173" s="34"/>
    </row>
    <row r="1174">
      <c r="A1174" s="34"/>
      <c r="J1174" s="24"/>
      <c r="L1174" s="34"/>
    </row>
    <row r="1175">
      <c r="A1175" s="34"/>
      <c r="J1175" s="24"/>
      <c r="L1175" s="34"/>
    </row>
    <row r="1176">
      <c r="A1176" s="34"/>
      <c r="J1176" s="24"/>
      <c r="L1176" s="34"/>
    </row>
    <row r="1177">
      <c r="A1177" s="34"/>
      <c r="J1177" s="24"/>
      <c r="L1177" s="34"/>
    </row>
    <row r="1178">
      <c r="A1178" s="34"/>
      <c r="J1178" s="24"/>
      <c r="L1178" s="34"/>
    </row>
    <row r="1179">
      <c r="A1179" s="34"/>
      <c r="J1179" s="24"/>
      <c r="L1179" s="34"/>
    </row>
    <row r="1180">
      <c r="A1180" s="34"/>
      <c r="J1180" s="24"/>
      <c r="L1180" s="34"/>
    </row>
    <row r="1181">
      <c r="A1181" s="34"/>
      <c r="J1181" s="24"/>
      <c r="L1181" s="34"/>
    </row>
    <row r="1182">
      <c r="A1182" s="34"/>
      <c r="J1182" s="24"/>
      <c r="L1182" s="34"/>
    </row>
    <row r="1183">
      <c r="A1183" s="34"/>
      <c r="J1183" s="24"/>
      <c r="L1183" s="34"/>
    </row>
    <row r="1184">
      <c r="A1184" s="34"/>
      <c r="J1184" s="24"/>
      <c r="L1184" s="34"/>
    </row>
    <row r="1185">
      <c r="A1185" s="34"/>
      <c r="J1185" s="24"/>
      <c r="L1185" s="34"/>
    </row>
    <row r="1186">
      <c r="A1186" s="34"/>
      <c r="J1186" s="24"/>
      <c r="L1186" s="34"/>
    </row>
    <row r="1187">
      <c r="A1187" s="34"/>
      <c r="J1187" s="24"/>
      <c r="L1187" s="34"/>
    </row>
    <row r="1188">
      <c r="A1188" s="34"/>
      <c r="J1188" s="24"/>
      <c r="L1188" s="34"/>
    </row>
    <row r="1189">
      <c r="A1189" s="34"/>
      <c r="J1189" s="24"/>
      <c r="L1189" s="34"/>
    </row>
    <row r="1190">
      <c r="A1190" s="34"/>
      <c r="J1190" s="24"/>
      <c r="L1190" s="34"/>
    </row>
    <row r="1191">
      <c r="A1191" s="34"/>
      <c r="J1191" s="24"/>
      <c r="L1191" s="34"/>
    </row>
    <row r="1192">
      <c r="A1192" s="34"/>
      <c r="J1192" s="24"/>
      <c r="L1192" s="34"/>
    </row>
    <row r="1193">
      <c r="A1193" s="34"/>
      <c r="J1193" s="24"/>
      <c r="L1193" s="34"/>
    </row>
    <row r="1194">
      <c r="A1194" s="34"/>
      <c r="J1194" s="24"/>
      <c r="L1194" s="34"/>
    </row>
    <row r="1195">
      <c r="A1195" s="34"/>
      <c r="J1195" s="24"/>
      <c r="L1195" s="34"/>
    </row>
    <row r="1196">
      <c r="A1196" s="34"/>
      <c r="J1196" s="24"/>
      <c r="L1196" s="34"/>
    </row>
    <row r="1197">
      <c r="A1197" s="34"/>
      <c r="J1197" s="24"/>
      <c r="L1197" s="34"/>
    </row>
    <row r="1198">
      <c r="A1198" s="34"/>
      <c r="J1198" s="24"/>
      <c r="L1198" s="34"/>
    </row>
    <row r="1199">
      <c r="A1199" s="34"/>
      <c r="J1199" s="24"/>
      <c r="L1199" s="34"/>
    </row>
    <row r="1200">
      <c r="A1200" s="34"/>
      <c r="J1200" s="24"/>
      <c r="L1200" s="34"/>
    </row>
    <row r="1201">
      <c r="A1201" s="34"/>
      <c r="J1201" s="24"/>
      <c r="L1201" s="34"/>
    </row>
    <row r="1202">
      <c r="A1202" s="34"/>
      <c r="J1202" s="24"/>
      <c r="L1202" s="34"/>
    </row>
    <row r="1203">
      <c r="A1203" s="34"/>
      <c r="J1203" s="24"/>
      <c r="L1203" s="34"/>
    </row>
    <row r="1204">
      <c r="A1204" s="34"/>
      <c r="J1204" s="24"/>
      <c r="L1204" s="34"/>
    </row>
    <row r="1205">
      <c r="A1205" s="34"/>
      <c r="J1205" s="24"/>
      <c r="L1205" s="34"/>
    </row>
    <row r="1206">
      <c r="A1206" s="34"/>
      <c r="J1206" s="24"/>
      <c r="L1206" s="34"/>
    </row>
    <row r="1207">
      <c r="A1207" s="34"/>
      <c r="J1207" s="24"/>
      <c r="L1207" s="34"/>
    </row>
    <row r="1208">
      <c r="A1208" s="34"/>
      <c r="J1208" s="24"/>
      <c r="L1208" s="34"/>
    </row>
    <row r="1209">
      <c r="A1209" s="34"/>
      <c r="J1209" s="24"/>
      <c r="L1209" s="34"/>
    </row>
    <row r="1210">
      <c r="A1210" s="34"/>
      <c r="J1210" s="24"/>
      <c r="L1210" s="34"/>
    </row>
    <row r="1211">
      <c r="A1211" s="34"/>
      <c r="J1211" s="24"/>
      <c r="L1211" s="34"/>
    </row>
    <row r="1212">
      <c r="A1212" s="34"/>
      <c r="J1212" s="24"/>
      <c r="L1212" s="34"/>
    </row>
    <row r="1213">
      <c r="A1213" s="34"/>
      <c r="J1213" s="24"/>
      <c r="L1213" s="34"/>
    </row>
    <row r="1214">
      <c r="A1214" s="34"/>
      <c r="J1214" s="24"/>
      <c r="L1214" s="34"/>
    </row>
    <row r="1215">
      <c r="A1215" s="34"/>
      <c r="J1215" s="24"/>
      <c r="L1215" s="34"/>
    </row>
    <row r="1216">
      <c r="A1216" s="34"/>
      <c r="J1216" s="24"/>
      <c r="L1216" s="34"/>
    </row>
    <row r="1217">
      <c r="A1217" s="34"/>
      <c r="J1217" s="24"/>
      <c r="L1217" s="34"/>
    </row>
    <row r="1218">
      <c r="A1218" s="34"/>
      <c r="J1218" s="24"/>
      <c r="L1218" s="34"/>
    </row>
    <row r="1219">
      <c r="A1219" s="34"/>
      <c r="J1219" s="24"/>
      <c r="L1219" s="34"/>
    </row>
    <row r="1220">
      <c r="A1220" s="34"/>
      <c r="J1220" s="24"/>
      <c r="L1220" s="34"/>
    </row>
    <row r="1221">
      <c r="A1221" s="34"/>
      <c r="J1221" s="24"/>
      <c r="L1221" s="34"/>
    </row>
    <row r="1222">
      <c r="A1222" s="34"/>
      <c r="J1222" s="24"/>
      <c r="L1222" s="34"/>
    </row>
    <row r="1223">
      <c r="A1223" s="34"/>
      <c r="J1223" s="24"/>
      <c r="L1223" s="34"/>
    </row>
    <row r="1224">
      <c r="A1224" s="34"/>
      <c r="J1224" s="24"/>
      <c r="L1224" s="34"/>
    </row>
    <row r="1225">
      <c r="A1225" s="34"/>
      <c r="J1225" s="24"/>
      <c r="L1225" s="34"/>
    </row>
    <row r="1226">
      <c r="A1226" s="34"/>
      <c r="J1226" s="24"/>
      <c r="L1226" s="34"/>
    </row>
    <row r="1227">
      <c r="A1227" s="34"/>
      <c r="J1227" s="24"/>
      <c r="L1227" s="34"/>
    </row>
    <row r="1228">
      <c r="A1228" s="34"/>
      <c r="J1228" s="24"/>
      <c r="L1228" s="34"/>
    </row>
    <row r="1229">
      <c r="A1229" s="34"/>
      <c r="J1229" s="24"/>
      <c r="L1229" s="34"/>
    </row>
    <row r="1230">
      <c r="A1230" s="34"/>
      <c r="J1230" s="24"/>
      <c r="L1230" s="34"/>
    </row>
    <row r="1231">
      <c r="A1231" s="34"/>
      <c r="J1231" s="24"/>
      <c r="L1231" s="34"/>
    </row>
    <row r="1232">
      <c r="A1232" s="34"/>
      <c r="J1232" s="24"/>
      <c r="L1232" s="34"/>
    </row>
    <row r="1233">
      <c r="A1233" s="34"/>
      <c r="J1233" s="24"/>
      <c r="L1233" s="34"/>
    </row>
    <row r="1234">
      <c r="A1234" s="34"/>
      <c r="J1234" s="24"/>
      <c r="L1234" s="34"/>
    </row>
    <row r="1235">
      <c r="A1235" s="34"/>
      <c r="J1235" s="24"/>
      <c r="L1235" s="34"/>
    </row>
    <row r="1236">
      <c r="A1236" s="34"/>
      <c r="J1236" s="24"/>
      <c r="L1236" s="34"/>
    </row>
    <row r="1237">
      <c r="A1237" s="34"/>
      <c r="J1237" s="24"/>
      <c r="L1237" s="34"/>
    </row>
    <row r="1238">
      <c r="A1238" s="34"/>
      <c r="J1238" s="24"/>
      <c r="L1238" s="34"/>
    </row>
    <row r="1239">
      <c r="A1239" s="34"/>
      <c r="J1239" s="24"/>
      <c r="L1239" s="34"/>
    </row>
    <row r="1240">
      <c r="A1240" s="34"/>
      <c r="J1240" s="24"/>
      <c r="L1240" s="34"/>
    </row>
    <row r="1241">
      <c r="A1241" s="34"/>
      <c r="J1241" s="24"/>
      <c r="L1241" s="34"/>
    </row>
    <row r="1242">
      <c r="A1242" s="34"/>
      <c r="J1242" s="24"/>
      <c r="L1242" s="34"/>
    </row>
    <row r="1243">
      <c r="A1243" s="34"/>
      <c r="J1243" s="24"/>
      <c r="L1243" s="34"/>
    </row>
    <row r="1244">
      <c r="A1244" s="34"/>
      <c r="J1244" s="24"/>
      <c r="L1244" s="34"/>
    </row>
    <row r="1245">
      <c r="A1245" s="34"/>
      <c r="J1245" s="24"/>
      <c r="L1245" s="34"/>
    </row>
    <row r="1246">
      <c r="A1246" s="34"/>
      <c r="J1246" s="24"/>
      <c r="L1246" s="34"/>
    </row>
    <row r="1247">
      <c r="A1247" s="34"/>
      <c r="J1247" s="24"/>
      <c r="L1247" s="34"/>
    </row>
    <row r="1248">
      <c r="A1248" s="34"/>
      <c r="J1248" s="24"/>
      <c r="L1248" s="34"/>
    </row>
    <row r="1249">
      <c r="A1249" s="34"/>
      <c r="J1249" s="24"/>
      <c r="L1249" s="34"/>
    </row>
    <row r="1250">
      <c r="A1250" s="34"/>
      <c r="J1250" s="24"/>
      <c r="L1250" s="34"/>
    </row>
    <row r="1251">
      <c r="A1251" s="34"/>
      <c r="J1251" s="24"/>
      <c r="L1251" s="34"/>
    </row>
    <row r="1252">
      <c r="A1252" s="34"/>
      <c r="J1252" s="24"/>
      <c r="L1252" s="34"/>
    </row>
    <row r="1253">
      <c r="A1253" s="34"/>
      <c r="J1253" s="24"/>
      <c r="L1253" s="34"/>
    </row>
    <row r="1254">
      <c r="A1254" s="34"/>
      <c r="J1254" s="24"/>
      <c r="L1254" s="34"/>
    </row>
    <row r="1255">
      <c r="A1255" s="34"/>
      <c r="J1255" s="24"/>
      <c r="L1255" s="34"/>
    </row>
    <row r="1256">
      <c r="A1256" s="34"/>
      <c r="J1256" s="24"/>
      <c r="L1256" s="34"/>
    </row>
    <row r="1257">
      <c r="A1257" s="34"/>
      <c r="J1257" s="24"/>
      <c r="L1257" s="34"/>
    </row>
    <row r="1258">
      <c r="A1258" s="34"/>
      <c r="J1258" s="24"/>
      <c r="L1258" s="34"/>
    </row>
    <row r="1259">
      <c r="A1259" s="34"/>
      <c r="J1259" s="24"/>
      <c r="L1259" s="34"/>
    </row>
    <row r="1260">
      <c r="A1260" s="34"/>
      <c r="J1260" s="24"/>
      <c r="L1260" s="34"/>
    </row>
    <row r="1261">
      <c r="A1261" s="34"/>
      <c r="J1261" s="24"/>
      <c r="L1261" s="34"/>
    </row>
    <row r="1262">
      <c r="A1262" s="34"/>
      <c r="J1262" s="24"/>
      <c r="L1262" s="34"/>
    </row>
    <row r="1263">
      <c r="A1263" s="34"/>
      <c r="J1263" s="24"/>
      <c r="L1263" s="34"/>
    </row>
    <row r="1264">
      <c r="A1264" s="34"/>
      <c r="J1264" s="24"/>
      <c r="L1264" s="34"/>
    </row>
    <row r="1265">
      <c r="A1265" s="34"/>
      <c r="J1265" s="24"/>
      <c r="L1265" s="34"/>
    </row>
    <row r="1266">
      <c r="A1266" s="34"/>
      <c r="J1266" s="24"/>
      <c r="L1266" s="34"/>
    </row>
    <row r="1267">
      <c r="A1267" s="34"/>
      <c r="J1267" s="24"/>
      <c r="L1267" s="34"/>
    </row>
    <row r="1268">
      <c r="A1268" s="34"/>
      <c r="J1268" s="24"/>
      <c r="L1268" s="34"/>
    </row>
    <row r="1269">
      <c r="A1269" s="34"/>
      <c r="J1269" s="24"/>
      <c r="L1269" s="34"/>
    </row>
    <row r="1270">
      <c r="A1270" s="34"/>
      <c r="J1270" s="24"/>
      <c r="L1270" s="34"/>
    </row>
    <row r="1271">
      <c r="A1271" s="34"/>
      <c r="J1271" s="24"/>
      <c r="L1271" s="34"/>
    </row>
    <row r="1272">
      <c r="A1272" s="34"/>
      <c r="J1272" s="24"/>
      <c r="L1272" s="34"/>
    </row>
    <row r="1273">
      <c r="A1273" s="34"/>
      <c r="J1273" s="24"/>
      <c r="L1273" s="34"/>
    </row>
    <row r="1274">
      <c r="A1274" s="34"/>
      <c r="J1274" s="24"/>
      <c r="L1274" s="34"/>
    </row>
    <row r="1275">
      <c r="A1275" s="34"/>
      <c r="J1275" s="24"/>
      <c r="L1275" s="34"/>
    </row>
    <row r="1276">
      <c r="A1276" s="34"/>
      <c r="J1276" s="24"/>
      <c r="L1276" s="34"/>
    </row>
    <row r="1277">
      <c r="A1277" s="34"/>
      <c r="J1277" s="24"/>
      <c r="L1277" s="34"/>
    </row>
    <row r="1278">
      <c r="A1278" s="34"/>
      <c r="J1278" s="24"/>
      <c r="L1278" s="34"/>
    </row>
    <row r="1279">
      <c r="A1279" s="34"/>
      <c r="J1279" s="24"/>
      <c r="L1279" s="34"/>
    </row>
    <row r="1280">
      <c r="A1280" s="34"/>
      <c r="J1280" s="24"/>
      <c r="L1280" s="34"/>
    </row>
    <row r="1281">
      <c r="A1281" s="34"/>
      <c r="J1281" s="24"/>
      <c r="L1281" s="34"/>
    </row>
    <row r="1282">
      <c r="A1282" s="34"/>
      <c r="J1282" s="24"/>
      <c r="L1282" s="34"/>
    </row>
    <row r="1283">
      <c r="A1283" s="34"/>
      <c r="J1283" s="24"/>
      <c r="L1283" s="34"/>
    </row>
    <row r="1284">
      <c r="A1284" s="34"/>
      <c r="J1284" s="24"/>
      <c r="L1284" s="34"/>
    </row>
    <row r="1285">
      <c r="A1285" s="34"/>
      <c r="J1285" s="24"/>
      <c r="L1285" s="34"/>
    </row>
    <row r="1286">
      <c r="A1286" s="34"/>
      <c r="J1286" s="24"/>
      <c r="L1286" s="34"/>
    </row>
    <row r="1287">
      <c r="A1287" s="34"/>
      <c r="J1287" s="24"/>
      <c r="L1287" s="34"/>
    </row>
    <row r="1288">
      <c r="A1288" s="34"/>
      <c r="J1288" s="24"/>
      <c r="L1288" s="34"/>
    </row>
    <row r="1289">
      <c r="A1289" s="34"/>
      <c r="J1289" s="24"/>
      <c r="L1289" s="34"/>
    </row>
    <row r="1290">
      <c r="A1290" s="34"/>
      <c r="J1290" s="24"/>
      <c r="L1290" s="34"/>
    </row>
    <row r="1291">
      <c r="A1291" s="34"/>
      <c r="J1291" s="24"/>
      <c r="L1291" s="34"/>
    </row>
    <row r="1292">
      <c r="A1292" s="34"/>
      <c r="J1292" s="24"/>
      <c r="L1292" s="34"/>
    </row>
    <row r="1293">
      <c r="A1293" s="34"/>
      <c r="J1293" s="24"/>
      <c r="L1293" s="34"/>
    </row>
    <row r="1294">
      <c r="A1294" s="34"/>
      <c r="J1294" s="24"/>
      <c r="L1294" s="34"/>
    </row>
    <row r="1295">
      <c r="A1295" s="34"/>
      <c r="J1295" s="24"/>
      <c r="L1295" s="34"/>
    </row>
    <row r="1296">
      <c r="A1296" s="34"/>
      <c r="J1296" s="24"/>
      <c r="L1296" s="34"/>
    </row>
    <row r="1297">
      <c r="A1297" s="34"/>
      <c r="J1297" s="24"/>
      <c r="L1297" s="34"/>
    </row>
    <row r="1298">
      <c r="A1298" s="34"/>
      <c r="J1298" s="24"/>
      <c r="L1298" s="34"/>
    </row>
    <row r="1299">
      <c r="A1299" s="34"/>
      <c r="J1299" s="24"/>
      <c r="L1299" s="34"/>
    </row>
    <row r="1300">
      <c r="A1300" s="34"/>
      <c r="J1300" s="24"/>
      <c r="L1300" s="34"/>
    </row>
    <row r="1301">
      <c r="A1301" s="34"/>
      <c r="J1301" s="24"/>
      <c r="L1301" s="34"/>
    </row>
    <row r="1302">
      <c r="A1302" s="34"/>
      <c r="J1302" s="24"/>
      <c r="L1302" s="34"/>
    </row>
    <row r="1303">
      <c r="A1303" s="34"/>
      <c r="J1303" s="24"/>
      <c r="L1303" s="34"/>
    </row>
    <row r="1304">
      <c r="A1304" s="34"/>
      <c r="J1304" s="24"/>
      <c r="L1304" s="34"/>
    </row>
    <row r="1305">
      <c r="A1305" s="34"/>
      <c r="J1305" s="24"/>
      <c r="L1305" s="34"/>
    </row>
    <row r="1306">
      <c r="A1306" s="34"/>
      <c r="J1306" s="24"/>
      <c r="L1306" s="34"/>
    </row>
    <row r="1307">
      <c r="A1307" s="34"/>
      <c r="J1307" s="24"/>
      <c r="L1307" s="34"/>
    </row>
    <row r="1308">
      <c r="A1308" s="34"/>
      <c r="J1308" s="24"/>
      <c r="L1308" s="34"/>
    </row>
    <row r="1309">
      <c r="A1309" s="34"/>
      <c r="J1309" s="24"/>
      <c r="L1309" s="34"/>
    </row>
    <row r="1310">
      <c r="A1310" s="34"/>
      <c r="J1310" s="24"/>
      <c r="L1310" s="34"/>
    </row>
    <row r="1311">
      <c r="A1311" s="34"/>
      <c r="J1311" s="24"/>
      <c r="L1311" s="34"/>
    </row>
    <row r="1312">
      <c r="A1312" s="34"/>
      <c r="J1312" s="24"/>
      <c r="L1312" s="34"/>
    </row>
    <row r="1313">
      <c r="A1313" s="34"/>
      <c r="J1313" s="24"/>
      <c r="L1313" s="34"/>
    </row>
    <row r="1314">
      <c r="A1314" s="34"/>
      <c r="J1314" s="24"/>
      <c r="L1314" s="34"/>
    </row>
    <row r="1315">
      <c r="A1315" s="34"/>
      <c r="J1315" s="24"/>
      <c r="L1315" s="34"/>
    </row>
    <row r="1316">
      <c r="A1316" s="34"/>
      <c r="J1316" s="24"/>
      <c r="L1316" s="34"/>
    </row>
    <row r="1317">
      <c r="A1317" s="34"/>
      <c r="J1317" s="24"/>
      <c r="L1317" s="34"/>
    </row>
    <row r="1318">
      <c r="A1318" s="34"/>
      <c r="J1318" s="24"/>
      <c r="L1318" s="34"/>
    </row>
    <row r="1319">
      <c r="A1319" s="34"/>
      <c r="J1319" s="24"/>
      <c r="L1319" s="34"/>
    </row>
    <row r="1320">
      <c r="A1320" s="34"/>
      <c r="J1320" s="24"/>
      <c r="L1320" s="34"/>
    </row>
    <row r="1321">
      <c r="A1321" s="34"/>
      <c r="J1321" s="24"/>
      <c r="L1321" s="34"/>
    </row>
    <row r="1322">
      <c r="A1322" s="34"/>
      <c r="J1322" s="24"/>
      <c r="L1322" s="34"/>
    </row>
    <row r="1323">
      <c r="A1323" s="34"/>
      <c r="J1323" s="24"/>
      <c r="L1323" s="34"/>
    </row>
    <row r="1324">
      <c r="A1324" s="34"/>
      <c r="J1324" s="24"/>
      <c r="L1324" s="34"/>
    </row>
    <row r="1325">
      <c r="A1325" s="34"/>
      <c r="J1325" s="24"/>
      <c r="L1325" s="34"/>
    </row>
    <row r="1326">
      <c r="A1326" s="34"/>
      <c r="J1326" s="24"/>
      <c r="L1326" s="34"/>
    </row>
    <row r="1327">
      <c r="A1327" s="34"/>
      <c r="J1327" s="24"/>
      <c r="L1327" s="34"/>
    </row>
    <row r="1328">
      <c r="A1328" s="34"/>
      <c r="J1328" s="24"/>
      <c r="L1328" s="34"/>
    </row>
    <row r="1329">
      <c r="A1329" s="34"/>
      <c r="J1329" s="24"/>
      <c r="L1329" s="34"/>
    </row>
    <row r="1330">
      <c r="A1330" s="34"/>
      <c r="J1330" s="24"/>
      <c r="L1330" s="34"/>
    </row>
    <row r="1331">
      <c r="A1331" s="34"/>
      <c r="J1331" s="24"/>
      <c r="L1331" s="34"/>
    </row>
    <row r="1332">
      <c r="A1332" s="34"/>
      <c r="J1332" s="24"/>
      <c r="L1332" s="34"/>
    </row>
    <row r="1333">
      <c r="A1333" s="34"/>
      <c r="J1333" s="24"/>
      <c r="L1333" s="34"/>
    </row>
    <row r="1334">
      <c r="A1334" s="34"/>
      <c r="J1334" s="24"/>
      <c r="L1334" s="34"/>
    </row>
    <row r="1335">
      <c r="A1335" s="34"/>
      <c r="J1335" s="24"/>
      <c r="L1335" s="34"/>
    </row>
    <row r="1336">
      <c r="A1336" s="34"/>
      <c r="J1336" s="24"/>
      <c r="L1336" s="34"/>
    </row>
    <row r="1337">
      <c r="A1337" s="34"/>
      <c r="J1337" s="24"/>
      <c r="L1337" s="34"/>
    </row>
    <row r="1338">
      <c r="A1338" s="34"/>
      <c r="J1338" s="24"/>
      <c r="L1338" s="34"/>
    </row>
    <row r="1339">
      <c r="A1339" s="34"/>
      <c r="J1339" s="24"/>
      <c r="L1339" s="34"/>
    </row>
    <row r="1340">
      <c r="A1340" s="34"/>
      <c r="J1340" s="24"/>
      <c r="L1340" s="34"/>
    </row>
    <row r="1341">
      <c r="A1341" s="34"/>
      <c r="J1341" s="24"/>
      <c r="L1341" s="34"/>
    </row>
    <row r="1342">
      <c r="A1342" s="34"/>
      <c r="J1342" s="24"/>
      <c r="L1342" s="34"/>
    </row>
    <row r="1343">
      <c r="A1343" s="34"/>
      <c r="J1343" s="24"/>
      <c r="L1343" s="34"/>
    </row>
    <row r="1344">
      <c r="A1344" s="34"/>
      <c r="J1344" s="24"/>
      <c r="L1344" s="34"/>
    </row>
    <row r="1345">
      <c r="A1345" s="34"/>
      <c r="J1345" s="24"/>
      <c r="L1345" s="34"/>
    </row>
    <row r="1346">
      <c r="A1346" s="34"/>
      <c r="J1346" s="24"/>
      <c r="L1346" s="34"/>
    </row>
    <row r="1347">
      <c r="A1347" s="34"/>
      <c r="J1347" s="24"/>
      <c r="L1347" s="34"/>
    </row>
    <row r="1348">
      <c r="A1348" s="34"/>
      <c r="J1348" s="24"/>
      <c r="L1348" s="34"/>
    </row>
    <row r="1349">
      <c r="A1349" s="34"/>
      <c r="J1349" s="24"/>
      <c r="L1349" s="34"/>
    </row>
    <row r="1350">
      <c r="A1350" s="34"/>
      <c r="J1350" s="24"/>
      <c r="L1350" s="34"/>
    </row>
    <row r="1351">
      <c r="A1351" s="34"/>
      <c r="J1351" s="24"/>
      <c r="L1351" s="34"/>
    </row>
    <row r="1352">
      <c r="A1352" s="34"/>
      <c r="J1352" s="24"/>
      <c r="L1352" s="34"/>
    </row>
    <row r="1353">
      <c r="A1353" s="34"/>
      <c r="J1353" s="24"/>
      <c r="L1353" s="34"/>
    </row>
    <row r="1354">
      <c r="A1354" s="34"/>
      <c r="J1354" s="24"/>
      <c r="L1354" s="34"/>
    </row>
    <row r="1355">
      <c r="A1355" s="34"/>
      <c r="J1355" s="24"/>
      <c r="L1355" s="34"/>
    </row>
    <row r="1356">
      <c r="A1356" s="34"/>
      <c r="J1356" s="24"/>
      <c r="L1356" s="34"/>
    </row>
    <row r="1357">
      <c r="A1357" s="34"/>
      <c r="J1357" s="24"/>
      <c r="L1357" s="34"/>
    </row>
    <row r="1358">
      <c r="A1358" s="34"/>
      <c r="J1358" s="24"/>
      <c r="L1358" s="34"/>
    </row>
    <row r="1359">
      <c r="A1359" s="34"/>
      <c r="J1359" s="24"/>
      <c r="L1359" s="34"/>
    </row>
    <row r="1360">
      <c r="A1360" s="34"/>
      <c r="J1360" s="24"/>
      <c r="L1360" s="34"/>
    </row>
    <row r="1361">
      <c r="A1361" s="34"/>
      <c r="J1361" s="24"/>
      <c r="L1361" s="34"/>
    </row>
    <row r="1362">
      <c r="A1362" s="34"/>
      <c r="J1362" s="24"/>
      <c r="L1362" s="34"/>
    </row>
    <row r="1363">
      <c r="A1363" s="34"/>
      <c r="J1363" s="24"/>
      <c r="L1363" s="34"/>
    </row>
    <row r="1364">
      <c r="A1364" s="34"/>
      <c r="J1364" s="24"/>
      <c r="L1364" s="34"/>
    </row>
    <row r="1365">
      <c r="A1365" s="34"/>
      <c r="J1365" s="24"/>
      <c r="L1365" s="34"/>
    </row>
    <row r="1366">
      <c r="A1366" s="34"/>
      <c r="J1366" s="24"/>
      <c r="L1366" s="34"/>
    </row>
    <row r="1367">
      <c r="A1367" s="34"/>
      <c r="J1367" s="24"/>
      <c r="L1367" s="34"/>
    </row>
    <row r="1368">
      <c r="A1368" s="34"/>
      <c r="J1368" s="24"/>
      <c r="L1368" s="34"/>
    </row>
    <row r="1369">
      <c r="A1369" s="34"/>
      <c r="J1369" s="24"/>
      <c r="L1369" s="34"/>
    </row>
    <row r="1370">
      <c r="A1370" s="34"/>
      <c r="J1370" s="24"/>
      <c r="L1370" s="34"/>
    </row>
    <row r="1371">
      <c r="A1371" s="34"/>
      <c r="J1371" s="24"/>
      <c r="L1371" s="34"/>
    </row>
    <row r="1372">
      <c r="A1372" s="34"/>
      <c r="J1372" s="24"/>
      <c r="L1372" s="34"/>
    </row>
    <row r="1373">
      <c r="A1373" s="34"/>
      <c r="J1373" s="24"/>
      <c r="L1373" s="34"/>
    </row>
    <row r="1374">
      <c r="A1374" s="34"/>
      <c r="J1374" s="24"/>
      <c r="L1374" s="34"/>
    </row>
    <row r="1375">
      <c r="A1375" s="34"/>
      <c r="J1375" s="24"/>
      <c r="L1375" s="34"/>
    </row>
    <row r="1376">
      <c r="A1376" s="34"/>
      <c r="J1376" s="24"/>
      <c r="L1376" s="34"/>
    </row>
    <row r="1377">
      <c r="A1377" s="34"/>
      <c r="J1377" s="24"/>
      <c r="L1377" s="34"/>
    </row>
    <row r="1378">
      <c r="A1378" s="34"/>
      <c r="J1378" s="24"/>
      <c r="L1378" s="34"/>
    </row>
    <row r="1379">
      <c r="A1379" s="34"/>
      <c r="J1379" s="24"/>
      <c r="L1379" s="34"/>
    </row>
    <row r="1380">
      <c r="A1380" s="34"/>
      <c r="J1380" s="24"/>
      <c r="L1380" s="34"/>
    </row>
    <row r="1381">
      <c r="A1381" s="34"/>
      <c r="J1381" s="24"/>
      <c r="L1381" s="34"/>
    </row>
    <row r="1382">
      <c r="A1382" s="34"/>
      <c r="J1382" s="24"/>
      <c r="L1382" s="34"/>
    </row>
    <row r="1383">
      <c r="A1383" s="34"/>
      <c r="J1383" s="24"/>
      <c r="L1383" s="34"/>
    </row>
    <row r="1384">
      <c r="A1384" s="34"/>
      <c r="J1384" s="24"/>
      <c r="L1384" s="34"/>
    </row>
    <row r="1385">
      <c r="A1385" s="34"/>
      <c r="J1385" s="24"/>
      <c r="L1385" s="34"/>
    </row>
    <row r="1386">
      <c r="A1386" s="34"/>
      <c r="J1386" s="24"/>
      <c r="L1386" s="34"/>
    </row>
    <row r="1387">
      <c r="A1387" s="34"/>
      <c r="J1387" s="24"/>
      <c r="L1387" s="34"/>
    </row>
    <row r="1388">
      <c r="A1388" s="34"/>
      <c r="J1388" s="24"/>
      <c r="L1388" s="34"/>
    </row>
    <row r="1389">
      <c r="A1389" s="34"/>
      <c r="J1389" s="24"/>
      <c r="L1389" s="34"/>
    </row>
    <row r="1390">
      <c r="A1390" s="34"/>
      <c r="J1390" s="24"/>
      <c r="L1390" s="34"/>
    </row>
    <row r="1391">
      <c r="A1391" s="34"/>
      <c r="J1391" s="24"/>
      <c r="L1391" s="34"/>
    </row>
    <row r="1392">
      <c r="A1392" s="34"/>
      <c r="J1392" s="24"/>
      <c r="L1392" s="34"/>
    </row>
    <row r="1393">
      <c r="A1393" s="34"/>
      <c r="J1393" s="24"/>
      <c r="L1393" s="34"/>
    </row>
    <row r="1394">
      <c r="A1394" s="34"/>
      <c r="J1394" s="24"/>
      <c r="L1394" s="34"/>
    </row>
    <row r="1395">
      <c r="A1395" s="34"/>
      <c r="J1395" s="24"/>
      <c r="L1395" s="34"/>
    </row>
    <row r="1396">
      <c r="A1396" s="34"/>
      <c r="J1396" s="24"/>
      <c r="L1396" s="34"/>
    </row>
    <row r="1397">
      <c r="A1397" s="34"/>
      <c r="J1397" s="24"/>
      <c r="L1397" s="34"/>
    </row>
    <row r="1398">
      <c r="A1398" s="34"/>
      <c r="J1398" s="24"/>
      <c r="L1398" s="34"/>
    </row>
    <row r="1399">
      <c r="A1399" s="34"/>
      <c r="J1399" s="24"/>
      <c r="L1399" s="34"/>
    </row>
    <row r="1400">
      <c r="A1400" s="34"/>
      <c r="J1400" s="24"/>
      <c r="L1400" s="34"/>
    </row>
    <row r="1401">
      <c r="A1401" s="34"/>
      <c r="J1401" s="24"/>
      <c r="L1401" s="34"/>
    </row>
    <row r="1402">
      <c r="A1402" s="34"/>
      <c r="J1402" s="24"/>
      <c r="L1402" s="34"/>
    </row>
    <row r="1403">
      <c r="A1403" s="34"/>
      <c r="J1403" s="24"/>
      <c r="L1403" s="34"/>
    </row>
    <row r="1404">
      <c r="A1404" s="34"/>
      <c r="J1404" s="24"/>
      <c r="L1404" s="34"/>
    </row>
    <row r="1405">
      <c r="A1405" s="34"/>
      <c r="J1405" s="24"/>
      <c r="L1405" s="34"/>
    </row>
    <row r="1406">
      <c r="A1406" s="34"/>
      <c r="J1406" s="24"/>
      <c r="L1406" s="34"/>
    </row>
    <row r="1407">
      <c r="A1407" s="34"/>
      <c r="J1407" s="24"/>
      <c r="L1407" s="34"/>
    </row>
    <row r="1408">
      <c r="A1408" s="34"/>
      <c r="J1408" s="24"/>
      <c r="L1408" s="34"/>
    </row>
    <row r="1409">
      <c r="A1409" s="34"/>
      <c r="J1409" s="24"/>
      <c r="L1409" s="34"/>
    </row>
    <row r="1410">
      <c r="A1410" s="34"/>
      <c r="J1410" s="24"/>
      <c r="L1410" s="34"/>
    </row>
    <row r="1411">
      <c r="A1411" s="34"/>
      <c r="J1411" s="24"/>
      <c r="L1411" s="34"/>
    </row>
    <row r="1412">
      <c r="A1412" s="34"/>
      <c r="J1412" s="24"/>
      <c r="L1412" s="34"/>
    </row>
    <row r="1413">
      <c r="A1413" s="34"/>
      <c r="J1413" s="24"/>
      <c r="L1413" s="34"/>
    </row>
    <row r="1414">
      <c r="A1414" s="34"/>
      <c r="J1414" s="24"/>
      <c r="L1414" s="34"/>
    </row>
    <row r="1415">
      <c r="A1415" s="34"/>
      <c r="J1415" s="24"/>
      <c r="L1415" s="34"/>
    </row>
    <row r="1416">
      <c r="A1416" s="34"/>
      <c r="J1416" s="24"/>
      <c r="L1416" s="34"/>
    </row>
    <row r="1417">
      <c r="A1417" s="34"/>
      <c r="J1417" s="24"/>
      <c r="L1417" s="34"/>
    </row>
    <row r="1418">
      <c r="A1418" s="34"/>
      <c r="J1418" s="24"/>
      <c r="L1418" s="34"/>
    </row>
    <row r="1419">
      <c r="A1419" s="34"/>
      <c r="J1419" s="24"/>
      <c r="L1419" s="34"/>
    </row>
    <row r="1420">
      <c r="A1420" s="34"/>
      <c r="J1420" s="24"/>
      <c r="L1420" s="34"/>
    </row>
    <row r="1421">
      <c r="A1421" s="34"/>
      <c r="J1421" s="24"/>
      <c r="L1421" s="34"/>
    </row>
    <row r="1422">
      <c r="A1422" s="34"/>
      <c r="J1422" s="24"/>
      <c r="L1422" s="34"/>
    </row>
    <row r="1423">
      <c r="A1423" s="34"/>
      <c r="J1423" s="24"/>
      <c r="L1423" s="34"/>
    </row>
    <row r="1424">
      <c r="A1424" s="34"/>
      <c r="J1424" s="24"/>
      <c r="L1424" s="34"/>
    </row>
    <row r="1425">
      <c r="A1425" s="34"/>
      <c r="J1425" s="24"/>
      <c r="L1425" s="34"/>
    </row>
    <row r="1426">
      <c r="A1426" s="34"/>
      <c r="J1426" s="24"/>
      <c r="L1426" s="34"/>
    </row>
    <row r="1427">
      <c r="A1427" s="34"/>
      <c r="J1427" s="24"/>
      <c r="L1427" s="34"/>
    </row>
    <row r="1428">
      <c r="A1428" s="34"/>
      <c r="J1428" s="24"/>
      <c r="L1428" s="34"/>
    </row>
    <row r="1429">
      <c r="A1429" s="34"/>
      <c r="J1429" s="24"/>
      <c r="L1429" s="34"/>
    </row>
    <row r="1430">
      <c r="A1430" s="34"/>
      <c r="J1430" s="24"/>
      <c r="L1430" s="34"/>
    </row>
    <row r="1431">
      <c r="A1431" s="34"/>
      <c r="J1431" s="24"/>
      <c r="L1431" s="34"/>
    </row>
    <row r="1432">
      <c r="A1432" s="34"/>
      <c r="J1432" s="24"/>
      <c r="L1432" s="34"/>
    </row>
    <row r="1433">
      <c r="A1433" s="34"/>
      <c r="J1433" s="24"/>
      <c r="L1433" s="34"/>
    </row>
    <row r="1434">
      <c r="A1434" s="34"/>
      <c r="J1434" s="24"/>
      <c r="L1434" s="34"/>
    </row>
    <row r="1435">
      <c r="A1435" s="34"/>
      <c r="J1435" s="24"/>
      <c r="L1435" s="34"/>
    </row>
    <row r="1436">
      <c r="A1436" s="34"/>
      <c r="J1436" s="24"/>
      <c r="L1436" s="34"/>
    </row>
    <row r="1437">
      <c r="A1437" s="34"/>
      <c r="J1437" s="24"/>
      <c r="L1437" s="34"/>
    </row>
    <row r="1438">
      <c r="A1438" s="34"/>
      <c r="J1438" s="24"/>
      <c r="L1438" s="34"/>
    </row>
    <row r="1439">
      <c r="A1439" s="34"/>
      <c r="J1439" s="24"/>
      <c r="L1439" s="34"/>
    </row>
    <row r="1440">
      <c r="A1440" s="34"/>
      <c r="J1440" s="24"/>
      <c r="L1440" s="34"/>
    </row>
    <row r="1441">
      <c r="A1441" s="34"/>
      <c r="J1441" s="24"/>
      <c r="L1441" s="34"/>
    </row>
    <row r="1442">
      <c r="A1442" s="34"/>
      <c r="J1442" s="24"/>
      <c r="L1442" s="34"/>
    </row>
    <row r="1443">
      <c r="A1443" s="34"/>
      <c r="J1443" s="24"/>
      <c r="L1443" s="34"/>
    </row>
    <row r="1444">
      <c r="A1444" s="34"/>
      <c r="J1444" s="24"/>
      <c r="L1444" s="34"/>
    </row>
    <row r="1445">
      <c r="A1445" s="34"/>
      <c r="J1445" s="24"/>
      <c r="L1445" s="34"/>
    </row>
    <row r="1446">
      <c r="A1446" s="34"/>
      <c r="J1446" s="24"/>
      <c r="L1446" s="34"/>
    </row>
    <row r="1447">
      <c r="A1447" s="34"/>
      <c r="J1447" s="24"/>
      <c r="L1447" s="34"/>
    </row>
    <row r="1448">
      <c r="A1448" s="34"/>
      <c r="J1448" s="24"/>
      <c r="L1448" s="34"/>
    </row>
    <row r="1449">
      <c r="A1449" s="34"/>
      <c r="J1449" s="24"/>
      <c r="L1449" s="34"/>
    </row>
    <row r="1450">
      <c r="A1450" s="34"/>
      <c r="J1450" s="24"/>
      <c r="L1450" s="34"/>
    </row>
    <row r="1451">
      <c r="A1451" s="34"/>
      <c r="J1451" s="24"/>
      <c r="L1451" s="34"/>
    </row>
    <row r="1452">
      <c r="A1452" s="34"/>
      <c r="J1452" s="24"/>
      <c r="L1452" s="34"/>
    </row>
    <row r="1453">
      <c r="A1453" s="34"/>
      <c r="J1453" s="24"/>
      <c r="L1453" s="34"/>
    </row>
    <row r="1454">
      <c r="A1454" s="34"/>
      <c r="J1454" s="24"/>
      <c r="L1454" s="34"/>
    </row>
    <row r="1455">
      <c r="A1455" s="34"/>
      <c r="J1455" s="24"/>
      <c r="L1455" s="34"/>
    </row>
    <row r="1456">
      <c r="A1456" s="34"/>
      <c r="J1456" s="24"/>
      <c r="L1456" s="34"/>
    </row>
    <row r="1457">
      <c r="A1457" s="34"/>
      <c r="J1457" s="24"/>
      <c r="L1457" s="34"/>
    </row>
    <row r="1458">
      <c r="A1458" s="34"/>
      <c r="J1458" s="24"/>
      <c r="L1458" s="34"/>
    </row>
    <row r="1459">
      <c r="A1459" s="34"/>
      <c r="J1459" s="24"/>
      <c r="L1459" s="34"/>
    </row>
    <row r="1460">
      <c r="A1460" s="34"/>
      <c r="J1460" s="24"/>
      <c r="L1460" s="34"/>
    </row>
    <row r="1461">
      <c r="A1461" s="34"/>
      <c r="J1461" s="24"/>
      <c r="L1461" s="34"/>
    </row>
    <row r="1462">
      <c r="A1462" s="34"/>
      <c r="J1462" s="24"/>
      <c r="L1462" s="34"/>
    </row>
    <row r="1463">
      <c r="A1463" s="34"/>
      <c r="J1463" s="24"/>
      <c r="L1463" s="34"/>
    </row>
    <row r="1464">
      <c r="A1464" s="34"/>
      <c r="J1464" s="24"/>
      <c r="L1464" s="34"/>
    </row>
    <row r="1465">
      <c r="A1465" s="34"/>
      <c r="J1465" s="24"/>
      <c r="L1465" s="34"/>
    </row>
    <row r="1466">
      <c r="A1466" s="34"/>
      <c r="J1466" s="24"/>
      <c r="L1466" s="34"/>
    </row>
    <row r="1467">
      <c r="A1467" s="34"/>
      <c r="J1467" s="24"/>
      <c r="L1467" s="34"/>
    </row>
    <row r="1468">
      <c r="A1468" s="34"/>
      <c r="J1468" s="24"/>
      <c r="L1468" s="34"/>
    </row>
    <row r="1469">
      <c r="A1469" s="34"/>
      <c r="J1469" s="24"/>
      <c r="L1469" s="34"/>
    </row>
    <row r="1470">
      <c r="A1470" s="34"/>
      <c r="J1470" s="24"/>
      <c r="L1470" s="34"/>
    </row>
    <row r="1471">
      <c r="A1471" s="34"/>
      <c r="J1471" s="24"/>
      <c r="L1471" s="34"/>
    </row>
    <row r="1472">
      <c r="A1472" s="34"/>
      <c r="J1472" s="24"/>
      <c r="L1472" s="34"/>
    </row>
    <row r="1473">
      <c r="A1473" s="34"/>
      <c r="J1473" s="24"/>
      <c r="L1473" s="34"/>
    </row>
    <row r="1474">
      <c r="A1474" s="34"/>
      <c r="J1474" s="24"/>
      <c r="L1474" s="34"/>
    </row>
    <row r="1475">
      <c r="A1475" s="34"/>
      <c r="J1475" s="24"/>
      <c r="L1475" s="34"/>
    </row>
    <row r="1476">
      <c r="A1476" s="34"/>
      <c r="J1476" s="24"/>
      <c r="L1476" s="34"/>
    </row>
    <row r="1477">
      <c r="A1477" s="34"/>
      <c r="J1477" s="24"/>
      <c r="L1477" s="34"/>
    </row>
    <row r="1478">
      <c r="A1478" s="34"/>
      <c r="J1478" s="24"/>
      <c r="L1478" s="34"/>
    </row>
    <row r="1479">
      <c r="A1479" s="34"/>
      <c r="J1479" s="24"/>
      <c r="L1479" s="34"/>
    </row>
    <row r="1480">
      <c r="A1480" s="34"/>
      <c r="J1480" s="24"/>
      <c r="L1480" s="34"/>
    </row>
    <row r="1481">
      <c r="A1481" s="34"/>
      <c r="J1481" s="24"/>
      <c r="L1481" s="34"/>
    </row>
    <row r="1482">
      <c r="A1482" s="34"/>
      <c r="J1482" s="24"/>
      <c r="L1482" s="34"/>
    </row>
    <row r="1483">
      <c r="A1483" s="34"/>
      <c r="J1483" s="24"/>
      <c r="L1483" s="34"/>
    </row>
    <row r="1484">
      <c r="A1484" s="34"/>
      <c r="J1484" s="24"/>
      <c r="L1484" s="34"/>
    </row>
    <row r="1485">
      <c r="A1485" s="34"/>
      <c r="J1485" s="24"/>
      <c r="L1485" s="34"/>
    </row>
    <row r="1486">
      <c r="A1486" s="34"/>
      <c r="J1486" s="24"/>
      <c r="L1486" s="34"/>
    </row>
    <row r="1487">
      <c r="A1487" s="34"/>
      <c r="J1487" s="24"/>
      <c r="L1487" s="34"/>
    </row>
    <row r="1488">
      <c r="A1488" s="34"/>
      <c r="J1488" s="24"/>
      <c r="L1488" s="34"/>
    </row>
    <row r="1489">
      <c r="A1489" s="34"/>
      <c r="J1489" s="24"/>
      <c r="L1489" s="34"/>
    </row>
    <row r="1490">
      <c r="A1490" s="34"/>
      <c r="J1490" s="24"/>
      <c r="L1490" s="34"/>
    </row>
    <row r="1491">
      <c r="A1491" s="34"/>
      <c r="J1491" s="24"/>
      <c r="L1491" s="34"/>
    </row>
    <row r="1492">
      <c r="A1492" s="34"/>
      <c r="J1492" s="24"/>
      <c r="L1492" s="34"/>
    </row>
    <row r="1493">
      <c r="A1493" s="34"/>
      <c r="J1493" s="24"/>
      <c r="L1493" s="34"/>
    </row>
    <row r="1494">
      <c r="A1494" s="34"/>
      <c r="J1494" s="24"/>
      <c r="L1494" s="34"/>
    </row>
    <row r="1495">
      <c r="A1495" s="34"/>
      <c r="J1495" s="24"/>
      <c r="L1495" s="34"/>
    </row>
    <row r="1496">
      <c r="A1496" s="34"/>
      <c r="J1496" s="24"/>
      <c r="L1496" s="34"/>
    </row>
    <row r="1497">
      <c r="A1497" s="34"/>
      <c r="J1497" s="24"/>
      <c r="L1497" s="34"/>
    </row>
    <row r="1498">
      <c r="A1498" s="34"/>
      <c r="J1498" s="24"/>
      <c r="L1498" s="34"/>
    </row>
    <row r="1499">
      <c r="A1499" s="34"/>
      <c r="J1499" s="24"/>
      <c r="L1499" s="34"/>
    </row>
    <row r="1500">
      <c r="A1500" s="34"/>
      <c r="J1500" s="24"/>
      <c r="L1500" s="34"/>
    </row>
    <row r="1501">
      <c r="A1501" s="34"/>
      <c r="J1501" s="24"/>
      <c r="L1501" s="34"/>
    </row>
    <row r="1502">
      <c r="A1502" s="34"/>
      <c r="J1502" s="24"/>
      <c r="L1502" s="34"/>
    </row>
    <row r="1503">
      <c r="A1503" s="34"/>
      <c r="J1503" s="24"/>
      <c r="L1503" s="34"/>
    </row>
    <row r="1504">
      <c r="A1504" s="34"/>
      <c r="J1504" s="24"/>
      <c r="L1504" s="34"/>
    </row>
    <row r="1505">
      <c r="A1505" s="34"/>
      <c r="J1505" s="24"/>
      <c r="L1505" s="34"/>
    </row>
    <row r="1506">
      <c r="A1506" s="34"/>
      <c r="J1506" s="24"/>
      <c r="L1506" s="34"/>
    </row>
    <row r="1507">
      <c r="A1507" s="34"/>
      <c r="J1507" s="24"/>
      <c r="L1507" s="34"/>
    </row>
    <row r="1508">
      <c r="A1508" s="34"/>
      <c r="J1508" s="24"/>
      <c r="L1508" s="34"/>
    </row>
    <row r="1509">
      <c r="A1509" s="34"/>
      <c r="J1509" s="24"/>
      <c r="L1509" s="34"/>
    </row>
    <row r="1510">
      <c r="A1510" s="34"/>
      <c r="J1510" s="24"/>
      <c r="L1510" s="34"/>
    </row>
    <row r="1511">
      <c r="A1511" s="34"/>
      <c r="J1511" s="24"/>
      <c r="L1511" s="34"/>
    </row>
    <row r="1512">
      <c r="A1512" s="34"/>
      <c r="J1512" s="24"/>
      <c r="L1512" s="34"/>
    </row>
    <row r="1513">
      <c r="A1513" s="34"/>
      <c r="J1513" s="24"/>
      <c r="L1513" s="34"/>
    </row>
    <row r="1514">
      <c r="A1514" s="34"/>
      <c r="J1514" s="24"/>
      <c r="L1514" s="34"/>
    </row>
    <row r="1515">
      <c r="A1515" s="34"/>
      <c r="J1515" s="24"/>
      <c r="L1515" s="34"/>
    </row>
    <row r="1516">
      <c r="A1516" s="34"/>
      <c r="J1516" s="24"/>
      <c r="L1516" s="34"/>
    </row>
    <row r="1517">
      <c r="A1517" s="34"/>
      <c r="J1517" s="24"/>
      <c r="L1517" s="34"/>
    </row>
    <row r="1518">
      <c r="A1518" s="34"/>
      <c r="J1518" s="24"/>
      <c r="L1518" s="34"/>
    </row>
    <row r="1519">
      <c r="A1519" s="34"/>
      <c r="J1519" s="24"/>
      <c r="L1519" s="34"/>
    </row>
    <row r="1520">
      <c r="A1520" s="34"/>
      <c r="J1520" s="24"/>
      <c r="L1520" s="34"/>
    </row>
    <row r="1521">
      <c r="A1521" s="34"/>
      <c r="J1521" s="24"/>
      <c r="L1521" s="34"/>
    </row>
    <row r="1522">
      <c r="A1522" s="34"/>
      <c r="J1522" s="24"/>
      <c r="L1522" s="34"/>
    </row>
    <row r="1523">
      <c r="A1523" s="34"/>
      <c r="J1523" s="24"/>
      <c r="L1523" s="34"/>
    </row>
    <row r="1524">
      <c r="A1524" s="34"/>
      <c r="J1524" s="24"/>
      <c r="L1524" s="34"/>
    </row>
    <row r="1525">
      <c r="A1525" s="34"/>
      <c r="J1525" s="24"/>
      <c r="L1525" s="34"/>
    </row>
    <row r="1526">
      <c r="A1526" s="34"/>
      <c r="J1526" s="24"/>
      <c r="L1526" s="34"/>
    </row>
    <row r="1527">
      <c r="A1527" s="34"/>
      <c r="J1527" s="24"/>
      <c r="L1527" s="34"/>
    </row>
    <row r="1528">
      <c r="A1528" s="34"/>
      <c r="J1528" s="24"/>
      <c r="L1528" s="34"/>
    </row>
    <row r="1529">
      <c r="A1529" s="34"/>
      <c r="J1529" s="24"/>
      <c r="L1529" s="34"/>
    </row>
    <row r="1530">
      <c r="A1530" s="34"/>
      <c r="J1530" s="24"/>
      <c r="L1530" s="34"/>
    </row>
    <row r="1531">
      <c r="A1531" s="34"/>
      <c r="J1531" s="24"/>
      <c r="L1531" s="34"/>
    </row>
    <row r="1532">
      <c r="A1532" s="34"/>
      <c r="J1532" s="24"/>
      <c r="L1532" s="34"/>
    </row>
    <row r="1533">
      <c r="A1533" s="34"/>
      <c r="J1533" s="24"/>
      <c r="L1533" s="34"/>
    </row>
    <row r="1534">
      <c r="A1534" s="34"/>
      <c r="J1534" s="24"/>
      <c r="L1534" s="34"/>
    </row>
    <row r="1535">
      <c r="A1535" s="34"/>
      <c r="J1535" s="24"/>
      <c r="L1535" s="34"/>
    </row>
    <row r="1536">
      <c r="A1536" s="34"/>
      <c r="J1536" s="24"/>
      <c r="L1536" s="34"/>
    </row>
    <row r="1537">
      <c r="A1537" s="34"/>
      <c r="J1537" s="24"/>
      <c r="L1537" s="34"/>
    </row>
    <row r="1538">
      <c r="A1538" s="34"/>
      <c r="J1538" s="24"/>
      <c r="L1538" s="34"/>
    </row>
    <row r="1539">
      <c r="A1539" s="34"/>
      <c r="J1539" s="24"/>
      <c r="L1539" s="34"/>
    </row>
    <row r="1540">
      <c r="A1540" s="34"/>
      <c r="J1540" s="24"/>
      <c r="L1540" s="34"/>
    </row>
    <row r="1541">
      <c r="A1541" s="34"/>
      <c r="J1541" s="24"/>
      <c r="L1541" s="34"/>
    </row>
    <row r="1542">
      <c r="A1542" s="34"/>
      <c r="J1542" s="24"/>
      <c r="L1542" s="34"/>
    </row>
    <row r="1543">
      <c r="A1543" s="34"/>
      <c r="J1543" s="24"/>
      <c r="L1543" s="34"/>
    </row>
    <row r="1544">
      <c r="A1544" s="34"/>
      <c r="J1544" s="24"/>
      <c r="L1544" s="34"/>
    </row>
    <row r="1545">
      <c r="A1545" s="34"/>
      <c r="J1545" s="24"/>
      <c r="L1545" s="34"/>
    </row>
    <row r="1546">
      <c r="A1546" s="34"/>
      <c r="J1546" s="24"/>
      <c r="L1546" s="34"/>
    </row>
    <row r="1547">
      <c r="A1547" s="34"/>
      <c r="J1547" s="24"/>
      <c r="L1547" s="34"/>
    </row>
    <row r="1548">
      <c r="A1548" s="34"/>
      <c r="J1548" s="24"/>
      <c r="L1548" s="34"/>
    </row>
    <row r="1549">
      <c r="A1549" s="34"/>
      <c r="J1549" s="24"/>
      <c r="L1549" s="34"/>
    </row>
    <row r="1550">
      <c r="A1550" s="34"/>
      <c r="J1550" s="24"/>
      <c r="L1550" s="34"/>
    </row>
    <row r="1551">
      <c r="A1551" s="34"/>
      <c r="J1551" s="24"/>
      <c r="L1551" s="34"/>
    </row>
    <row r="1552">
      <c r="A1552" s="34"/>
      <c r="J1552" s="24"/>
      <c r="L1552" s="34"/>
    </row>
    <row r="1553">
      <c r="A1553" s="34"/>
      <c r="J1553" s="24"/>
      <c r="L1553" s="34"/>
    </row>
    <row r="1554">
      <c r="A1554" s="34"/>
      <c r="J1554" s="24"/>
      <c r="L1554" s="34"/>
    </row>
    <row r="1555">
      <c r="A1555" s="34"/>
      <c r="J1555" s="24"/>
      <c r="L1555" s="34"/>
    </row>
    <row r="1556">
      <c r="A1556" s="34"/>
      <c r="J1556" s="24"/>
      <c r="L1556" s="34"/>
    </row>
    <row r="1557">
      <c r="A1557" s="34"/>
      <c r="J1557" s="24"/>
      <c r="L1557" s="34"/>
    </row>
    <row r="1558">
      <c r="A1558" s="34"/>
      <c r="J1558" s="24"/>
      <c r="L1558" s="34"/>
    </row>
    <row r="1559">
      <c r="A1559" s="34"/>
      <c r="J1559" s="24"/>
      <c r="L1559" s="34"/>
    </row>
    <row r="1560">
      <c r="A1560" s="34"/>
      <c r="J1560" s="24"/>
      <c r="L1560" s="34"/>
    </row>
    <row r="1561">
      <c r="A1561" s="34"/>
      <c r="J1561" s="24"/>
      <c r="L1561" s="34"/>
    </row>
    <row r="1562">
      <c r="A1562" s="34"/>
      <c r="J1562" s="24"/>
      <c r="L1562" s="34"/>
    </row>
    <row r="1563">
      <c r="A1563" s="34"/>
      <c r="J1563" s="24"/>
      <c r="L1563" s="34"/>
    </row>
    <row r="1564">
      <c r="A1564" s="34"/>
      <c r="J1564" s="24"/>
      <c r="L1564" s="34"/>
    </row>
    <row r="1565">
      <c r="A1565" s="34"/>
      <c r="J1565" s="24"/>
      <c r="L1565" s="34"/>
    </row>
    <row r="1566">
      <c r="A1566" s="34"/>
      <c r="J1566" s="24"/>
      <c r="L1566" s="34"/>
    </row>
    <row r="1567">
      <c r="A1567" s="34"/>
      <c r="J1567" s="24"/>
      <c r="L1567" s="34"/>
    </row>
    <row r="1568">
      <c r="A1568" s="34"/>
      <c r="J1568" s="24"/>
      <c r="L1568" s="34"/>
    </row>
    <row r="1569">
      <c r="A1569" s="34"/>
      <c r="J1569" s="24"/>
      <c r="L1569" s="34"/>
    </row>
    <row r="1570">
      <c r="A1570" s="34"/>
      <c r="J1570" s="24"/>
      <c r="L1570" s="34"/>
    </row>
    <row r="1571">
      <c r="A1571" s="34"/>
      <c r="J1571" s="24"/>
      <c r="L1571" s="34"/>
    </row>
    <row r="1572">
      <c r="A1572" s="34"/>
      <c r="J1572" s="24"/>
      <c r="L1572" s="34"/>
    </row>
    <row r="1573">
      <c r="A1573" s="34"/>
      <c r="J1573" s="24"/>
      <c r="L1573" s="34"/>
    </row>
    <row r="1574">
      <c r="A1574" s="34"/>
      <c r="J1574" s="24"/>
      <c r="L1574" s="34"/>
    </row>
    <row r="1575">
      <c r="A1575" s="34"/>
      <c r="J1575" s="24"/>
      <c r="L1575" s="34"/>
    </row>
    <row r="1576">
      <c r="A1576" s="34"/>
      <c r="J1576" s="24"/>
      <c r="L1576" s="34"/>
    </row>
    <row r="1577">
      <c r="A1577" s="34"/>
      <c r="J1577" s="24"/>
      <c r="L1577" s="34"/>
    </row>
    <row r="1578">
      <c r="A1578" s="34"/>
      <c r="J1578" s="24"/>
      <c r="L1578" s="34"/>
    </row>
    <row r="1579">
      <c r="A1579" s="34"/>
      <c r="J1579" s="24"/>
      <c r="L1579" s="34"/>
    </row>
    <row r="1580">
      <c r="A1580" s="34"/>
      <c r="J1580" s="24"/>
      <c r="L1580" s="34"/>
    </row>
    <row r="1581">
      <c r="A1581" s="34"/>
      <c r="J1581" s="24"/>
      <c r="L1581" s="34"/>
    </row>
    <row r="1582">
      <c r="A1582" s="34"/>
      <c r="J1582" s="24"/>
      <c r="L1582" s="34"/>
    </row>
    <row r="1583">
      <c r="A1583" s="34"/>
      <c r="J1583" s="24"/>
      <c r="L1583" s="34"/>
    </row>
    <row r="1584">
      <c r="A1584" s="34"/>
      <c r="J1584" s="24"/>
      <c r="L1584" s="34"/>
    </row>
    <row r="1585">
      <c r="A1585" s="34"/>
      <c r="J1585" s="24"/>
      <c r="L1585" s="34"/>
    </row>
    <row r="1586">
      <c r="A1586" s="34"/>
      <c r="J1586" s="24"/>
      <c r="L1586" s="34"/>
    </row>
    <row r="1587">
      <c r="A1587" s="34"/>
      <c r="J1587" s="24"/>
      <c r="L1587" s="34"/>
    </row>
    <row r="1588">
      <c r="A1588" s="34"/>
      <c r="J1588" s="24"/>
      <c r="L1588" s="34"/>
    </row>
    <row r="1589">
      <c r="A1589" s="34"/>
      <c r="J1589" s="24"/>
      <c r="L1589" s="34"/>
    </row>
    <row r="1590">
      <c r="A1590" s="34"/>
      <c r="J1590" s="24"/>
      <c r="L1590" s="34"/>
    </row>
    <row r="1591">
      <c r="A1591" s="34"/>
      <c r="J1591" s="24"/>
      <c r="L1591" s="34"/>
    </row>
    <row r="1592">
      <c r="A1592" s="34"/>
      <c r="J1592" s="24"/>
      <c r="L1592" s="34"/>
    </row>
    <row r="1593">
      <c r="A1593" s="34"/>
      <c r="J1593" s="24"/>
      <c r="L1593" s="34"/>
    </row>
    <row r="1594">
      <c r="A1594" s="34"/>
      <c r="J1594" s="24"/>
      <c r="L1594" s="34"/>
    </row>
    <row r="1595">
      <c r="A1595" s="34"/>
      <c r="J1595" s="24"/>
      <c r="L1595" s="34"/>
    </row>
    <row r="1596">
      <c r="A1596" s="34"/>
      <c r="J1596" s="24"/>
      <c r="L1596" s="34"/>
    </row>
    <row r="1597">
      <c r="A1597" s="34"/>
      <c r="J1597" s="24"/>
      <c r="L1597" s="34"/>
    </row>
    <row r="1598">
      <c r="A1598" s="34"/>
      <c r="J1598" s="24"/>
      <c r="L1598" s="34"/>
    </row>
    <row r="1599">
      <c r="A1599" s="34"/>
      <c r="J1599" s="24"/>
      <c r="L1599" s="34"/>
    </row>
    <row r="1600">
      <c r="A1600" s="34"/>
      <c r="J1600" s="24"/>
      <c r="L1600" s="34"/>
    </row>
    <row r="1601">
      <c r="A1601" s="34"/>
      <c r="J1601" s="24"/>
      <c r="L1601" s="34"/>
    </row>
    <row r="1602">
      <c r="A1602" s="34"/>
      <c r="J1602" s="24"/>
      <c r="L1602" s="34"/>
    </row>
    <row r="1603">
      <c r="A1603" s="34"/>
      <c r="J1603" s="24"/>
      <c r="L1603" s="34"/>
    </row>
    <row r="1604">
      <c r="A1604" s="34"/>
      <c r="J1604" s="24"/>
      <c r="L1604" s="34"/>
    </row>
    <row r="1605">
      <c r="A1605" s="34"/>
      <c r="J1605" s="24"/>
      <c r="L1605" s="34"/>
    </row>
    <row r="1606">
      <c r="A1606" s="34"/>
      <c r="J1606" s="24"/>
      <c r="L1606" s="34"/>
    </row>
    <row r="1607">
      <c r="A1607" s="34"/>
      <c r="J1607" s="24"/>
      <c r="L1607" s="34"/>
    </row>
    <row r="1608">
      <c r="A1608" s="34"/>
      <c r="J1608" s="24"/>
      <c r="L1608" s="34"/>
    </row>
    <row r="1609">
      <c r="A1609" s="34"/>
      <c r="J1609" s="24"/>
      <c r="L1609" s="34"/>
    </row>
    <row r="1610">
      <c r="A1610" s="34"/>
      <c r="J1610" s="24"/>
      <c r="L1610" s="34"/>
    </row>
    <row r="1611">
      <c r="A1611" s="34"/>
      <c r="J1611" s="24"/>
      <c r="L1611" s="34"/>
    </row>
    <row r="1612">
      <c r="A1612" s="34"/>
      <c r="J1612" s="24"/>
      <c r="L1612" s="34"/>
    </row>
    <row r="1613">
      <c r="A1613" s="34"/>
      <c r="J1613" s="24"/>
      <c r="L1613" s="34"/>
    </row>
    <row r="1614">
      <c r="A1614" s="34"/>
      <c r="J1614" s="24"/>
      <c r="L1614" s="34"/>
    </row>
    <row r="1615">
      <c r="A1615" s="34"/>
      <c r="J1615" s="24"/>
      <c r="L1615" s="34"/>
    </row>
    <row r="1616">
      <c r="A1616" s="34"/>
      <c r="J1616" s="24"/>
      <c r="L1616" s="34"/>
    </row>
    <row r="1617">
      <c r="A1617" s="34"/>
      <c r="J1617" s="24"/>
      <c r="L1617" s="34"/>
    </row>
    <row r="1618">
      <c r="A1618" s="34"/>
      <c r="J1618" s="24"/>
      <c r="L1618" s="34"/>
    </row>
    <row r="1619">
      <c r="A1619" s="34"/>
      <c r="J1619" s="24"/>
      <c r="L1619" s="34"/>
    </row>
    <row r="1620">
      <c r="A1620" s="34"/>
      <c r="J1620" s="24"/>
      <c r="L1620" s="34"/>
    </row>
    <row r="1621">
      <c r="A1621" s="34"/>
      <c r="J1621" s="24"/>
      <c r="L1621" s="34"/>
    </row>
    <row r="1622">
      <c r="A1622" s="34"/>
      <c r="J1622" s="24"/>
      <c r="L1622" s="34"/>
    </row>
    <row r="1623">
      <c r="A1623" s="34"/>
      <c r="J1623" s="24"/>
      <c r="L1623" s="34"/>
    </row>
    <row r="1624">
      <c r="A1624" s="34"/>
      <c r="J1624" s="24"/>
      <c r="L1624" s="34"/>
    </row>
    <row r="1625">
      <c r="A1625" s="34"/>
      <c r="J1625" s="24"/>
      <c r="L1625" s="34"/>
    </row>
    <row r="1626">
      <c r="A1626" s="34"/>
      <c r="J1626" s="24"/>
      <c r="L1626" s="34"/>
    </row>
    <row r="1627">
      <c r="A1627" s="34"/>
      <c r="J1627" s="24"/>
      <c r="L1627" s="34"/>
    </row>
    <row r="1628">
      <c r="A1628" s="34"/>
      <c r="J1628" s="24"/>
      <c r="L1628" s="34"/>
    </row>
    <row r="1629">
      <c r="A1629" s="34"/>
      <c r="J1629" s="24"/>
      <c r="L1629" s="34"/>
    </row>
    <row r="1630">
      <c r="A1630" s="34"/>
      <c r="J1630" s="24"/>
      <c r="L1630" s="34"/>
    </row>
    <row r="1631">
      <c r="A1631" s="34"/>
      <c r="J1631" s="24"/>
      <c r="L1631" s="34"/>
    </row>
    <row r="1632">
      <c r="A1632" s="34"/>
      <c r="J1632" s="24"/>
      <c r="L1632" s="34"/>
    </row>
    <row r="1633">
      <c r="A1633" s="34"/>
      <c r="J1633" s="24"/>
      <c r="L1633" s="34"/>
    </row>
    <row r="1634">
      <c r="A1634" s="34"/>
      <c r="J1634" s="24"/>
      <c r="L1634" s="34"/>
    </row>
    <row r="1635">
      <c r="A1635" s="34"/>
      <c r="J1635" s="24"/>
      <c r="L1635" s="34"/>
    </row>
    <row r="1636">
      <c r="A1636" s="34"/>
      <c r="J1636" s="24"/>
      <c r="L1636" s="34"/>
    </row>
    <row r="1637">
      <c r="A1637" s="34"/>
      <c r="J1637" s="24"/>
      <c r="L1637" s="34"/>
    </row>
    <row r="1638">
      <c r="A1638" s="34"/>
      <c r="J1638" s="24"/>
      <c r="L1638" s="34"/>
    </row>
    <row r="1639">
      <c r="A1639" s="34"/>
      <c r="J1639" s="24"/>
      <c r="L1639" s="34"/>
    </row>
    <row r="1640">
      <c r="A1640" s="34"/>
      <c r="J1640" s="24"/>
      <c r="L1640" s="34"/>
    </row>
    <row r="1641">
      <c r="A1641" s="34"/>
      <c r="J1641" s="24"/>
      <c r="L1641" s="34"/>
    </row>
    <row r="1642">
      <c r="A1642" s="34"/>
      <c r="J1642" s="24"/>
      <c r="L1642" s="34"/>
    </row>
    <row r="1643">
      <c r="A1643" s="34"/>
      <c r="J1643" s="24"/>
      <c r="L1643" s="34"/>
    </row>
    <row r="1644">
      <c r="A1644" s="34"/>
      <c r="J1644" s="24"/>
      <c r="L1644" s="34"/>
    </row>
    <row r="1645">
      <c r="A1645" s="34"/>
      <c r="J1645" s="24"/>
      <c r="L1645" s="34"/>
    </row>
    <row r="1646">
      <c r="A1646" s="34"/>
      <c r="J1646" s="24"/>
      <c r="L1646" s="34"/>
    </row>
    <row r="1647">
      <c r="A1647" s="34"/>
      <c r="J1647" s="24"/>
      <c r="L1647" s="34"/>
    </row>
    <row r="1648">
      <c r="A1648" s="34"/>
      <c r="J1648" s="24"/>
      <c r="L1648" s="34"/>
    </row>
    <row r="1649">
      <c r="A1649" s="34"/>
      <c r="J1649" s="24"/>
      <c r="L1649" s="34"/>
    </row>
    <row r="1650">
      <c r="A1650" s="34"/>
      <c r="J1650" s="24"/>
      <c r="L1650" s="34"/>
    </row>
    <row r="1651">
      <c r="A1651" s="34"/>
      <c r="J1651" s="24"/>
      <c r="L1651" s="34"/>
    </row>
    <row r="1652">
      <c r="A1652" s="34"/>
      <c r="J1652" s="24"/>
      <c r="L1652" s="34"/>
    </row>
    <row r="1653">
      <c r="A1653" s="34"/>
      <c r="J1653" s="24"/>
      <c r="L1653" s="34"/>
    </row>
    <row r="1654">
      <c r="A1654" s="34"/>
      <c r="J1654" s="24"/>
      <c r="L1654" s="34"/>
    </row>
    <row r="1655">
      <c r="A1655" s="34"/>
      <c r="J1655" s="24"/>
      <c r="L1655" s="34"/>
    </row>
    <row r="1656">
      <c r="A1656" s="34"/>
      <c r="J1656" s="24"/>
      <c r="L1656" s="34"/>
    </row>
    <row r="1657">
      <c r="A1657" s="34"/>
      <c r="J1657" s="24"/>
      <c r="L1657" s="34"/>
    </row>
    <row r="1658">
      <c r="A1658" s="34"/>
      <c r="J1658" s="24"/>
      <c r="L1658" s="34"/>
    </row>
    <row r="1659">
      <c r="A1659" s="34"/>
      <c r="J1659" s="24"/>
      <c r="L1659" s="34"/>
    </row>
    <row r="1660">
      <c r="A1660" s="34"/>
      <c r="J1660" s="24"/>
      <c r="L1660" s="34"/>
    </row>
    <row r="1661">
      <c r="A1661" s="34"/>
      <c r="J1661" s="24"/>
      <c r="L1661" s="34"/>
    </row>
    <row r="1662">
      <c r="A1662" s="34"/>
      <c r="J1662" s="24"/>
      <c r="L1662" s="34"/>
    </row>
    <row r="1663">
      <c r="A1663" s="34"/>
      <c r="J1663" s="24"/>
      <c r="L1663" s="34"/>
    </row>
    <row r="1664">
      <c r="A1664" s="34"/>
      <c r="J1664" s="24"/>
      <c r="L1664" s="34"/>
    </row>
    <row r="1665">
      <c r="A1665" s="34"/>
      <c r="J1665" s="24"/>
      <c r="L1665" s="34"/>
    </row>
    <row r="1666">
      <c r="A1666" s="34"/>
      <c r="J1666" s="24"/>
      <c r="L1666" s="34"/>
    </row>
    <row r="1667">
      <c r="A1667" s="34"/>
      <c r="J1667" s="24"/>
      <c r="L1667" s="34"/>
    </row>
    <row r="1668">
      <c r="A1668" s="34"/>
      <c r="J1668" s="24"/>
      <c r="L1668" s="34"/>
    </row>
    <row r="1669">
      <c r="A1669" s="34"/>
      <c r="J1669" s="24"/>
      <c r="L1669" s="34"/>
    </row>
    <row r="1670">
      <c r="A1670" s="34"/>
      <c r="J1670" s="24"/>
      <c r="L1670" s="34"/>
    </row>
    <row r="1671">
      <c r="A1671" s="34"/>
      <c r="J1671" s="24"/>
      <c r="L1671" s="34"/>
    </row>
    <row r="1672">
      <c r="A1672" s="34"/>
      <c r="J1672" s="24"/>
      <c r="L1672" s="34"/>
    </row>
    <row r="1673">
      <c r="A1673" s="34"/>
      <c r="J1673" s="24"/>
      <c r="L1673" s="34"/>
    </row>
    <row r="1674">
      <c r="A1674" s="34"/>
      <c r="J1674" s="24"/>
      <c r="L1674" s="34"/>
    </row>
    <row r="1675">
      <c r="A1675" s="34"/>
      <c r="J1675" s="24"/>
      <c r="L1675" s="34"/>
    </row>
    <row r="1676">
      <c r="A1676" s="34"/>
      <c r="J1676" s="24"/>
      <c r="L1676" s="34"/>
    </row>
    <row r="1677">
      <c r="A1677" s="34"/>
      <c r="J1677" s="24"/>
      <c r="L1677" s="34"/>
    </row>
    <row r="1678">
      <c r="A1678" s="34"/>
      <c r="J1678" s="24"/>
      <c r="L1678" s="34"/>
    </row>
    <row r="1679">
      <c r="A1679" s="34"/>
      <c r="J1679" s="24"/>
      <c r="L1679" s="34"/>
    </row>
    <row r="1680">
      <c r="A1680" s="34"/>
      <c r="J1680" s="24"/>
      <c r="L1680" s="34"/>
    </row>
    <row r="1681">
      <c r="A1681" s="34"/>
      <c r="J1681" s="24"/>
      <c r="L1681" s="34"/>
    </row>
    <row r="1682">
      <c r="A1682" s="34"/>
      <c r="J1682" s="24"/>
      <c r="L1682" s="34"/>
    </row>
    <row r="1683">
      <c r="A1683" s="34"/>
      <c r="J1683" s="24"/>
      <c r="L1683" s="34"/>
    </row>
    <row r="1684">
      <c r="A1684" s="34"/>
      <c r="J1684" s="24"/>
      <c r="L1684" s="34"/>
    </row>
    <row r="1685">
      <c r="A1685" s="34"/>
      <c r="J1685" s="24"/>
      <c r="L1685" s="34"/>
    </row>
    <row r="1686">
      <c r="A1686" s="34"/>
      <c r="J1686" s="24"/>
      <c r="L1686" s="34"/>
    </row>
    <row r="1687">
      <c r="A1687" s="34"/>
      <c r="J1687" s="24"/>
      <c r="L1687" s="34"/>
    </row>
    <row r="1688">
      <c r="A1688" s="34"/>
      <c r="J1688" s="24"/>
      <c r="L1688" s="34"/>
    </row>
    <row r="1689">
      <c r="A1689" s="34"/>
      <c r="J1689" s="24"/>
      <c r="L1689" s="34"/>
    </row>
    <row r="1690">
      <c r="A1690" s="34"/>
      <c r="J1690" s="24"/>
      <c r="L1690" s="34"/>
    </row>
    <row r="1691">
      <c r="A1691" s="34"/>
      <c r="J1691" s="24"/>
      <c r="L1691" s="34"/>
    </row>
    <row r="1692">
      <c r="A1692" s="34"/>
      <c r="J1692" s="24"/>
      <c r="L1692" s="34"/>
    </row>
    <row r="1693">
      <c r="A1693" s="34"/>
      <c r="J1693" s="24"/>
      <c r="L1693" s="34"/>
    </row>
    <row r="1694">
      <c r="A1694" s="34"/>
      <c r="J1694" s="24"/>
      <c r="L1694" s="34"/>
    </row>
    <row r="1695">
      <c r="A1695" s="34"/>
      <c r="J1695" s="24"/>
      <c r="L1695" s="34"/>
    </row>
    <row r="1696">
      <c r="A1696" s="34"/>
      <c r="J1696" s="24"/>
      <c r="L1696" s="34"/>
    </row>
    <row r="1697">
      <c r="A1697" s="34"/>
      <c r="J1697" s="24"/>
      <c r="L1697" s="34"/>
    </row>
    <row r="1698">
      <c r="A1698" s="34"/>
      <c r="J1698" s="24"/>
      <c r="L1698" s="34"/>
    </row>
    <row r="1699">
      <c r="A1699" s="34"/>
      <c r="J1699" s="24"/>
      <c r="L1699" s="34"/>
    </row>
    <row r="1700">
      <c r="A1700" s="34"/>
      <c r="J1700" s="24"/>
      <c r="L1700" s="34"/>
    </row>
    <row r="1701">
      <c r="A1701" s="34"/>
      <c r="J1701" s="24"/>
      <c r="L1701" s="34"/>
    </row>
    <row r="1702">
      <c r="A1702" s="34"/>
      <c r="J1702" s="24"/>
      <c r="L1702" s="34"/>
    </row>
    <row r="1703">
      <c r="A1703" s="34"/>
      <c r="J1703" s="24"/>
      <c r="L1703" s="34"/>
    </row>
    <row r="1704">
      <c r="A1704" s="34"/>
      <c r="J1704" s="24"/>
      <c r="L1704" s="34"/>
    </row>
    <row r="1705">
      <c r="A1705" s="34"/>
      <c r="J1705" s="24"/>
      <c r="L1705" s="34"/>
    </row>
    <row r="1706">
      <c r="A1706" s="34"/>
      <c r="J1706" s="24"/>
      <c r="L1706" s="34"/>
    </row>
    <row r="1707">
      <c r="A1707" s="34"/>
      <c r="J1707" s="24"/>
      <c r="L1707" s="34"/>
    </row>
    <row r="1708">
      <c r="A1708" s="34"/>
      <c r="J1708" s="24"/>
      <c r="L1708" s="34"/>
    </row>
    <row r="1709">
      <c r="A1709" s="34"/>
      <c r="J1709" s="24"/>
      <c r="L1709" s="34"/>
    </row>
    <row r="1710">
      <c r="A1710" s="34"/>
      <c r="J1710" s="24"/>
      <c r="L1710" s="34"/>
    </row>
    <row r="1711">
      <c r="A1711" s="34"/>
      <c r="J1711" s="24"/>
      <c r="L1711" s="34"/>
    </row>
    <row r="1712">
      <c r="A1712" s="34"/>
      <c r="J1712" s="24"/>
      <c r="L1712" s="34"/>
    </row>
    <row r="1713">
      <c r="A1713" s="34"/>
      <c r="J1713" s="24"/>
      <c r="L1713" s="34"/>
    </row>
    <row r="1714">
      <c r="A1714" s="34"/>
      <c r="J1714" s="24"/>
      <c r="L1714" s="34"/>
    </row>
    <row r="1715">
      <c r="A1715" s="34"/>
      <c r="J1715" s="24"/>
      <c r="L1715" s="34"/>
    </row>
    <row r="1716">
      <c r="A1716" s="34"/>
      <c r="J1716" s="24"/>
      <c r="L1716" s="34"/>
    </row>
    <row r="1717">
      <c r="A1717" s="34"/>
      <c r="J1717" s="24"/>
      <c r="L1717" s="34"/>
    </row>
    <row r="1718">
      <c r="A1718" s="34"/>
      <c r="J1718" s="24"/>
      <c r="L1718" s="34"/>
    </row>
    <row r="1719">
      <c r="A1719" s="34"/>
      <c r="J1719" s="24"/>
      <c r="L1719" s="34"/>
    </row>
    <row r="1720">
      <c r="A1720" s="34"/>
      <c r="J1720" s="24"/>
      <c r="L1720" s="34"/>
    </row>
    <row r="1721">
      <c r="A1721" s="34"/>
      <c r="J1721" s="24"/>
      <c r="L1721" s="34"/>
    </row>
    <row r="1722">
      <c r="A1722" s="34"/>
      <c r="J1722" s="24"/>
      <c r="L1722" s="34"/>
    </row>
    <row r="1723">
      <c r="A1723" s="34"/>
      <c r="J1723" s="24"/>
      <c r="L1723" s="34"/>
    </row>
    <row r="1724">
      <c r="A1724" s="34"/>
      <c r="J1724" s="24"/>
      <c r="L1724" s="34"/>
    </row>
    <row r="1725">
      <c r="A1725" s="34"/>
      <c r="J1725" s="24"/>
      <c r="L1725" s="34"/>
    </row>
    <row r="1726">
      <c r="A1726" s="34"/>
      <c r="J1726" s="24"/>
      <c r="L1726" s="34"/>
    </row>
    <row r="1727">
      <c r="A1727" s="34"/>
      <c r="J1727" s="24"/>
      <c r="L1727" s="34"/>
    </row>
    <row r="1728">
      <c r="A1728" s="34"/>
      <c r="J1728" s="24"/>
      <c r="L1728" s="34"/>
    </row>
    <row r="1729">
      <c r="A1729" s="34"/>
      <c r="J1729" s="24"/>
      <c r="L1729" s="34"/>
    </row>
    <row r="1730">
      <c r="A1730" s="34"/>
      <c r="J1730" s="24"/>
      <c r="L1730" s="34"/>
    </row>
    <row r="1731">
      <c r="A1731" s="34"/>
      <c r="J1731" s="24"/>
      <c r="L1731" s="34"/>
    </row>
    <row r="1732">
      <c r="A1732" s="34"/>
      <c r="J1732" s="24"/>
      <c r="L1732" s="34"/>
    </row>
    <row r="1733">
      <c r="A1733" s="34"/>
      <c r="J1733" s="24"/>
      <c r="L1733" s="34"/>
    </row>
    <row r="1734">
      <c r="A1734" s="34"/>
      <c r="J1734" s="24"/>
      <c r="L1734" s="34"/>
    </row>
    <row r="1735">
      <c r="A1735" s="34"/>
      <c r="J1735" s="24"/>
      <c r="L1735" s="34"/>
    </row>
    <row r="1736">
      <c r="A1736" s="34"/>
      <c r="J1736" s="24"/>
      <c r="L1736" s="34"/>
    </row>
    <row r="1737">
      <c r="A1737" s="34"/>
      <c r="J1737" s="24"/>
      <c r="L1737" s="34"/>
    </row>
    <row r="1738">
      <c r="A1738" s="34"/>
      <c r="J1738" s="24"/>
      <c r="L1738" s="34"/>
    </row>
    <row r="1739">
      <c r="A1739" s="34"/>
      <c r="J1739" s="24"/>
      <c r="L1739" s="34"/>
    </row>
    <row r="1740">
      <c r="A1740" s="34"/>
      <c r="J1740" s="24"/>
      <c r="L1740" s="34"/>
    </row>
    <row r="1741">
      <c r="A1741" s="34"/>
      <c r="J1741" s="24"/>
      <c r="L1741" s="34"/>
    </row>
    <row r="1742">
      <c r="A1742" s="34"/>
      <c r="J1742" s="24"/>
      <c r="L1742" s="34"/>
    </row>
    <row r="1743">
      <c r="A1743" s="34"/>
      <c r="J1743" s="24"/>
      <c r="L1743" s="34"/>
    </row>
    <row r="1744">
      <c r="A1744" s="34"/>
      <c r="J1744" s="24"/>
      <c r="L1744" s="34"/>
    </row>
    <row r="1745">
      <c r="A1745" s="34"/>
      <c r="J1745" s="24"/>
      <c r="L1745" s="34"/>
    </row>
    <row r="1746">
      <c r="A1746" s="34"/>
      <c r="J1746" s="24"/>
      <c r="L1746" s="34"/>
    </row>
    <row r="1747">
      <c r="A1747" s="34"/>
      <c r="J1747" s="24"/>
      <c r="L1747" s="34"/>
    </row>
    <row r="1748">
      <c r="A1748" s="34"/>
      <c r="J1748" s="24"/>
      <c r="L1748" s="34"/>
    </row>
    <row r="1749">
      <c r="A1749" s="34"/>
      <c r="J1749" s="24"/>
      <c r="L1749" s="34"/>
    </row>
    <row r="1750">
      <c r="A1750" s="34"/>
      <c r="J1750" s="24"/>
      <c r="L1750" s="34"/>
    </row>
    <row r="1751">
      <c r="A1751" s="34"/>
      <c r="J1751" s="24"/>
      <c r="L1751" s="34"/>
    </row>
    <row r="1752">
      <c r="A1752" s="34"/>
      <c r="J1752" s="24"/>
      <c r="L1752" s="34"/>
    </row>
    <row r="1753">
      <c r="A1753" s="34"/>
      <c r="J1753" s="24"/>
      <c r="L1753" s="34"/>
    </row>
    <row r="1754">
      <c r="A1754" s="34"/>
      <c r="J1754" s="24"/>
      <c r="L1754" s="34"/>
    </row>
    <row r="1755">
      <c r="A1755" s="34"/>
      <c r="J1755" s="24"/>
      <c r="L1755" s="34"/>
    </row>
    <row r="1756">
      <c r="A1756" s="34"/>
      <c r="J1756" s="24"/>
      <c r="L1756" s="34"/>
    </row>
    <row r="1757">
      <c r="A1757" s="34"/>
      <c r="J1757" s="24"/>
      <c r="L1757" s="34"/>
    </row>
    <row r="1758">
      <c r="A1758" s="34"/>
      <c r="J1758" s="24"/>
      <c r="L1758" s="34"/>
    </row>
    <row r="1759">
      <c r="A1759" s="34"/>
      <c r="J1759" s="24"/>
      <c r="L1759" s="34"/>
    </row>
    <row r="1760">
      <c r="A1760" s="34"/>
      <c r="J1760" s="24"/>
      <c r="L1760" s="34"/>
    </row>
    <row r="1761">
      <c r="A1761" s="34"/>
      <c r="J1761" s="24"/>
      <c r="L1761" s="34"/>
    </row>
    <row r="1762">
      <c r="A1762" s="34"/>
      <c r="J1762" s="24"/>
      <c r="L1762" s="34"/>
    </row>
    <row r="1763">
      <c r="A1763" s="34"/>
      <c r="J1763" s="24"/>
      <c r="L1763" s="34"/>
    </row>
    <row r="1764">
      <c r="A1764" s="34"/>
      <c r="J1764" s="24"/>
      <c r="L1764" s="34"/>
    </row>
    <row r="1765">
      <c r="A1765" s="34"/>
      <c r="J1765" s="24"/>
      <c r="L1765" s="34"/>
    </row>
    <row r="1766">
      <c r="A1766" s="34"/>
      <c r="J1766" s="24"/>
      <c r="L1766" s="34"/>
    </row>
    <row r="1767">
      <c r="A1767" s="34"/>
      <c r="J1767" s="24"/>
      <c r="L1767" s="34"/>
    </row>
    <row r="1768">
      <c r="A1768" s="34"/>
      <c r="J1768" s="24"/>
      <c r="L1768" s="34"/>
    </row>
    <row r="1769">
      <c r="A1769" s="34"/>
      <c r="J1769" s="24"/>
      <c r="L1769" s="34"/>
    </row>
    <row r="1770">
      <c r="A1770" s="34"/>
      <c r="J1770" s="24"/>
      <c r="L1770" s="34"/>
    </row>
    <row r="1771">
      <c r="A1771" s="34"/>
      <c r="J1771" s="24"/>
      <c r="L1771" s="34"/>
    </row>
    <row r="1772">
      <c r="A1772" s="34"/>
      <c r="J1772" s="24"/>
      <c r="L1772" s="34"/>
    </row>
    <row r="1773">
      <c r="A1773" s="34"/>
      <c r="J1773" s="24"/>
      <c r="L1773" s="34"/>
    </row>
    <row r="1774">
      <c r="A1774" s="34"/>
      <c r="J1774" s="24"/>
      <c r="L1774" s="34"/>
    </row>
    <row r="1775">
      <c r="A1775" s="34"/>
      <c r="J1775" s="24"/>
      <c r="L1775" s="34"/>
    </row>
    <row r="1776">
      <c r="A1776" s="34"/>
      <c r="J1776" s="24"/>
      <c r="L1776" s="34"/>
    </row>
    <row r="1777">
      <c r="A1777" s="34"/>
      <c r="J1777" s="24"/>
      <c r="L1777" s="34"/>
    </row>
    <row r="1778">
      <c r="A1778" s="34"/>
      <c r="J1778" s="24"/>
      <c r="L1778" s="34"/>
    </row>
    <row r="1779">
      <c r="A1779" s="34"/>
      <c r="J1779" s="24"/>
      <c r="L1779" s="34"/>
    </row>
    <row r="1780">
      <c r="A1780" s="34"/>
      <c r="J1780" s="24"/>
      <c r="L1780" s="34"/>
    </row>
    <row r="1781">
      <c r="A1781" s="34"/>
      <c r="J1781" s="24"/>
      <c r="L1781" s="34"/>
    </row>
    <row r="1782">
      <c r="A1782" s="34"/>
      <c r="J1782" s="24"/>
      <c r="L1782" s="34"/>
    </row>
    <row r="1783">
      <c r="A1783" s="34"/>
      <c r="J1783" s="24"/>
      <c r="L1783" s="34"/>
    </row>
    <row r="1784">
      <c r="A1784" s="34"/>
      <c r="J1784" s="24"/>
      <c r="L1784" s="34"/>
    </row>
    <row r="1785">
      <c r="A1785" s="34"/>
      <c r="J1785" s="24"/>
      <c r="L1785" s="34"/>
    </row>
    <row r="1786">
      <c r="A1786" s="34"/>
      <c r="J1786" s="24"/>
      <c r="L1786" s="34"/>
    </row>
    <row r="1787">
      <c r="A1787" s="34"/>
      <c r="J1787" s="24"/>
      <c r="L1787" s="34"/>
    </row>
    <row r="1788">
      <c r="A1788" s="34"/>
      <c r="J1788" s="24"/>
      <c r="L1788" s="34"/>
    </row>
    <row r="1789">
      <c r="A1789" s="34"/>
      <c r="J1789" s="24"/>
      <c r="L1789" s="34"/>
    </row>
    <row r="1790">
      <c r="A1790" s="34"/>
      <c r="J1790" s="24"/>
      <c r="L1790" s="34"/>
    </row>
    <row r="1791">
      <c r="A1791" s="34"/>
      <c r="J1791" s="24"/>
      <c r="L1791" s="34"/>
    </row>
    <row r="1792">
      <c r="A1792" s="34"/>
      <c r="J1792" s="24"/>
      <c r="L1792" s="34"/>
    </row>
    <row r="1793">
      <c r="A1793" s="34"/>
      <c r="J1793" s="24"/>
      <c r="L1793" s="34"/>
    </row>
    <row r="1794">
      <c r="A1794" s="34"/>
      <c r="J1794" s="24"/>
      <c r="L1794" s="34"/>
    </row>
    <row r="1795">
      <c r="A1795" s="34"/>
      <c r="J1795" s="24"/>
      <c r="L1795" s="34"/>
    </row>
    <row r="1796">
      <c r="A1796" s="34"/>
      <c r="J1796" s="24"/>
      <c r="L1796" s="34"/>
    </row>
    <row r="1797">
      <c r="A1797" s="34"/>
      <c r="J1797" s="24"/>
      <c r="L1797" s="34"/>
    </row>
    <row r="1798">
      <c r="A1798" s="34"/>
      <c r="J1798" s="24"/>
      <c r="L1798" s="34"/>
    </row>
    <row r="1799">
      <c r="A1799" s="34"/>
      <c r="J1799" s="24"/>
      <c r="L1799" s="34"/>
    </row>
    <row r="1800">
      <c r="A1800" s="34"/>
      <c r="J1800" s="24"/>
      <c r="L1800" s="34"/>
    </row>
    <row r="1801">
      <c r="A1801" s="34"/>
      <c r="J1801" s="24"/>
      <c r="L1801" s="34"/>
    </row>
    <row r="1802">
      <c r="A1802" s="34"/>
      <c r="J1802" s="24"/>
      <c r="L1802" s="34"/>
    </row>
    <row r="1803">
      <c r="A1803" s="34"/>
      <c r="J1803" s="24"/>
      <c r="L1803" s="34"/>
    </row>
    <row r="1804">
      <c r="A1804" s="34"/>
      <c r="J1804" s="24"/>
      <c r="L1804" s="34"/>
    </row>
    <row r="1805">
      <c r="A1805" s="34"/>
      <c r="J1805" s="24"/>
      <c r="L1805" s="34"/>
    </row>
    <row r="1806">
      <c r="A1806" s="34"/>
      <c r="J1806" s="24"/>
      <c r="L1806" s="34"/>
    </row>
    <row r="1807">
      <c r="A1807" s="34"/>
      <c r="J1807" s="24"/>
      <c r="L1807" s="34"/>
    </row>
    <row r="1808">
      <c r="A1808" s="34"/>
      <c r="J1808" s="24"/>
      <c r="L1808" s="34"/>
    </row>
    <row r="1809">
      <c r="A1809" s="34"/>
      <c r="J1809" s="24"/>
      <c r="L1809" s="34"/>
    </row>
    <row r="1810">
      <c r="A1810" s="34"/>
      <c r="J1810" s="24"/>
      <c r="L1810" s="34"/>
    </row>
    <row r="1811">
      <c r="A1811" s="34"/>
      <c r="J1811" s="24"/>
      <c r="L1811" s="34"/>
    </row>
    <row r="1812">
      <c r="A1812" s="34"/>
      <c r="J1812" s="24"/>
      <c r="L1812" s="34"/>
    </row>
    <row r="1813">
      <c r="A1813" s="34"/>
      <c r="J1813" s="24"/>
      <c r="L1813" s="34"/>
    </row>
    <row r="1814">
      <c r="A1814" s="34"/>
      <c r="J1814" s="24"/>
      <c r="L1814" s="34"/>
    </row>
    <row r="1815">
      <c r="A1815" s="34"/>
      <c r="J1815" s="24"/>
      <c r="L1815" s="34"/>
    </row>
    <row r="1816">
      <c r="A1816" s="34"/>
      <c r="J1816" s="24"/>
      <c r="L1816" s="34"/>
    </row>
    <row r="1817">
      <c r="A1817" s="34"/>
      <c r="J1817" s="24"/>
      <c r="L1817" s="34"/>
    </row>
    <row r="1818">
      <c r="A1818" s="34"/>
      <c r="J1818" s="24"/>
      <c r="L1818" s="34"/>
    </row>
    <row r="1819">
      <c r="A1819" s="34"/>
      <c r="J1819" s="24"/>
      <c r="L1819" s="34"/>
    </row>
    <row r="1820">
      <c r="A1820" s="34"/>
      <c r="J1820" s="24"/>
      <c r="L1820" s="34"/>
    </row>
    <row r="1821">
      <c r="A1821" s="34"/>
      <c r="J1821" s="24"/>
      <c r="L1821" s="34"/>
    </row>
    <row r="1822">
      <c r="A1822" s="34"/>
      <c r="J1822" s="24"/>
      <c r="L1822" s="34"/>
    </row>
    <row r="1823">
      <c r="A1823" s="34"/>
      <c r="J1823" s="24"/>
      <c r="L1823" s="34"/>
    </row>
    <row r="1824">
      <c r="A1824" s="34"/>
      <c r="J1824" s="24"/>
      <c r="L1824" s="34"/>
    </row>
    <row r="1825">
      <c r="A1825" s="34"/>
      <c r="J1825" s="24"/>
      <c r="L1825" s="34"/>
    </row>
    <row r="1826">
      <c r="A1826" s="34"/>
      <c r="J1826" s="24"/>
      <c r="L1826" s="34"/>
    </row>
    <row r="1827">
      <c r="A1827" s="34"/>
      <c r="J1827" s="24"/>
      <c r="L1827" s="34"/>
    </row>
    <row r="1828">
      <c r="A1828" s="34"/>
      <c r="J1828" s="24"/>
      <c r="L1828" s="34"/>
    </row>
    <row r="1829">
      <c r="A1829" s="34"/>
      <c r="J1829" s="24"/>
      <c r="L1829" s="34"/>
    </row>
    <row r="1830">
      <c r="A1830" s="34"/>
      <c r="J1830" s="24"/>
      <c r="L1830" s="34"/>
    </row>
    <row r="1831">
      <c r="A1831" s="34"/>
      <c r="J1831" s="24"/>
      <c r="L1831" s="34"/>
    </row>
    <row r="1832">
      <c r="A1832" s="34"/>
      <c r="J1832" s="24"/>
      <c r="L1832" s="34"/>
    </row>
    <row r="1833">
      <c r="A1833" s="34"/>
      <c r="J1833" s="24"/>
      <c r="L1833" s="34"/>
    </row>
    <row r="1834">
      <c r="A1834" s="34"/>
      <c r="J1834" s="24"/>
      <c r="L1834" s="34"/>
    </row>
    <row r="1835">
      <c r="A1835" s="34"/>
      <c r="J1835" s="24"/>
      <c r="L1835" s="34"/>
    </row>
    <row r="1836">
      <c r="A1836" s="34"/>
      <c r="J1836" s="24"/>
      <c r="L1836" s="34"/>
    </row>
    <row r="1837">
      <c r="A1837" s="34"/>
      <c r="J1837" s="24"/>
      <c r="L1837" s="34"/>
    </row>
    <row r="1838">
      <c r="A1838" s="34"/>
      <c r="J1838" s="24"/>
      <c r="L1838" s="34"/>
    </row>
    <row r="1839">
      <c r="A1839" s="34"/>
      <c r="J1839" s="24"/>
      <c r="L1839" s="34"/>
    </row>
    <row r="1840">
      <c r="A1840" s="34"/>
      <c r="J1840" s="24"/>
      <c r="L1840" s="34"/>
    </row>
    <row r="1841">
      <c r="A1841" s="34"/>
      <c r="J1841" s="24"/>
      <c r="L1841" s="34"/>
    </row>
    <row r="1842">
      <c r="A1842" s="34"/>
      <c r="J1842" s="24"/>
      <c r="L1842" s="34"/>
    </row>
    <row r="1843">
      <c r="A1843" s="34"/>
      <c r="J1843" s="24"/>
      <c r="L1843" s="34"/>
    </row>
    <row r="1844">
      <c r="A1844" s="34"/>
      <c r="J1844" s="24"/>
      <c r="L1844" s="34"/>
    </row>
    <row r="1845">
      <c r="A1845" s="34"/>
      <c r="J1845" s="24"/>
      <c r="L1845" s="34"/>
    </row>
    <row r="1846">
      <c r="A1846" s="34"/>
      <c r="J1846" s="24"/>
      <c r="L1846" s="34"/>
    </row>
    <row r="1847">
      <c r="A1847" s="34"/>
      <c r="J1847" s="24"/>
      <c r="L1847" s="34"/>
    </row>
    <row r="1848">
      <c r="A1848" s="34"/>
      <c r="J1848" s="24"/>
      <c r="L1848" s="34"/>
    </row>
    <row r="1849">
      <c r="A1849" s="34"/>
      <c r="J1849" s="24"/>
      <c r="L1849" s="34"/>
    </row>
    <row r="1850">
      <c r="A1850" s="34"/>
      <c r="J1850" s="24"/>
      <c r="L1850" s="34"/>
    </row>
    <row r="1851">
      <c r="A1851" s="34"/>
      <c r="J1851" s="24"/>
      <c r="L1851" s="34"/>
    </row>
    <row r="1852">
      <c r="A1852" s="34"/>
      <c r="J1852" s="24"/>
      <c r="L1852" s="34"/>
    </row>
    <row r="1853">
      <c r="A1853" s="34"/>
      <c r="J1853" s="24"/>
      <c r="L1853" s="34"/>
    </row>
    <row r="1854">
      <c r="A1854" s="34"/>
      <c r="J1854" s="24"/>
      <c r="L1854" s="34"/>
    </row>
    <row r="1855">
      <c r="A1855" s="34"/>
      <c r="J1855" s="24"/>
      <c r="L1855" s="34"/>
    </row>
    <row r="1856">
      <c r="A1856" s="34"/>
      <c r="J1856" s="24"/>
      <c r="L1856" s="34"/>
    </row>
    <row r="1857">
      <c r="A1857" s="34"/>
      <c r="J1857" s="24"/>
      <c r="L1857" s="34"/>
    </row>
    <row r="1858">
      <c r="A1858" s="34"/>
      <c r="J1858" s="24"/>
      <c r="L1858" s="34"/>
    </row>
    <row r="1859">
      <c r="A1859" s="34"/>
      <c r="J1859" s="24"/>
      <c r="L1859" s="34"/>
    </row>
    <row r="1860">
      <c r="A1860" s="34"/>
      <c r="J1860" s="24"/>
      <c r="L1860" s="34"/>
    </row>
    <row r="1861">
      <c r="A1861" s="34"/>
      <c r="J1861" s="24"/>
      <c r="L1861" s="34"/>
    </row>
    <row r="1862">
      <c r="A1862" s="34"/>
      <c r="J1862" s="24"/>
      <c r="L1862" s="34"/>
    </row>
    <row r="1863">
      <c r="A1863" s="34"/>
      <c r="J1863" s="24"/>
      <c r="L1863" s="34"/>
    </row>
    <row r="1864">
      <c r="A1864" s="34"/>
      <c r="J1864" s="24"/>
      <c r="L1864" s="34"/>
    </row>
    <row r="1865">
      <c r="A1865" s="34"/>
      <c r="J1865" s="24"/>
      <c r="L1865" s="34"/>
    </row>
    <row r="1866">
      <c r="A1866" s="34"/>
      <c r="J1866" s="24"/>
      <c r="L1866" s="34"/>
    </row>
    <row r="1867">
      <c r="A1867" s="34"/>
      <c r="J1867" s="24"/>
      <c r="L1867" s="34"/>
    </row>
    <row r="1868">
      <c r="A1868" s="34"/>
      <c r="J1868" s="24"/>
      <c r="L1868" s="34"/>
    </row>
    <row r="1869">
      <c r="A1869" s="34"/>
      <c r="J1869" s="24"/>
      <c r="L1869" s="34"/>
    </row>
    <row r="1870">
      <c r="A1870" s="34"/>
      <c r="J1870" s="24"/>
      <c r="L1870" s="34"/>
    </row>
    <row r="1871">
      <c r="A1871" s="34"/>
      <c r="J1871" s="24"/>
      <c r="L1871" s="34"/>
    </row>
    <row r="1872">
      <c r="A1872" s="34"/>
      <c r="J1872" s="24"/>
      <c r="L1872" s="34"/>
    </row>
    <row r="1873">
      <c r="A1873" s="34"/>
      <c r="J1873" s="24"/>
      <c r="L1873" s="34"/>
    </row>
    <row r="1874">
      <c r="A1874" s="34"/>
      <c r="J1874" s="24"/>
      <c r="L1874" s="34"/>
    </row>
    <row r="1875">
      <c r="A1875" s="34"/>
      <c r="J1875" s="24"/>
      <c r="L1875" s="34"/>
    </row>
    <row r="1876">
      <c r="A1876" s="34"/>
      <c r="J1876" s="24"/>
      <c r="L1876" s="34"/>
    </row>
    <row r="1877">
      <c r="A1877" s="34"/>
      <c r="J1877" s="24"/>
      <c r="L1877" s="34"/>
    </row>
    <row r="1878">
      <c r="A1878" s="34"/>
      <c r="J1878" s="24"/>
      <c r="L1878" s="34"/>
    </row>
    <row r="1879">
      <c r="A1879" s="34"/>
      <c r="J1879" s="24"/>
      <c r="L1879" s="34"/>
    </row>
    <row r="1880">
      <c r="A1880" s="34"/>
      <c r="J1880" s="24"/>
      <c r="L1880" s="34"/>
    </row>
    <row r="1881">
      <c r="A1881" s="34"/>
      <c r="J1881" s="24"/>
      <c r="L1881" s="34"/>
    </row>
    <row r="1882">
      <c r="A1882" s="34"/>
      <c r="J1882" s="24"/>
      <c r="L1882" s="34"/>
    </row>
    <row r="1883">
      <c r="A1883" s="34"/>
      <c r="J1883" s="24"/>
      <c r="L1883" s="34"/>
    </row>
    <row r="1884">
      <c r="A1884" s="34"/>
      <c r="J1884" s="24"/>
      <c r="L1884" s="34"/>
    </row>
    <row r="1885">
      <c r="A1885" s="34"/>
      <c r="J1885" s="24"/>
      <c r="L1885" s="34"/>
    </row>
    <row r="1886">
      <c r="A1886" s="34"/>
      <c r="J1886" s="24"/>
      <c r="L1886" s="34"/>
    </row>
    <row r="1887">
      <c r="A1887" s="34"/>
      <c r="J1887" s="24"/>
      <c r="L1887" s="34"/>
    </row>
    <row r="1888">
      <c r="A1888" s="34"/>
      <c r="J1888" s="24"/>
      <c r="L1888" s="34"/>
    </row>
    <row r="1889">
      <c r="A1889" s="34"/>
      <c r="J1889" s="24"/>
      <c r="L1889" s="34"/>
    </row>
    <row r="1890">
      <c r="A1890" s="34"/>
      <c r="J1890" s="24"/>
      <c r="L1890" s="34"/>
    </row>
    <row r="1891">
      <c r="A1891" s="34"/>
      <c r="J1891" s="24"/>
      <c r="L1891" s="34"/>
    </row>
    <row r="1892">
      <c r="A1892" s="34"/>
      <c r="J1892" s="24"/>
      <c r="L1892" s="34"/>
    </row>
    <row r="1893">
      <c r="A1893" s="34"/>
      <c r="J1893" s="24"/>
      <c r="L1893" s="34"/>
    </row>
    <row r="1894">
      <c r="A1894" s="34"/>
      <c r="J1894" s="24"/>
      <c r="L1894" s="34"/>
    </row>
    <row r="1895">
      <c r="A1895" s="34"/>
      <c r="J1895" s="24"/>
      <c r="L1895" s="34"/>
    </row>
    <row r="1896">
      <c r="A1896" s="34"/>
      <c r="J1896" s="24"/>
      <c r="L1896" s="34"/>
    </row>
    <row r="1897">
      <c r="A1897" s="34"/>
      <c r="J1897" s="24"/>
      <c r="L1897" s="34"/>
    </row>
    <row r="1898">
      <c r="A1898" s="34"/>
      <c r="J1898" s="24"/>
      <c r="L1898" s="34"/>
    </row>
    <row r="1899">
      <c r="A1899" s="34"/>
      <c r="J1899" s="24"/>
      <c r="L1899" s="34"/>
    </row>
    <row r="1900">
      <c r="A1900" s="34"/>
      <c r="J1900" s="24"/>
      <c r="L1900" s="34"/>
    </row>
    <row r="1901">
      <c r="A1901" s="34"/>
      <c r="J1901" s="24"/>
      <c r="L1901" s="34"/>
    </row>
    <row r="1902">
      <c r="A1902" s="34"/>
      <c r="J1902" s="24"/>
      <c r="L1902" s="34"/>
    </row>
    <row r="1903">
      <c r="A1903" s="34"/>
      <c r="J1903" s="24"/>
      <c r="L1903" s="34"/>
    </row>
    <row r="1904">
      <c r="A1904" s="34"/>
      <c r="J1904" s="24"/>
      <c r="L1904" s="34"/>
    </row>
    <row r="1905">
      <c r="A1905" s="34"/>
      <c r="J1905" s="24"/>
      <c r="L1905" s="34"/>
    </row>
    <row r="1906">
      <c r="A1906" s="34"/>
      <c r="J1906" s="24"/>
      <c r="L1906" s="34"/>
    </row>
    <row r="1907">
      <c r="A1907" s="34"/>
      <c r="J1907" s="24"/>
      <c r="L1907" s="34"/>
    </row>
    <row r="1908">
      <c r="A1908" s="34"/>
      <c r="J1908" s="24"/>
      <c r="L1908" s="34"/>
    </row>
    <row r="1909">
      <c r="A1909" s="34"/>
      <c r="J1909" s="24"/>
      <c r="L1909" s="34"/>
    </row>
    <row r="1910">
      <c r="A1910" s="34"/>
      <c r="J1910" s="24"/>
      <c r="L1910" s="34"/>
    </row>
    <row r="1911">
      <c r="A1911" s="34"/>
      <c r="J1911" s="24"/>
      <c r="L1911" s="34"/>
    </row>
    <row r="1912">
      <c r="A1912" s="34"/>
      <c r="J1912" s="24"/>
      <c r="L1912" s="34"/>
    </row>
    <row r="1913">
      <c r="A1913" s="34"/>
      <c r="J1913" s="24"/>
      <c r="L1913" s="34"/>
    </row>
    <row r="1914">
      <c r="A1914" s="34"/>
      <c r="J1914" s="24"/>
      <c r="L1914" s="34"/>
    </row>
    <row r="1915">
      <c r="A1915" s="34"/>
      <c r="J1915" s="24"/>
      <c r="L1915" s="34"/>
    </row>
    <row r="1916">
      <c r="A1916" s="34"/>
      <c r="J1916" s="24"/>
      <c r="L1916" s="34"/>
    </row>
    <row r="1917">
      <c r="A1917" s="34"/>
      <c r="J1917" s="24"/>
      <c r="L1917" s="34"/>
    </row>
    <row r="1918">
      <c r="A1918" s="34"/>
      <c r="J1918" s="24"/>
      <c r="L1918" s="34"/>
    </row>
    <row r="1919">
      <c r="A1919" s="34"/>
      <c r="J1919" s="24"/>
      <c r="L1919" s="34"/>
    </row>
    <row r="1920">
      <c r="A1920" s="34"/>
      <c r="J1920" s="24"/>
      <c r="L1920" s="34"/>
    </row>
    <row r="1921">
      <c r="A1921" s="34"/>
      <c r="J1921" s="24"/>
      <c r="L1921" s="34"/>
    </row>
    <row r="1922">
      <c r="A1922" s="34"/>
      <c r="J1922" s="24"/>
      <c r="L1922" s="34"/>
    </row>
    <row r="1923">
      <c r="A1923" s="34"/>
      <c r="J1923" s="24"/>
      <c r="L1923" s="34"/>
    </row>
    <row r="1924">
      <c r="A1924" s="34"/>
      <c r="J1924" s="24"/>
      <c r="L1924" s="34"/>
    </row>
    <row r="1925">
      <c r="A1925" s="34"/>
      <c r="J1925" s="24"/>
      <c r="L1925" s="34"/>
    </row>
    <row r="1926">
      <c r="A1926" s="34"/>
      <c r="J1926" s="24"/>
      <c r="L1926" s="34"/>
    </row>
    <row r="1927">
      <c r="A1927" s="34"/>
      <c r="J1927" s="24"/>
      <c r="L1927" s="34"/>
    </row>
    <row r="1928">
      <c r="A1928" s="34"/>
      <c r="J1928" s="24"/>
      <c r="L1928" s="34"/>
    </row>
    <row r="1929">
      <c r="A1929" s="34"/>
      <c r="J1929" s="24"/>
      <c r="L1929" s="34"/>
    </row>
    <row r="1930">
      <c r="J1930" s="24"/>
    </row>
    <row r="1931">
      <c r="J1931" s="24"/>
    </row>
    <row r="1932">
      <c r="J1932" s="24"/>
    </row>
    <row r="1933">
      <c r="J1933" s="24"/>
    </row>
    <row r="1934">
      <c r="J1934" s="24"/>
    </row>
    <row r="1935">
      <c r="J1935" s="24"/>
    </row>
    <row r="1936">
      <c r="J1936" s="24"/>
    </row>
    <row r="1937">
      <c r="J1937" s="24"/>
    </row>
    <row r="1938">
      <c r="J1938" s="24"/>
    </row>
    <row r="1939">
      <c r="J1939" s="24"/>
    </row>
    <row r="1940">
      <c r="J1940" s="24"/>
    </row>
    <row r="1941">
      <c r="J1941" s="24"/>
    </row>
    <row r="1942">
      <c r="J1942" s="24"/>
    </row>
    <row r="1943">
      <c r="J1943" s="24"/>
    </row>
    <row r="1944">
      <c r="J1944" s="24"/>
    </row>
    <row r="1945">
      <c r="J1945" s="24"/>
    </row>
    <row r="1946">
      <c r="J1946" s="24"/>
    </row>
    <row r="1947">
      <c r="J1947" s="24"/>
    </row>
    <row r="1948">
      <c r="J1948" s="24"/>
    </row>
    <row r="1949">
      <c r="J1949" s="24"/>
    </row>
    <row r="1950">
      <c r="J1950" s="24"/>
    </row>
    <row r="1951">
      <c r="J1951" s="24"/>
    </row>
    <row r="1952">
      <c r="J1952" s="24"/>
    </row>
    <row r="1953">
      <c r="J1953" s="24"/>
    </row>
    <row r="1954">
      <c r="J1954" s="24"/>
    </row>
    <row r="1955">
      <c r="J1955" s="24"/>
    </row>
    <row r="1956">
      <c r="J1956" s="24"/>
    </row>
    <row r="1957">
      <c r="J1957" s="24"/>
    </row>
    <row r="1958">
      <c r="J1958" s="24"/>
    </row>
    <row r="1959">
      <c r="J1959" s="24"/>
    </row>
    <row r="1960">
      <c r="J1960" s="24"/>
    </row>
    <row r="1961">
      <c r="J1961" s="24"/>
    </row>
    <row r="1962">
      <c r="J1962" s="24"/>
    </row>
    <row r="1963">
      <c r="J1963" s="24"/>
    </row>
    <row r="1964">
      <c r="J1964" s="24"/>
    </row>
    <row r="1965">
      <c r="J1965" s="24"/>
    </row>
    <row r="1966">
      <c r="J1966" s="24"/>
    </row>
    <row r="1967">
      <c r="J1967" s="24"/>
    </row>
    <row r="1968">
      <c r="J1968" s="24"/>
    </row>
    <row r="1969">
      <c r="J1969" s="24"/>
    </row>
    <row r="1970">
      <c r="J1970" s="24"/>
    </row>
    <row r="1971">
      <c r="J1971" s="24"/>
    </row>
    <row r="1972">
      <c r="J1972" s="24"/>
    </row>
    <row r="1973">
      <c r="J1973" s="24"/>
    </row>
    <row r="1974">
      <c r="J1974" s="24"/>
    </row>
    <row r="1975">
      <c r="J1975" s="24"/>
    </row>
    <row r="1976">
      <c r="J1976" s="24"/>
    </row>
    <row r="1977">
      <c r="J1977" s="24"/>
    </row>
    <row r="1978">
      <c r="J1978" s="24"/>
    </row>
    <row r="1979">
      <c r="J1979" s="24"/>
    </row>
    <row r="1980">
      <c r="J1980" s="24"/>
    </row>
    <row r="1981">
      <c r="J1981" s="24"/>
    </row>
    <row r="1982">
      <c r="J1982" s="24"/>
    </row>
    <row r="1983">
      <c r="J1983" s="24"/>
    </row>
    <row r="1984">
      <c r="J1984" s="24"/>
    </row>
    <row r="1985">
      <c r="J1985" s="24"/>
    </row>
    <row r="1986">
      <c r="J1986" s="24"/>
    </row>
    <row r="1987">
      <c r="J1987" s="24"/>
    </row>
    <row r="1988">
      <c r="J1988" s="24"/>
    </row>
    <row r="1989">
      <c r="J1989" s="24"/>
    </row>
    <row r="1990">
      <c r="J1990" s="24"/>
    </row>
    <row r="1991">
      <c r="J1991" s="24"/>
    </row>
    <row r="1992">
      <c r="J1992" s="24"/>
    </row>
    <row r="1993">
      <c r="J1993" s="24"/>
    </row>
    <row r="1994">
      <c r="J1994" s="24"/>
    </row>
    <row r="1995">
      <c r="J1995" s="24"/>
    </row>
    <row r="1996">
      <c r="J1996" s="24"/>
    </row>
    <row r="1997">
      <c r="J1997" s="24"/>
    </row>
    <row r="1998">
      <c r="J1998" s="24"/>
    </row>
    <row r="1999">
      <c r="J1999" s="24"/>
    </row>
    <row r="2000">
      <c r="J2000" s="24"/>
    </row>
    <row r="2001">
      <c r="J2001" s="24"/>
    </row>
    <row r="2002">
      <c r="J2002" s="24"/>
    </row>
    <row r="2003">
      <c r="J2003" s="24"/>
    </row>
    <row r="2004">
      <c r="J2004" s="24"/>
    </row>
    <row r="2005">
      <c r="J2005" s="24"/>
    </row>
    <row r="2006">
      <c r="J2006" s="24"/>
    </row>
    <row r="2007">
      <c r="J2007" s="24"/>
    </row>
    <row r="2008">
      <c r="J2008" s="24"/>
    </row>
    <row r="2009">
      <c r="J2009" s="24"/>
    </row>
    <row r="2010">
      <c r="J2010" s="24"/>
    </row>
    <row r="2011">
      <c r="J2011" s="24"/>
    </row>
    <row r="2012">
      <c r="J2012" s="24"/>
    </row>
    <row r="2013">
      <c r="J2013" s="24"/>
    </row>
    <row r="2014">
      <c r="J2014" s="24"/>
    </row>
    <row r="2015">
      <c r="J2015" s="24"/>
    </row>
    <row r="2016">
      <c r="J2016" s="24"/>
    </row>
    <row r="2017">
      <c r="J2017" s="24"/>
    </row>
    <row r="2018">
      <c r="J2018" s="24"/>
    </row>
    <row r="2019">
      <c r="J2019" s="24"/>
    </row>
    <row r="2020">
      <c r="J2020" s="24"/>
    </row>
    <row r="2021">
      <c r="J2021" s="24"/>
    </row>
    <row r="2022">
      <c r="J2022" s="24"/>
    </row>
    <row r="2023">
      <c r="J2023" s="24"/>
    </row>
    <row r="2024">
      <c r="J2024" s="24"/>
    </row>
    <row r="2025">
      <c r="J2025" s="24"/>
    </row>
    <row r="2026">
      <c r="J2026" s="24"/>
    </row>
    <row r="2027">
      <c r="J2027" s="24"/>
    </row>
    <row r="2028">
      <c r="J2028" s="24"/>
    </row>
    <row r="2029">
      <c r="J2029" s="24"/>
    </row>
    <row r="2030">
      <c r="J2030" s="24"/>
    </row>
    <row r="2031">
      <c r="J2031" s="24"/>
    </row>
    <row r="2032">
      <c r="J2032" s="24"/>
    </row>
    <row r="2033">
      <c r="J2033" s="24"/>
    </row>
    <row r="2034">
      <c r="J2034" s="24"/>
    </row>
    <row r="2035">
      <c r="J2035" s="24"/>
    </row>
    <row r="2036">
      <c r="J2036" s="24"/>
    </row>
    <row r="2037">
      <c r="J2037" s="24"/>
    </row>
    <row r="2038">
      <c r="J2038" s="24"/>
    </row>
    <row r="2039">
      <c r="J2039" s="24"/>
    </row>
    <row r="2040">
      <c r="J2040" s="24"/>
    </row>
    <row r="2041">
      <c r="J2041" s="24"/>
    </row>
    <row r="2042">
      <c r="J2042" s="24"/>
    </row>
    <row r="2043">
      <c r="J2043" s="24"/>
    </row>
    <row r="2044">
      <c r="J2044" s="24"/>
    </row>
    <row r="2045">
      <c r="J2045" s="24"/>
    </row>
    <row r="2046">
      <c r="J2046" s="24"/>
    </row>
    <row r="2047">
      <c r="J2047" s="24"/>
    </row>
    <row r="2048">
      <c r="J2048" s="24"/>
    </row>
    <row r="2049">
      <c r="J2049" s="24"/>
    </row>
    <row r="2050">
      <c r="J2050" s="24"/>
    </row>
    <row r="2051">
      <c r="J2051" s="24"/>
    </row>
    <row r="2052">
      <c r="J2052" s="24"/>
    </row>
    <row r="2053">
      <c r="J2053" s="24"/>
    </row>
    <row r="2054">
      <c r="J2054" s="24"/>
    </row>
    <row r="2055">
      <c r="J2055" s="24"/>
    </row>
    <row r="2056">
      <c r="J2056" s="24"/>
    </row>
    <row r="2057">
      <c r="J2057" s="24"/>
    </row>
    <row r="2058">
      <c r="J2058" s="24"/>
    </row>
    <row r="2059">
      <c r="J2059" s="24"/>
    </row>
    <row r="2060">
      <c r="J2060" s="24"/>
    </row>
    <row r="2061">
      <c r="J2061" s="24"/>
    </row>
    <row r="2062">
      <c r="J2062" s="24"/>
    </row>
    <row r="2063">
      <c r="J2063" s="24"/>
    </row>
    <row r="2064">
      <c r="J2064" s="24"/>
    </row>
    <row r="2065">
      <c r="J2065" s="24"/>
    </row>
    <row r="2066">
      <c r="J2066" s="24"/>
    </row>
    <row r="2067">
      <c r="J2067" s="24"/>
    </row>
    <row r="2068">
      <c r="J2068" s="24"/>
    </row>
    <row r="2069">
      <c r="J2069" s="24"/>
    </row>
    <row r="2070">
      <c r="J2070" s="24"/>
    </row>
    <row r="2071">
      <c r="J2071" s="24"/>
    </row>
    <row r="2072">
      <c r="J2072" s="24"/>
    </row>
    <row r="2073">
      <c r="J2073" s="24"/>
    </row>
    <row r="2074">
      <c r="J2074" s="24"/>
    </row>
    <row r="2075">
      <c r="J2075" s="24"/>
    </row>
    <row r="2076">
      <c r="J2076" s="24"/>
    </row>
    <row r="2077">
      <c r="J2077" s="24"/>
    </row>
    <row r="2078">
      <c r="J2078" s="24"/>
    </row>
    <row r="2079">
      <c r="J2079" s="24"/>
    </row>
    <row r="2080">
      <c r="J2080" s="24"/>
    </row>
    <row r="2081">
      <c r="J2081" s="24"/>
    </row>
    <row r="2082">
      <c r="J2082" s="24"/>
    </row>
    <row r="2083">
      <c r="J2083" s="24"/>
    </row>
    <row r="2084">
      <c r="J2084" s="24"/>
    </row>
    <row r="2085">
      <c r="J2085" s="24"/>
    </row>
    <row r="2086">
      <c r="J2086" s="24"/>
    </row>
    <row r="2087">
      <c r="J2087" s="24"/>
    </row>
    <row r="2088">
      <c r="J2088" s="24"/>
    </row>
    <row r="2089">
      <c r="J2089" s="24"/>
    </row>
    <row r="2090">
      <c r="J2090" s="24"/>
    </row>
    <row r="2091">
      <c r="J2091" s="24"/>
    </row>
    <row r="2092">
      <c r="J2092" s="24"/>
    </row>
    <row r="2093">
      <c r="J2093" s="24"/>
    </row>
    <row r="2094">
      <c r="J2094" s="24"/>
    </row>
    <row r="2095">
      <c r="J2095" s="24"/>
    </row>
    <row r="2096">
      <c r="J2096" s="24"/>
    </row>
    <row r="2097">
      <c r="J2097" s="24"/>
    </row>
    <row r="2098">
      <c r="J2098" s="24"/>
    </row>
    <row r="2099">
      <c r="J2099" s="24"/>
    </row>
    <row r="2100">
      <c r="J2100" s="24"/>
    </row>
    <row r="2101">
      <c r="J2101" s="24"/>
    </row>
    <row r="2102">
      <c r="J2102" s="24"/>
    </row>
    <row r="2103">
      <c r="J2103" s="24"/>
    </row>
    <row r="2104">
      <c r="J2104" s="24"/>
    </row>
    <row r="2105">
      <c r="J2105" s="24"/>
    </row>
    <row r="2106">
      <c r="J2106" s="24"/>
    </row>
    <row r="2107">
      <c r="J2107" s="24"/>
    </row>
    <row r="2108">
      <c r="J2108" s="24"/>
    </row>
    <row r="2109">
      <c r="J2109" s="24"/>
    </row>
    <row r="2110">
      <c r="J2110" s="24"/>
    </row>
    <row r="2111">
      <c r="J2111" s="24"/>
    </row>
    <row r="2112">
      <c r="J2112" s="24"/>
    </row>
    <row r="2113">
      <c r="J2113" s="24"/>
    </row>
    <row r="2114">
      <c r="J2114" s="24"/>
    </row>
    <row r="2115">
      <c r="J2115" s="24"/>
    </row>
    <row r="2116">
      <c r="J2116" s="24"/>
    </row>
    <row r="2117">
      <c r="J2117" s="24"/>
    </row>
    <row r="2118">
      <c r="J2118" s="24"/>
    </row>
    <row r="2119">
      <c r="J2119" s="24"/>
    </row>
    <row r="2120">
      <c r="J2120" s="24"/>
    </row>
    <row r="2121">
      <c r="J2121" s="24"/>
    </row>
    <row r="2122">
      <c r="J2122" s="24"/>
    </row>
    <row r="2123">
      <c r="J2123" s="24"/>
    </row>
    <row r="2124">
      <c r="J2124" s="24"/>
    </row>
    <row r="2125">
      <c r="J2125" s="24"/>
    </row>
    <row r="2126">
      <c r="J2126" s="24"/>
    </row>
    <row r="2127">
      <c r="J2127" s="24"/>
    </row>
    <row r="2128">
      <c r="J2128" s="24"/>
    </row>
    <row r="2129">
      <c r="J2129" s="24"/>
    </row>
    <row r="2130">
      <c r="J2130" s="24"/>
    </row>
    <row r="2131">
      <c r="J2131" s="24"/>
    </row>
    <row r="2132">
      <c r="J2132" s="24"/>
    </row>
    <row r="2133">
      <c r="J2133" s="24"/>
    </row>
    <row r="2134">
      <c r="J2134" s="24"/>
    </row>
    <row r="2135">
      <c r="J2135" s="24"/>
    </row>
    <row r="2136">
      <c r="J2136" s="24"/>
    </row>
    <row r="2137">
      <c r="J2137" s="24"/>
    </row>
    <row r="2138">
      <c r="J2138" s="24"/>
    </row>
    <row r="2139">
      <c r="J2139" s="24"/>
    </row>
    <row r="2140">
      <c r="J2140" s="24"/>
    </row>
    <row r="2141">
      <c r="J2141" s="24"/>
    </row>
    <row r="2142">
      <c r="J2142" s="24"/>
    </row>
    <row r="2143">
      <c r="J2143" s="24"/>
    </row>
    <row r="2144">
      <c r="J2144" s="24"/>
    </row>
    <row r="2145">
      <c r="J2145" s="24"/>
    </row>
    <row r="2146">
      <c r="J2146" s="24"/>
    </row>
    <row r="2147">
      <c r="J2147" s="24"/>
    </row>
    <row r="2148">
      <c r="J2148" s="24"/>
    </row>
    <row r="2149">
      <c r="J2149" s="24"/>
    </row>
    <row r="2150">
      <c r="J2150" s="24"/>
    </row>
    <row r="2151">
      <c r="J2151" s="24"/>
    </row>
    <row r="2152">
      <c r="J2152" s="24"/>
    </row>
    <row r="2153">
      <c r="J2153" s="24"/>
    </row>
    <row r="2154">
      <c r="J2154" s="24"/>
    </row>
    <row r="2155">
      <c r="J2155" s="24"/>
    </row>
    <row r="2156">
      <c r="J2156" s="24"/>
    </row>
    <row r="2157">
      <c r="J2157" s="24"/>
    </row>
    <row r="2158">
      <c r="J2158" s="24"/>
    </row>
    <row r="2159">
      <c r="J2159" s="24"/>
    </row>
    <row r="2160">
      <c r="J2160" s="24"/>
    </row>
    <row r="2161">
      <c r="J2161" s="24"/>
    </row>
    <row r="2162">
      <c r="J2162" s="24"/>
    </row>
    <row r="2163">
      <c r="J2163" s="24"/>
    </row>
    <row r="2164">
      <c r="J2164" s="24"/>
    </row>
    <row r="2165">
      <c r="J2165" s="24"/>
    </row>
    <row r="2166">
      <c r="J2166" s="24"/>
    </row>
    <row r="2167">
      <c r="J2167" s="24"/>
    </row>
    <row r="2168">
      <c r="J2168" s="24"/>
    </row>
    <row r="2169">
      <c r="J2169" s="24"/>
    </row>
    <row r="2170">
      <c r="J2170" s="24"/>
    </row>
    <row r="2171">
      <c r="J2171" s="24"/>
    </row>
    <row r="2172">
      <c r="J2172" s="24"/>
    </row>
    <row r="2173">
      <c r="J2173" s="24"/>
    </row>
    <row r="2174">
      <c r="J2174" s="24"/>
    </row>
    <row r="2175">
      <c r="J2175" s="24"/>
    </row>
    <row r="2176">
      <c r="J2176" s="24"/>
    </row>
    <row r="2177">
      <c r="J2177" s="24"/>
    </row>
    <row r="2178">
      <c r="J2178" s="24"/>
    </row>
    <row r="2179">
      <c r="J2179" s="24"/>
    </row>
    <row r="2180">
      <c r="J2180" s="24"/>
    </row>
    <row r="2181">
      <c r="J2181" s="24"/>
    </row>
    <row r="2182">
      <c r="J2182" s="24"/>
    </row>
    <row r="2183">
      <c r="J2183" s="24"/>
    </row>
    <row r="2184">
      <c r="J2184" s="24"/>
    </row>
    <row r="2185">
      <c r="J2185" s="24"/>
    </row>
    <row r="2186">
      <c r="J2186" s="24"/>
    </row>
    <row r="2187">
      <c r="J2187" s="24"/>
    </row>
    <row r="2188">
      <c r="J2188" s="24"/>
    </row>
    <row r="2189">
      <c r="J2189" s="24"/>
    </row>
    <row r="2190">
      <c r="J2190" s="24"/>
    </row>
    <row r="2191">
      <c r="J2191" s="24"/>
    </row>
    <row r="2192">
      <c r="J2192" s="24"/>
    </row>
    <row r="2193">
      <c r="J2193" s="24"/>
    </row>
    <row r="2194">
      <c r="J2194" s="24"/>
    </row>
    <row r="2195">
      <c r="J2195" s="24"/>
    </row>
    <row r="2196">
      <c r="J2196" s="24"/>
    </row>
    <row r="2197">
      <c r="J2197" s="24"/>
    </row>
    <row r="2198">
      <c r="J2198" s="24"/>
    </row>
    <row r="2199">
      <c r="J2199" s="24"/>
    </row>
    <row r="2200">
      <c r="J2200" s="24"/>
    </row>
    <row r="2201">
      <c r="J2201" s="24"/>
    </row>
    <row r="2202">
      <c r="J2202" s="24"/>
    </row>
    <row r="2203">
      <c r="J2203" s="24"/>
    </row>
    <row r="2204">
      <c r="J2204" s="24"/>
    </row>
    <row r="2205">
      <c r="J2205" s="24"/>
    </row>
    <row r="2206">
      <c r="J2206" s="24"/>
    </row>
    <row r="2207">
      <c r="J2207" s="24"/>
    </row>
    <row r="2208">
      <c r="J2208" s="24"/>
    </row>
    <row r="2209">
      <c r="J2209" s="24"/>
    </row>
    <row r="2210">
      <c r="J2210" s="24"/>
    </row>
    <row r="2211">
      <c r="J2211" s="24"/>
    </row>
    <row r="2212">
      <c r="J2212" s="24"/>
    </row>
    <row r="2213">
      <c r="J2213" s="24"/>
    </row>
    <row r="2214">
      <c r="J2214" s="24"/>
    </row>
    <row r="2215">
      <c r="J2215" s="24"/>
    </row>
    <row r="2216">
      <c r="J2216" s="24"/>
    </row>
    <row r="2217">
      <c r="J2217" s="24"/>
    </row>
    <row r="2218">
      <c r="J2218" s="24"/>
    </row>
    <row r="2219">
      <c r="J2219" s="24"/>
    </row>
    <row r="2220">
      <c r="J2220" s="24"/>
    </row>
    <row r="2221">
      <c r="J2221" s="24"/>
    </row>
    <row r="2222">
      <c r="J2222" s="24"/>
    </row>
    <row r="2223">
      <c r="J2223" s="24"/>
    </row>
    <row r="2224">
      <c r="J2224" s="24"/>
    </row>
    <row r="2225">
      <c r="J2225" s="24"/>
    </row>
    <row r="2226">
      <c r="J2226" s="24"/>
    </row>
    <row r="2227">
      <c r="J2227" s="24"/>
    </row>
    <row r="2228">
      <c r="J2228" s="24"/>
    </row>
    <row r="2229">
      <c r="J2229" s="24"/>
    </row>
    <row r="2230">
      <c r="J2230" s="24"/>
    </row>
    <row r="2231">
      <c r="J2231" s="24"/>
    </row>
    <row r="2232">
      <c r="J2232" s="24"/>
    </row>
    <row r="2233">
      <c r="J2233" s="24"/>
    </row>
    <row r="2234">
      <c r="J2234" s="24"/>
    </row>
    <row r="2235">
      <c r="J2235" s="24"/>
    </row>
    <row r="2236">
      <c r="J2236" s="24"/>
    </row>
    <row r="2237">
      <c r="J2237" s="24"/>
    </row>
    <row r="2238">
      <c r="J2238" s="24"/>
    </row>
    <row r="2239">
      <c r="J2239" s="24"/>
    </row>
    <row r="2240">
      <c r="J2240" s="24"/>
    </row>
    <row r="2241">
      <c r="J2241" s="24"/>
    </row>
    <row r="2242">
      <c r="J2242" s="24"/>
    </row>
    <row r="2243">
      <c r="J2243" s="24"/>
    </row>
    <row r="2244">
      <c r="J2244" s="24"/>
    </row>
    <row r="2245">
      <c r="J2245" s="24"/>
    </row>
    <row r="2246">
      <c r="J2246" s="24"/>
    </row>
    <row r="2247">
      <c r="J2247" s="24"/>
    </row>
    <row r="2248">
      <c r="J2248" s="24"/>
    </row>
    <row r="2249">
      <c r="J2249" s="24"/>
    </row>
    <row r="2250">
      <c r="J2250" s="24"/>
    </row>
    <row r="2251">
      <c r="J2251" s="24"/>
    </row>
    <row r="2252">
      <c r="J2252" s="24"/>
    </row>
    <row r="2253">
      <c r="J2253" s="24"/>
    </row>
    <row r="2254">
      <c r="J2254" s="24"/>
    </row>
    <row r="2255">
      <c r="J2255" s="24"/>
    </row>
    <row r="2256">
      <c r="J2256" s="24"/>
    </row>
    <row r="2257">
      <c r="J2257" s="24"/>
    </row>
    <row r="2258">
      <c r="J2258" s="24"/>
    </row>
    <row r="2259">
      <c r="J2259" s="24"/>
    </row>
    <row r="2260">
      <c r="J2260" s="24"/>
    </row>
    <row r="2261">
      <c r="J2261" s="24"/>
    </row>
    <row r="2262">
      <c r="J2262" s="24"/>
    </row>
    <row r="2263">
      <c r="J2263" s="24"/>
    </row>
    <row r="2264">
      <c r="J2264" s="24"/>
    </row>
    <row r="2265">
      <c r="J2265" s="24"/>
    </row>
    <row r="2266">
      <c r="J2266" s="24"/>
    </row>
    <row r="2267">
      <c r="J2267" s="24"/>
    </row>
    <row r="2268">
      <c r="J2268" s="24"/>
    </row>
    <row r="2269">
      <c r="J2269" s="24"/>
    </row>
    <row r="2270">
      <c r="J2270" s="24"/>
    </row>
    <row r="2271">
      <c r="J2271" s="24"/>
    </row>
    <row r="2272">
      <c r="J2272" s="24"/>
    </row>
    <row r="2273">
      <c r="J2273" s="24"/>
    </row>
    <row r="2274">
      <c r="J2274" s="24"/>
    </row>
    <row r="2275">
      <c r="J2275" s="24"/>
    </row>
    <row r="2276">
      <c r="J2276" s="24"/>
    </row>
    <row r="2277">
      <c r="J2277" s="24"/>
    </row>
    <row r="2278">
      <c r="J2278" s="24"/>
    </row>
    <row r="2279">
      <c r="J2279" s="24"/>
    </row>
    <row r="2280">
      <c r="J2280" s="24"/>
    </row>
    <row r="2281">
      <c r="J2281" s="24"/>
    </row>
    <row r="2282">
      <c r="J2282" s="24"/>
    </row>
    <row r="2283">
      <c r="J2283" s="24"/>
    </row>
    <row r="2284">
      <c r="J2284" s="24"/>
    </row>
    <row r="2285">
      <c r="J2285" s="24"/>
    </row>
    <row r="2286">
      <c r="J2286" s="24"/>
    </row>
    <row r="2287">
      <c r="J2287" s="24"/>
    </row>
    <row r="2288">
      <c r="J2288" s="24"/>
    </row>
    <row r="2289">
      <c r="J2289" s="24"/>
    </row>
    <row r="2290">
      <c r="J2290" s="24"/>
    </row>
    <row r="2291">
      <c r="J2291" s="24"/>
    </row>
    <row r="2292">
      <c r="J2292" s="24"/>
    </row>
    <row r="2293">
      <c r="J2293" s="24"/>
    </row>
    <row r="2294">
      <c r="J2294" s="24"/>
    </row>
    <row r="2295">
      <c r="J2295" s="24"/>
    </row>
    <row r="2296">
      <c r="J2296" s="24"/>
    </row>
    <row r="2297">
      <c r="J2297" s="24"/>
    </row>
    <row r="2298">
      <c r="J2298" s="24"/>
    </row>
    <row r="2299">
      <c r="J2299" s="24"/>
    </row>
    <row r="2300">
      <c r="J2300" s="24"/>
    </row>
    <row r="2301">
      <c r="J2301" s="24"/>
    </row>
    <row r="2302">
      <c r="J2302" s="24"/>
    </row>
    <row r="2303">
      <c r="J2303" s="24"/>
    </row>
    <row r="2304">
      <c r="J2304" s="24"/>
    </row>
    <row r="2305">
      <c r="J2305" s="24"/>
    </row>
    <row r="2306">
      <c r="J2306" s="24"/>
    </row>
    <row r="2307">
      <c r="J2307" s="24"/>
    </row>
    <row r="2308">
      <c r="J2308" s="24"/>
    </row>
    <row r="2309">
      <c r="J2309" s="24"/>
    </row>
    <row r="2310">
      <c r="J2310" s="24"/>
    </row>
    <row r="2311">
      <c r="J2311" s="24"/>
    </row>
    <row r="2312">
      <c r="J2312" s="24"/>
    </row>
    <row r="2313">
      <c r="J2313" s="24"/>
    </row>
    <row r="2314">
      <c r="J2314" s="24"/>
    </row>
    <row r="2315">
      <c r="J2315" s="24"/>
    </row>
    <row r="2316">
      <c r="J2316" s="24"/>
    </row>
    <row r="2317">
      <c r="J2317" s="24"/>
    </row>
    <row r="2318">
      <c r="J2318" s="24"/>
    </row>
    <row r="2319">
      <c r="J2319" s="24"/>
    </row>
    <row r="2320">
      <c r="J2320" s="24"/>
    </row>
    <row r="2321">
      <c r="J2321" s="24"/>
    </row>
    <row r="2322">
      <c r="J2322" s="24"/>
    </row>
    <row r="2323">
      <c r="J2323" s="24"/>
    </row>
    <row r="2324">
      <c r="J2324" s="24"/>
    </row>
    <row r="2325">
      <c r="J2325" s="24"/>
    </row>
    <row r="2326">
      <c r="J2326" s="24"/>
    </row>
    <row r="2327">
      <c r="J2327" s="24"/>
    </row>
    <row r="2328">
      <c r="J2328" s="24"/>
    </row>
    <row r="2329">
      <c r="J2329" s="24"/>
    </row>
    <row r="2330">
      <c r="J2330" s="24"/>
    </row>
    <row r="2331">
      <c r="J2331" s="24"/>
    </row>
    <row r="2332">
      <c r="J2332" s="24"/>
    </row>
    <row r="2333">
      <c r="J2333" s="24"/>
    </row>
    <row r="2334">
      <c r="J2334" s="24"/>
    </row>
    <row r="2335">
      <c r="J2335" s="24"/>
    </row>
    <row r="2336">
      <c r="J2336" s="24"/>
    </row>
    <row r="2337">
      <c r="J2337" s="24"/>
    </row>
    <row r="2338">
      <c r="J2338" s="24"/>
    </row>
    <row r="2339">
      <c r="J2339" s="24"/>
    </row>
    <row r="2340">
      <c r="J2340" s="24"/>
    </row>
    <row r="2341">
      <c r="J2341" s="24"/>
    </row>
    <row r="2342">
      <c r="J2342" s="24"/>
    </row>
    <row r="2343">
      <c r="J2343" s="24"/>
    </row>
    <row r="2344">
      <c r="J2344" s="24"/>
    </row>
    <row r="2345">
      <c r="J2345" s="24"/>
    </row>
    <row r="2346">
      <c r="J2346" s="24"/>
    </row>
    <row r="2347">
      <c r="J2347" s="24"/>
    </row>
    <row r="2348">
      <c r="J2348" s="24"/>
    </row>
    <row r="2349">
      <c r="J2349" s="24"/>
    </row>
    <row r="2350">
      <c r="J2350" s="24"/>
    </row>
    <row r="2351">
      <c r="J2351" s="24"/>
    </row>
    <row r="2352">
      <c r="J2352" s="24"/>
    </row>
    <row r="2353">
      <c r="J2353" s="24"/>
    </row>
    <row r="2354">
      <c r="J2354" s="24"/>
    </row>
    <row r="2355">
      <c r="J2355" s="24"/>
    </row>
    <row r="2356">
      <c r="J2356" s="24"/>
    </row>
    <row r="2357">
      <c r="J2357" s="24"/>
    </row>
    <row r="2358">
      <c r="J2358" s="24"/>
    </row>
    <row r="2359">
      <c r="J2359" s="24"/>
    </row>
    <row r="2360">
      <c r="J2360" s="24"/>
    </row>
    <row r="2361">
      <c r="J2361" s="24"/>
    </row>
    <row r="2362">
      <c r="J2362" s="24"/>
    </row>
    <row r="2363">
      <c r="J2363" s="24"/>
    </row>
    <row r="2364">
      <c r="J2364" s="24"/>
    </row>
    <row r="2365">
      <c r="J2365" s="24"/>
    </row>
    <row r="2366">
      <c r="J2366" s="24"/>
    </row>
    <row r="2367">
      <c r="J2367" s="24"/>
    </row>
    <row r="2368">
      <c r="J2368" s="24"/>
    </row>
    <row r="2369">
      <c r="J2369" s="24"/>
    </row>
    <row r="2370">
      <c r="J2370" s="24"/>
    </row>
    <row r="2371">
      <c r="J2371" s="24"/>
    </row>
    <row r="2372">
      <c r="J2372" s="24"/>
    </row>
    <row r="2373">
      <c r="J2373" s="24"/>
    </row>
    <row r="2374">
      <c r="J2374" s="24"/>
    </row>
    <row r="2375">
      <c r="J2375" s="24"/>
    </row>
    <row r="2376">
      <c r="J2376" s="24"/>
    </row>
    <row r="2377">
      <c r="J2377" s="24"/>
    </row>
    <row r="2378">
      <c r="J2378" s="24"/>
    </row>
    <row r="2379">
      <c r="J2379" s="24"/>
    </row>
    <row r="2380">
      <c r="J2380" s="24"/>
    </row>
    <row r="2381">
      <c r="J2381" s="24"/>
    </row>
    <row r="2382">
      <c r="J2382" s="24"/>
    </row>
    <row r="2383">
      <c r="J2383" s="24"/>
    </row>
    <row r="2384">
      <c r="J2384" s="24"/>
    </row>
    <row r="2385">
      <c r="J2385" s="24"/>
    </row>
    <row r="2386">
      <c r="J2386" s="24"/>
    </row>
    <row r="2387">
      <c r="J2387" s="24"/>
    </row>
    <row r="2388">
      <c r="J2388" s="24"/>
    </row>
    <row r="2389">
      <c r="J2389" s="24"/>
    </row>
    <row r="2390">
      <c r="J2390" s="24"/>
    </row>
    <row r="2391">
      <c r="J2391" s="24"/>
    </row>
    <row r="2392">
      <c r="J2392" s="24"/>
    </row>
    <row r="2393">
      <c r="J2393" s="24"/>
    </row>
    <row r="2394">
      <c r="J2394" s="24"/>
    </row>
    <row r="2395">
      <c r="J2395" s="24"/>
    </row>
    <row r="2396">
      <c r="J2396" s="24"/>
    </row>
    <row r="2397">
      <c r="J2397" s="24"/>
    </row>
    <row r="2398">
      <c r="J2398" s="24"/>
    </row>
    <row r="2399">
      <c r="J2399" s="24"/>
    </row>
    <row r="2400">
      <c r="J2400" s="24"/>
    </row>
    <row r="2401">
      <c r="J2401" s="24"/>
    </row>
    <row r="2402">
      <c r="J2402" s="24"/>
    </row>
    <row r="2403">
      <c r="J2403" s="24"/>
    </row>
    <row r="2404">
      <c r="J2404" s="24"/>
    </row>
    <row r="2405">
      <c r="J2405" s="24"/>
    </row>
    <row r="2406">
      <c r="J2406" s="24"/>
    </row>
    <row r="2407">
      <c r="J2407" s="24"/>
    </row>
    <row r="2408">
      <c r="J2408" s="24"/>
    </row>
    <row r="2409">
      <c r="J2409" s="24"/>
    </row>
    <row r="2410">
      <c r="J2410" s="24"/>
    </row>
    <row r="2411">
      <c r="J2411" s="24"/>
    </row>
    <row r="2412">
      <c r="J2412" s="24"/>
    </row>
    <row r="2413">
      <c r="J2413" s="24"/>
    </row>
    <row r="2414">
      <c r="J2414" s="24"/>
    </row>
    <row r="2415">
      <c r="J2415" s="24"/>
    </row>
    <row r="2416">
      <c r="J2416" s="24"/>
    </row>
    <row r="2417">
      <c r="J2417" s="24"/>
    </row>
    <row r="2418">
      <c r="J2418" s="24"/>
    </row>
    <row r="2419">
      <c r="J2419" s="24"/>
    </row>
    <row r="2420">
      <c r="J2420" s="24"/>
    </row>
    <row r="2421">
      <c r="J2421" s="24"/>
    </row>
    <row r="2422">
      <c r="J2422" s="24"/>
    </row>
    <row r="2423">
      <c r="J2423" s="24"/>
    </row>
    <row r="2424">
      <c r="J2424" s="24"/>
    </row>
    <row r="2425">
      <c r="J2425" s="24"/>
    </row>
    <row r="2426">
      <c r="J2426" s="24"/>
    </row>
    <row r="2427">
      <c r="J2427" s="24"/>
    </row>
    <row r="2428">
      <c r="J2428" s="24"/>
    </row>
    <row r="2429">
      <c r="J2429" s="24"/>
    </row>
    <row r="2430">
      <c r="J2430" s="24"/>
    </row>
    <row r="2431">
      <c r="J2431" s="24"/>
    </row>
    <row r="2432">
      <c r="J2432" s="24"/>
    </row>
    <row r="2433">
      <c r="J2433" s="24"/>
    </row>
    <row r="2434">
      <c r="J2434" s="24"/>
    </row>
    <row r="2435">
      <c r="J2435" s="24"/>
    </row>
    <row r="2436">
      <c r="J2436" s="24"/>
    </row>
    <row r="2437">
      <c r="J2437" s="24"/>
    </row>
    <row r="2438">
      <c r="J2438" s="24"/>
    </row>
    <row r="2439">
      <c r="J2439" s="24"/>
    </row>
    <row r="2440">
      <c r="J2440" s="24"/>
    </row>
    <row r="2441">
      <c r="J2441" s="24"/>
    </row>
    <row r="2442">
      <c r="J2442" s="24"/>
    </row>
    <row r="2443">
      <c r="J2443" s="24"/>
    </row>
    <row r="2444">
      <c r="J2444" s="24"/>
    </row>
    <row r="2445">
      <c r="J2445" s="24"/>
    </row>
    <row r="2446">
      <c r="J2446" s="24"/>
    </row>
    <row r="2447">
      <c r="J2447" s="24"/>
    </row>
    <row r="2448">
      <c r="J2448" s="24"/>
    </row>
    <row r="2449">
      <c r="J2449" s="24"/>
    </row>
    <row r="2450">
      <c r="J2450" s="24"/>
    </row>
    <row r="2451">
      <c r="J2451" s="24"/>
    </row>
    <row r="2452">
      <c r="J2452" s="24"/>
    </row>
    <row r="2453">
      <c r="J2453" s="24"/>
    </row>
    <row r="2454">
      <c r="J2454" s="24"/>
    </row>
    <row r="2455">
      <c r="J2455" s="24"/>
    </row>
    <row r="2456">
      <c r="J2456" s="24"/>
    </row>
    <row r="2457">
      <c r="J2457" s="24"/>
    </row>
    <row r="2458">
      <c r="J2458" s="24"/>
    </row>
    <row r="2459">
      <c r="J2459" s="24"/>
    </row>
    <row r="2460">
      <c r="J2460" s="24"/>
    </row>
    <row r="2461">
      <c r="J2461" s="24"/>
    </row>
    <row r="2462">
      <c r="J2462" s="24"/>
    </row>
    <row r="2463">
      <c r="J2463" s="24"/>
    </row>
    <row r="2464">
      <c r="J2464" s="24"/>
    </row>
    <row r="2465">
      <c r="J2465" s="24"/>
    </row>
    <row r="2466">
      <c r="J2466" s="24"/>
    </row>
    <row r="2467">
      <c r="J2467" s="24"/>
    </row>
    <row r="2468">
      <c r="J2468" s="24"/>
    </row>
    <row r="2469">
      <c r="J2469" s="24"/>
    </row>
    <row r="2470">
      <c r="J2470" s="24"/>
    </row>
    <row r="2471">
      <c r="J2471" s="24"/>
    </row>
    <row r="2472">
      <c r="J2472" s="24"/>
    </row>
    <row r="2473">
      <c r="J2473" s="24"/>
    </row>
    <row r="2474">
      <c r="J2474" s="24"/>
    </row>
    <row r="2475">
      <c r="J2475" s="24"/>
    </row>
    <row r="2476">
      <c r="J2476" s="24"/>
    </row>
    <row r="2477">
      <c r="J2477" s="24"/>
    </row>
    <row r="2478">
      <c r="J2478" s="24"/>
    </row>
    <row r="2479">
      <c r="J2479" s="24"/>
    </row>
    <row r="2480">
      <c r="J2480" s="24"/>
    </row>
    <row r="2481">
      <c r="J2481" s="24"/>
    </row>
    <row r="2482">
      <c r="J2482" s="24"/>
    </row>
    <row r="2483">
      <c r="J2483" s="24"/>
    </row>
    <row r="2484">
      <c r="J2484" s="24"/>
    </row>
    <row r="2485">
      <c r="J2485" s="24"/>
    </row>
    <row r="2486">
      <c r="J2486" s="24"/>
    </row>
    <row r="2487">
      <c r="J2487" s="24"/>
    </row>
    <row r="2488">
      <c r="J2488" s="24"/>
    </row>
    <row r="2489">
      <c r="J2489" s="24"/>
    </row>
    <row r="2490">
      <c r="J2490" s="24"/>
    </row>
    <row r="2491">
      <c r="J2491" s="24"/>
    </row>
    <row r="2492">
      <c r="J2492" s="24"/>
    </row>
    <row r="2493">
      <c r="J2493" s="24"/>
    </row>
    <row r="2494">
      <c r="J2494" s="24"/>
    </row>
    <row r="2495">
      <c r="J2495" s="24"/>
    </row>
    <row r="2496">
      <c r="J2496" s="24"/>
    </row>
    <row r="2497">
      <c r="J2497" s="24"/>
    </row>
    <row r="2498">
      <c r="J2498" s="24"/>
    </row>
    <row r="2499">
      <c r="J2499" s="24"/>
    </row>
    <row r="2500">
      <c r="J2500" s="24"/>
    </row>
    <row r="2501">
      <c r="J2501" s="24"/>
    </row>
    <row r="2502">
      <c r="J2502" s="24"/>
    </row>
    <row r="2503">
      <c r="J2503" s="24"/>
    </row>
    <row r="2504">
      <c r="J2504" s="24"/>
    </row>
    <row r="2505">
      <c r="J2505" s="24"/>
    </row>
    <row r="2506">
      <c r="J2506" s="24"/>
    </row>
    <row r="2507">
      <c r="J2507" s="24"/>
    </row>
    <row r="2508">
      <c r="J2508" s="24"/>
    </row>
    <row r="2509">
      <c r="J2509" s="24"/>
    </row>
    <row r="2510">
      <c r="J2510" s="24"/>
    </row>
    <row r="2511">
      <c r="J2511" s="24"/>
    </row>
    <row r="2512">
      <c r="J2512" s="24"/>
    </row>
    <row r="2513">
      <c r="J2513" s="24"/>
    </row>
    <row r="2514">
      <c r="J2514" s="24"/>
    </row>
    <row r="2515">
      <c r="J2515" s="24"/>
    </row>
    <row r="2516">
      <c r="J2516" s="24"/>
    </row>
    <row r="2517">
      <c r="J2517" s="24"/>
    </row>
    <row r="2518">
      <c r="J2518" s="24"/>
    </row>
    <row r="2519">
      <c r="J2519" s="24"/>
    </row>
    <row r="2520">
      <c r="J2520" s="24"/>
    </row>
    <row r="2521">
      <c r="J2521" s="24"/>
    </row>
    <row r="2522">
      <c r="J2522" s="24"/>
    </row>
    <row r="2523">
      <c r="J2523" s="24"/>
    </row>
    <row r="2524">
      <c r="J2524" s="24"/>
    </row>
    <row r="2525">
      <c r="J2525" s="24"/>
    </row>
    <row r="2526">
      <c r="J2526" s="24"/>
    </row>
    <row r="2527">
      <c r="J2527" s="24"/>
    </row>
    <row r="2528">
      <c r="J2528" s="24"/>
    </row>
    <row r="2529">
      <c r="J2529" s="24"/>
    </row>
    <row r="2530">
      <c r="J2530" s="24"/>
    </row>
    <row r="2531">
      <c r="J2531" s="24"/>
    </row>
    <row r="2532">
      <c r="J2532" s="24"/>
    </row>
    <row r="2533">
      <c r="J2533" s="24"/>
    </row>
    <row r="2534">
      <c r="J2534" s="24"/>
    </row>
    <row r="2535">
      <c r="J2535" s="24"/>
    </row>
    <row r="2536">
      <c r="J2536" s="24"/>
    </row>
    <row r="2537">
      <c r="J2537" s="24"/>
    </row>
    <row r="2538">
      <c r="J2538" s="24"/>
    </row>
    <row r="2539">
      <c r="J2539" s="24"/>
    </row>
    <row r="2540">
      <c r="J2540" s="24"/>
    </row>
    <row r="2541">
      <c r="J2541" s="24"/>
    </row>
    <row r="2542">
      <c r="J2542" s="24"/>
    </row>
    <row r="2543">
      <c r="J2543" s="24"/>
    </row>
    <row r="2544">
      <c r="J2544" s="24"/>
    </row>
    <row r="2545">
      <c r="J2545" s="24"/>
    </row>
    <row r="2546">
      <c r="J2546" s="24"/>
    </row>
    <row r="2547">
      <c r="J2547" s="24"/>
    </row>
    <row r="2548">
      <c r="J2548" s="24"/>
    </row>
    <row r="2549">
      <c r="J2549" s="24"/>
    </row>
    <row r="2550">
      <c r="J2550" s="24"/>
    </row>
    <row r="2551">
      <c r="J2551" s="24"/>
    </row>
    <row r="2552">
      <c r="J2552" s="24"/>
    </row>
    <row r="2553">
      <c r="J2553" s="24"/>
    </row>
    <row r="2554">
      <c r="J2554" s="24"/>
    </row>
    <row r="2555">
      <c r="J2555" s="24"/>
    </row>
    <row r="2556">
      <c r="J2556" s="24"/>
    </row>
    <row r="2557">
      <c r="J2557" s="24"/>
    </row>
    <row r="2558">
      <c r="J2558" s="24"/>
    </row>
    <row r="2559">
      <c r="J2559" s="24"/>
    </row>
    <row r="2560">
      <c r="J2560" s="24"/>
    </row>
    <row r="2561">
      <c r="J2561" s="24"/>
    </row>
    <row r="2562">
      <c r="J2562" s="24"/>
    </row>
    <row r="2563">
      <c r="J2563" s="24"/>
    </row>
    <row r="2564">
      <c r="J2564" s="24"/>
    </row>
    <row r="2565">
      <c r="J2565" s="24"/>
    </row>
    <row r="2566">
      <c r="J2566" s="24"/>
    </row>
    <row r="2567">
      <c r="J2567" s="24"/>
    </row>
    <row r="2568">
      <c r="J2568" s="24"/>
    </row>
    <row r="2569">
      <c r="J2569" s="24"/>
    </row>
    <row r="2570">
      <c r="J2570" s="24"/>
    </row>
    <row r="2571">
      <c r="J2571" s="24"/>
    </row>
    <row r="2572">
      <c r="J2572" s="24"/>
    </row>
    <row r="2573">
      <c r="J2573" s="24"/>
    </row>
    <row r="2574">
      <c r="J2574" s="24"/>
    </row>
    <row r="2575">
      <c r="J2575" s="24"/>
    </row>
    <row r="2576">
      <c r="J2576" s="24"/>
    </row>
    <row r="2577">
      <c r="J2577" s="24"/>
    </row>
    <row r="2578">
      <c r="J2578" s="24"/>
    </row>
    <row r="2579">
      <c r="J2579" s="24"/>
    </row>
    <row r="2580">
      <c r="J2580" s="24"/>
    </row>
    <row r="2581">
      <c r="J2581" s="24"/>
    </row>
    <row r="2582">
      <c r="J2582" s="24"/>
    </row>
    <row r="2583">
      <c r="J2583" s="24"/>
    </row>
    <row r="2584">
      <c r="J2584" s="24"/>
    </row>
    <row r="2585">
      <c r="J2585" s="24"/>
    </row>
    <row r="2586">
      <c r="J2586" s="24"/>
    </row>
    <row r="2587">
      <c r="J2587" s="24"/>
    </row>
    <row r="2588">
      <c r="J2588" s="24"/>
    </row>
    <row r="2589">
      <c r="J2589" s="24"/>
    </row>
    <row r="2590">
      <c r="J2590" s="24"/>
    </row>
    <row r="2591">
      <c r="J2591" s="24"/>
    </row>
    <row r="2592">
      <c r="J2592" s="24"/>
    </row>
    <row r="2593">
      <c r="J2593" s="24"/>
    </row>
    <row r="2594">
      <c r="J2594" s="24"/>
    </row>
    <row r="2595">
      <c r="J2595" s="24"/>
    </row>
    <row r="2596">
      <c r="J2596" s="24"/>
    </row>
    <row r="2597">
      <c r="J2597" s="24"/>
    </row>
    <row r="2598">
      <c r="J2598" s="24"/>
    </row>
    <row r="2599">
      <c r="J2599" s="24"/>
    </row>
    <row r="2600">
      <c r="J2600" s="24"/>
    </row>
    <row r="2601">
      <c r="J2601" s="24"/>
    </row>
    <row r="2602">
      <c r="J2602" s="24"/>
    </row>
    <row r="2603">
      <c r="J2603" s="24"/>
    </row>
    <row r="2604">
      <c r="J2604" s="24"/>
    </row>
    <row r="2605">
      <c r="J2605" s="24"/>
    </row>
    <row r="2606">
      <c r="J2606" s="24"/>
    </row>
    <row r="2607">
      <c r="J2607" s="24"/>
    </row>
    <row r="2608">
      <c r="J2608" s="24"/>
    </row>
    <row r="2609">
      <c r="J2609" s="24"/>
    </row>
    <row r="2610">
      <c r="J2610" s="24"/>
    </row>
    <row r="2611">
      <c r="J2611" s="24"/>
    </row>
    <row r="2612">
      <c r="J2612" s="24"/>
    </row>
    <row r="2613">
      <c r="J2613" s="24"/>
    </row>
    <row r="2614">
      <c r="J2614" s="24"/>
    </row>
    <row r="2615">
      <c r="J2615" s="24"/>
    </row>
    <row r="2616">
      <c r="J2616" s="24"/>
    </row>
    <row r="2617">
      <c r="J2617" s="24"/>
    </row>
    <row r="2618">
      <c r="J2618" s="24"/>
    </row>
    <row r="2619">
      <c r="J2619" s="24"/>
    </row>
    <row r="2620">
      <c r="J2620" s="24"/>
    </row>
    <row r="2621">
      <c r="J2621" s="24"/>
    </row>
    <row r="2622">
      <c r="J2622" s="24"/>
    </row>
    <row r="2623">
      <c r="J2623" s="24"/>
    </row>
    <row r="2624">
      <c r="J2624" s="24"/>
    </row>
    <row r="2625">
      <c r="J2625" s="24"/>
    </row>
    <row r="2626">
      <c r="J2626" s="24"/>
    </row>
    <row r="2627">
      <c r="J2627" s="24"/>
    </row>
    <row r="2628">
      <c r="J2628" s="24"/>
    </row>
    <row r="2629">
      <c r="J2629" s="24"/>
    </row>
    <row r="2630">
      <c r="J2630" s="24"/>
    </row>
    <row r="2631">
      <c r="J2631" s="24"/>
    </row>
    <row r="2632">
      <c r="J2632" s="24"/>
    </row>
    <row r="2633">
      <c r="J2633" s="24"/>
    </row>
    <row r="2634">
      <c r="J2634" s="24"/>
    </row>
    <row r="2635">
      <c r="J2635" s="24"/>
    </row>
    <row r="2636">
      <c r="J2636" s="24"/>
    </row>
    <row r="2637">
      <c r="J2637" s="24"/>
    </row>
    <row r="2638">
      <c r="J2638" s="24"/>
    </row>
    <row r="2639">
      <c r="J2639" s="24"/>
    </row>
    <row r="2640">
      <c r="J2640" s="24"/>
    </row>
    <row r="2641">
      <c r="J2641" s="24"/>
    </row>
    <row r="2642">
      <c r="J2642" s="24"/>
    </row>
    <row r="2643">
      <c r="J2643" s="24"/>
    </row>
    <row r="2644">
      <c r="J2644" s="24"/>
    </row>
    <row r="2645">
      <c r="J2645" s="24"/>
    </row>
    <row r="2646">
      <c r="J2646" s="24"/>
    </row>
    <row r="2647">
      <c r="J2647" s="24"/>
    </row>
    <row r="2648">
      <c r="J2648" s="24"/>
    </row>
    <row r="2649">
      <c r="J2649" s="24"/>
    </row>
    <row r="2650">
      <c r="J2650" s="24"/>
    </row>
    <row r="2651">
      <c r="J2651" s="24"/>
    </row>
    <row r="2652">
      <c r="J2652" s="24"/>
    </row>
    <row r="2653">
      <c r="J2653" s="24"/>
    </row>
    <row r="2654">
      <c r="J2654" s="24"/>
    </row>
    <row r="2655">
      <c r="J2655" s="24"/>
    </row>
    <row r="2656">
      <c r="J2656" s="24"/>
    </row>
    <row r="2657">
      <c r="J2657" s="24"/>
    </row>
    <row r="2658">
      <c r="J2658" s="24"/>
    </row>
    <row r="2659">
      <c r="J2659" s="24"/>
    </row>
    <row r="2660">
      <c r="J2660" s="24"/>
    </row>
    <row r="2661">
      <c r="J2661" s="24"/>
    </row>
    <row r="2662">
      <c r="J2662" s="24"/>
    </row>
    <row r="2663">
      <c r="J2663" s="24"/>
    </row>
    <row r="2664">
      <c r="J2664" s="24"/>
    </row>
    <row r="2665">
      <c r="J2665" s="24"/>
    </row>
    <row r="2666">
      <c r="J2666" s="24"/>
    </row>
    <row r="2667">
      <c r="J2667" s="24"/>
    </row>
    <row r="2668">
      <c r="J2668" s="24"/>
    </row>
    <row r="2669">
      <c r="J2669" s="24"/>
    </row>
    <row r="2670">
      <c r="J2670" s="24"/>
    </row>
    <row r="2671">
      <c r="J2671" s="24"/>
    </row>
    <row r="2672">
      <c r="J2672" s="24"/>
    </row>
    <row r="2673">
      <c r="J2673" s="24"/>
    </row>
    <row r="2674">
      <c r="J2674" s="24"/>
    </row>
    <row r="2675">
      <c r="J2675" s="24"/>
    </row>
    <row r="2676">
      <c r="J2676" s="24"/>
    </row>
    <row r="2677">
      <c r="J2677" s="24"/>
    </row>
    <row r="2678">
      <c r="J2678" s="24"/>
    </row>
    <row r="2679">
      <c r="J2679" s="24"/>
    </row>
    <row r="2680">
      <c r="J2680" s="24"/>
    </row>
    <row r="2681">
      <c r="J2681" s="24"/>
    </row>
    <row r="2682">
      <c r="J2682" s="24"/>
    </row>
    <row r="2683">
      <c r="J2683" s="24"/>
    </row>
    <row r="2684">
      <c r="J2684" s="24"/>
    </row>
    <row r="2685">
      <c r="J2685" s="24"/>
    </row>
    <row r="2686">
      <c r="J2686" s="24"/>
    </row>
    <row r="2687">
      <c r="J2687" s="24"/>
    </row>
    <row r="2688">
      <c r="J2688" s="24"/>
    </row>
    <row r="2689">
      <c r="J2689" s="24"/>
    </row>
    <row r="2690">
      <c r="J2690" s="24"/>
    </row>
    <row r="2691">
      <c r="J2691" s="24"/>
    </row>
    <row r="2692">
      <c r="J2692" s="24"/>
    </row>
    <row r="2693">
      <c r="J2693" s="24"/>
    </row>
    <row r="2694">
      <c r="J2694" s="24"/>
    </row>
    <row r="2695">
      <c r="J2695" s="24"/>
    </row>
    <row r="2696">
      <c r="J2696" s="24"/>
    </row>
    <row r="2697">
      <c r="J2697" s="24"/>
    </row>
    <row r="2698">
      <c r="J2698" s="24"/>
    </row>
    <row r="2699">
      <c r="J2699" s="24"/>
    </row>
    <row r="2700">
      <c r="J2700" s="24"/>
    </row>
    <row r="2701">
      <c r="J2701" s="24"/>
    </row>
    <row r="2702">
      <c r="J2702" s="24"/>
    </row>
    <row r="2703">
      <c r="J2703" s="24"/>
    </row>
    <row r="2704">
      <c r="J2704" s="24"/>
    </row>
    <row r="2705">
      <c r="J2705" s="24"/>
    </row>
    <row r="2706">
      <c r="J2706" s="24"/>
    </row>
    <row r="2707">
      <c r="J2707" s="24"/>
    </row>
    <row r="2708">
      <c r="J2708" s="24"/>
    </row>
    <row r="2709">
      <c r="J2709" s="24"/>
    </row>
    <row r="2710">
      <c r="J2710" s="24"/>
    </row>
    <row r="2711">
      <c r="J2711" s="24"/>
    </row>
    <row r="2712">
      <c r="J2712" s="24"/>
    </row>
    <row r="2713">
      <c r="J2713" s="24"/>
    </row>
    <row r="2714">
      <c r="J2714" s="24"/>
    </row>
    <row r="2715">
      <c r="J2715" s="24"/>
    </row>
    <row r="2716">
      <c r="J2716" s="24"/>
    </row>
    <row r="2717">
      <c r="J2717" s="24"/>
    </row>
    <row r="2718">
      <c r="J2718" s="24"/>
    </row>
    <row r="2719">
      <c r="J2719" s="24"/>
    </row>
    <row r="2720">
      <c r="J2720" s="24"/>
    </row>
    <row r="2721">
      <c r="J2721" s="24"/>
    </row>
    <row r="2722">
      <c r="J2722" s="24"/>
    </row>
    <row r="2723">
      <c r="J2723" s="24"/>
    </row>
    <row r="2724">
      <c r="J2724" s="24"/>
    </row>
    <row r="2725">
      <c r="J2725" s="24"/>
    </row>
    <row r="2726">
      <c r="J2726" s="24"/>
    </row>
    <row r="2727">
      <c r="J2727" s="24"/>
    </row>
    <row r="2728">
      <c r="J2728" s="24"/>
    </row>
    <row r="2729">
      <c r="J2729" s="24"/>
    </row>
    <row r="2730">
      <c r="J2730" s="24"/>
    </row>
    <row r="2731">
      <c r="J2731" s="24"/>
    </row>
    <row r="2732">
      <c r="J2732" s="24"/>
    </row>
    <row r="2733">
      <c r="J2733" s="24"/>
    </row>
    <row r="2734">
      <c r="J2734" s="24"/>
    </row>
    <row r="2735">
      <c r="J2735" s="24"/>
    </row>
    <row r="2736">
      <c r="J2736" s="24"/>
    </row>
    <row r="2737">
      <c r="J2737" s="24"/>
    </row>
    <row r="2738">
      <c r="J2738" s="24"/>
    </row>
    <row r="2739">
      <c r="J2739" s="24"/>
    </row>
    <row r="2740">
      <c r="J2740" s="24"/>
    </row>
    <row r="2741">
      <c r="J2741" s="24"/>
    </row>
    <row r="2742">
      <c r="J2742" s="24"/>
    </row>
    <row r="2743">
      <c r="J2743" s="24"/>
    </row>
    <row r="2744">
      <c r="J2744" s="24"/>
    </row>
    <row r="2745">
      <c r="J2745" s="24"/>
    </row>
    <row r="2746">
      <c r="J2746" s="24"/>
    </row>
    <row r="2747">
      <c r="J2747" s="24"/>
    </row>
    <row r="2748">
      <c r="J2748" s="24"/>
    </row>
    <row r="2749">
      <c r="J2749" s="24"/>
    </row>
    <row r="2750">
      <c r="J2750" s="24"/>
    </row>
    <row r="2751">
      <c r="J2751" s="24"/>
    </row>
    <row r="2752">
      <c r="J2752" s="24"/>
    </row>
    <row r="2753">
      <c r="J2753" s="24"/>
    </row>
    <row r="2754">
      <c r="J2754" s="24"/>
    </row>
    <row r="2755">
      <c r="J2755" s="24"/>
    </row>
    <row r="2756">
      <c r="J2756" s="24"/>
    </row>
    <row r="2757">
      <c r="J2757" s="24"/>
    </row>
    <row r="2758">
      <c r="J2758" s="24"/>
    </row>
    <row r="2759">
      <c r="J2759" s="24"/>
    </row>
    <row r="2760">
      <c r="J2760" s="24"/>
    </row>
    <row r="2761">
      <c r="J2761" s="24"/>
    </row>
    <row r="2762">
      <c r="J2762" s="24"/>
    </row>
    <row r="2763">
      <c r="J2763" s="24"/>
    </row>
    <row r="2764">
      <c r="J2764" s="24"/>
    </row>
    <row r="2765">
      <c r="J2765" s="24"/>
    </row>
    <row r="2766">
      <c r="J2766" s="24"/>
    </row>
    <row r="2767">
      <c r="J2767" s="24"/>
    </row>
    <row r="2768">
      <c r="J2768" s="24"/>
    </row>
    <row r="2769">
      <c r="J2769" s="24"/>
    </row>
    <row r="2770">
      <c r="J2770" s="24"/>
    </row>
    <row r="2771">
      <c r="J2771" s="24"/>
    </row>
    <row r="2772">
      <c r="J2772" s="24"/>
    </row>
    <row r="2773">
      <c r="J2773" s="24"/>
    </row>
    <row r="2774">
      <c r="J2774" s="24"/>
    </row>
    <row r="2775">
      <c r="J2775" s="24"/>
    </row>
    <row r="2776">
      <c r="J2776" s="24"/>
    </row>
    <row r="2777">
      <c r="J2777" s="24"/>
    </row>
    <row r="2778">
      <c r="J2778" s="24"/>
    </row>
    <row r="2779">
      <c r="J2779" s="24"/>
    </row>
    <row r="2780">
      <c r="J2780" s="24"/>
    </row>
    <row r="2781">
      <c r="J2781" s="24"/>
    </row>
    <row r="2782">
      <c r="J2782" s="24"/>
    </row>
    <row r="2783">
      <c r="J2783" s="24"/>
    </row>
    <row r="2784">
      <c r="J2784" s="24"/>
    </row>
    <row r="2785">
      <c r="J2785" s="24"/>
    </row>
    <row r="2786">
      <c r="J2786" s="24"/>
    </row>
    <row r="2787">
      <c r="J2787" s="24"/>
    </row>
    <row r="2788">
      <c r="J2788" s="24"/>
    </row>
    <row r="2789">
      <c r="J2789" s="24"/>
    </row>
    <row r="2790">
      <c r="J2790" s="24"/>
    </row>
    <row r="2791">
      <c r="J2791" s="24"/>
    </row>
    <row r="2792">
      <c r="J2792" s="24"/>
    </row>
    <row r="2793">
      <c r="J2793" s="24"/>
    </row>
    <row r="2794">
      <c r="J2794" s="24"/>
    </row>
    <row r="2795">
      <c r="J2795" s="24"/>
    </row>
    <row r="2796">
      <c r="J2796" s="24"/>
    </row>
    <row r="2797">
      <c r="J2797" s="24"/>
    </row>
    <row r="2798">
      <c r="J2798" s="24"/>
    </row>
    <row r="2799">
      <c r="J2799" s="24"/>
    </row>
    <row r="2800">
      <c r="J2800" s="24"/>
    </row>
    <row r="2801">
      <c r="J2801" s="24"/>
    </row>
    <row r="2802">
      <c r="J2802" s="24"/>
    </row>
    <row r="2803">
      <c r="J2803" s="24"/>
    </row>
    <row r="2804">
      <c r="J2804" s="24"/>
    </row>
    <row r="2805">
      <c r="J2805" s="24"/>
    </row>
    <row r="2806">
      <c r="J2806" s="24"/>
    </row>
    <row r="2807">
      <c r="J2807" s="24"/>
    </row>
    <row r="2808">
      <c r="J2808" s="24"/>
    </row>
    <row r="2809">
      <c r="J2809" s="24"/>
    </row>
    <row r="2810">
      <c r="J2810" s="24"/>
    </row>
    <row r="2811">
      <c r="J2811" s="24"/>
    </row>
    <row r="2812">
      <c r="J2812" s="24"/>
    </row>
    <row r="2813">
      <c r="J2813" s="24"/>
    </row>
    <row r="2814">
      <c r="J2814" s="24"/>
    </row>
    <row r="2815">
      <c r="J2815" s="24"/>
    </row>
    <row r="2816">
      <c r="J2816" s="24"/>
    </row>
    <row r="2817">
      <c r="J2817" s="24"/>
    </row>
    <row r="2818">
      <c r="J2818" s="24"/>
    </row>
    <row r="2819">
      <c r="J2819" s="24"/>
    </row>
    <row r="2820">
      <c r="J2820" s="24"/>
    </row>
    <row r="2821">
      <c r="J2821" s="24"/>
    </row>
    <row r="2822">
      <c r="J2822" s="24"/>
    </row>
    <row r="2823">
      <c r="J2823" s="24"/>
    </row>
    <row r="2824">
      <c r="J2824" s="24"/>
    </row>
    <row r="2825">
      <c r="J2825" s="24"/>
    </row>
    <row r="2826">
      <c r="J2826" s="24"/>
    </row>
    <row r="2827">
      <c r="J2827" s="24"/>
    </row>
    <row r="2828">
      <c r="J2828" s="24"/>
    </row>
    <row r="2829">
      <c r="J2829" s="24"/>
    </row>
    <row r="2830">
      <c r="J2830" s="24"/>
    </row>
    <row r="2831">
      <c r="J2831" s="24"/>
    </row>
    <row r="2832">
      <c r="J2832" s="24"/>
    </row>
    <row r="2833">
      <c r="J2833" s="24"/>
    </row>
    <row r="2834">
      <c r="J2834" s="24"/>
    </row>
    <row r="2835">
      <c r="J2835" s="24"/>
    </row>
    <row r="2836">
      <c r="J2836" s="24"/>
    </row>
    <row r="2837">
      <c r="J2837" s="24"/>
    </row>
    <row r="2838">
      <c r="J2838" s="24"/>
    </row>
    <row r="2839">
      <c r="J2839" s="24"/>
    </row>
    <row r="2840">
      <c r="J2840" s="24"/>
    </row>
    <row r="2841">
      <c r="J2841" s="24"/>
    </row>
    <row r="2842">
      <c r="J2842" s="24"/>
    </row>
    <row r="2843">
      <c r="J2843" s="24"/>
    </row>
    <row r="2844">
      <c r="J2844" s="24"/>
    </row>
    <row r="2845">
      <c r="J2845" s="24"/>
    </row>
    <row r="2846">
      <c r="J2846" s="24"/>
    </row>
    <row r="2847">
      <c r="J2847" s="24"/>
    </row>
    <row r="2848">
      <c r="J2848" s="24"/>
    </row>
    <row r="2849">
      <c r="J2849" s="24"/>
    </row>
    <row r="2850">
      <c r="J2850" s="24"/>
    </row>
    <row r="2851">
      <c r="J2851" s="24"/>
    </row>
    <row r="2852">
      <c r="J2852" s="24"/>
    </row>
    <row r="2853">
      <c r="J2853" s="24"/>
    </row>
    <row r="2854">
      <c r="J2854" s="24"/>
    </row>
    <row r="2855">
      <c r="J2855" s="24"/>
    </row>
    <row r="2856">
      <c r="J2856" s="24"/>
    </row>
    <row r="2857">
      <c r="J2857" s="24"/>
    </row>
    <row r="2858">
      <c r="J2858" s="24"/>
    </row>
    <row r="2859">
      <c r="J2859" s="24"/>
    </row>
    <row r="2860">
      <c r="J2860" s="24"/>
    </row>
    <row r="2861">
      <c r="J2861" s="24"/>
    </row>
    <row r="2862">
      <c r="J2862" s="24"/>
    </row>
    <row r="2863">
      <c r="J2863" s="24"/>
    </row>
    <row r="2864">
      <c r="J2864" s="24"/>
    </row>
    <row r="2865">
      <c r="J2865" s="24"/>
    </row>
    <row r="2866">
      <c r="J2866" s="24"/>
    </row>
    <row r="2867">
      <c r="J2867" s="24"/>
    </row>
    <row r="2868">
      <c r="J2868" s="24"/>
    </row>
    <row r="2869">
      <c r="J2869" s="24"/>
    </row>
    <row r="2870">
      <c r="J2870" s="24"/>
    </row>
    <row r="2871">
      <c r="J2871" s="24"/>
    </row>
    <row r="2872">
      <c r="J2872" s="24"/>
    </row>
    <row r="2873">
      <c r="J2873" s="24"/>
    </row>
    <row r="2874">
      <c r="J2874" s="24"/>
    </row>
    <row r="2875">
      <c r="J2875" s="24"/>
    </row>
    <row r="2876">
      <c r="J2876" s="24"/>
    </row>
    <row r="2877">
      <c r="J2877" s="24"/>
    </row>
    <row r="2878">
      <c r="J2878" s="24"/>
    </row>
    <row r="2879">
      <c r="J2879" s="24"/>
    </row>
    <row r="2880">
      <c r="J2880" s="24"/>
    </row>
    <row r="2881">
      <c r="J2881" s="24"/>
    </row>
    <row r="2882">
      <c r="J2882" s="24"/>
    </row>
    <row r="2883">
      <c r="J2883" s="24"/>
    </row>
    <row r="2884">
      <c r="J2884" s="24"/>
    </row>
    <row r="2885">
      <c r="J2885" s="24"/>
    </row>
    <row r="2886">
      <c r="J2886" s="24"/>
    </row>
    <row r="2887">
      <c r="J2887" s="24"/>
    </row>
    <row r="2888">
      <c r="J2888" s="24"/>
    </row>
    <row r="2889">
      <c r="J2889" s="24"/>
    </row>
    <row r="2890">
      <c r="J2890" s="24"/>
    </row>
    <row r="2891">
      <c r="J2891" s="24"/>
    </row>
    <row r="2892">
      <c r="J2892" s="24"/>
    </row>
    <row r="2893">
      <c r="J2893" s="24"/>
    </row>
    <row r="2894">
      <c r="J2894" s="24"/>
    </row>
    <row r="2895">
      <c r="J2895" s="24"/>
    </row>
    <row r="2896">
      <c r="J2896" s="24"/>
    </row>
    <row r="2897">
      <c r="J2897" s="24"/>
    </row>
    <row r="2898">
      <c r="J2898" s="24"/>
    </row>
    <row r="2899">
      <c r="J2899" s="24"/>
    </row>
    <row r="2900">
      <c r="J2900" s="24"/>
    </row>
    <row r="2901">
      <c r="J2901" s="24"/>
    </row>
    <row r="2902">
      <c r="J2902" s="24"/>
    </row>
    <row r="2903">
      <c r="J2903" s="24"/>
    </row>
    <row r="2904">
      <c r="J2904" s="24"/>
    </row>
    <row r="2905">
      <c r="J2905" s="24"/>
    </row>
    <row r="2906">
      <c r="J2906" s="24"/>
    </row>
    <row r="2907">
      <c r="J2907" s="24"/>
    </row>
    <row r="2908">
      <c r="J2908" s="24"/>
    </row>
    <row r="2909">
      <c r="J2909" s="24"/>
    </row>
    <row r="2910">
      <c r="J2910" s="24"/>
    </row>
    <row r="2911">
      <c r="J2911" s="24"/>
    </row>
    <row r="2912">
      <c r="J2912" s="24"/>
    </row>
    <row r="2913">
      <c r="J2913" s="24"/>
    </row>
    <row r="2914">
      <c r="J2914" s="24"/>
    </row>
    <row r="2915">
      <c r="J2915" s="24"/>
    </row>
    <row r="2916">
      <c r="J2916" s="24"/>
    </row>
    <row r="2917">
      <c r="J2917" s="24"/>
    </row>
    <row r="2918">
      <c r="J2918" s="24"/>
    </row>
    <row r="2919">
      <c r="J2919" s="24"/>
    </row>
    <row r="2920">
      <c r="J2920" s="24"/>
    </row>
    <row r="2921">
      <c r="J2921" s="24"/>
    </row>
    <row r="2922">
      <c r="J2922" s="24"/>
    </row>
    <row r="2923">
      <c r="J2923" s="24"/>
    </row>
    <row r="2924">
      <c r="J2924" s="24"/>
    </row>
    <row r="2925">
      <c r="J2925" s="24"/>
    </row>
    <row r="2926">
      <c r="J2926" s="24"/>
    </row>
    <row r="2927">
      <c r="J2927" s="24"/>
    </row>
    <row r="2928">
      <c r="J2928" s="24"/>
    </row>
    <row r="2929">
      <c r="J2929" s="24"/>
    </row>
    <row r="2930">
      <c r="J2930" s="24"/>
    </row>
    <row r="2931">
      <c r="J2931" s="24"/>
    </row>
    <row r="2932">
      <c r="J2932" s="24"/>
    </row>
    <row r="2933">
      <c r="J2933" s="24"/>
    </row>
    <row r="2934">
      <c r="J2934" s="24"/>
    </row>
    <row r="2935">
      <c r="J2935" s="24"/>
    </row>
    <row r="2936">
      <c r="J2936" s="24"/>
    </row>
    <row r="2937">
      <c r="J2937" s="24"/>
    </row>
    <row r="2938">
      <c r="J2938" s="24"/>
    </row>
    <row r="2939">
      <c r="J2939" s="24"/>
    </row>
    <row r="2940">
      <c r="J2940" s="24"/>
    </row>
    <row r="2941">
      <c r="J2941" s="24"/>
    </row>
    <row r="2942">
      <c r="J2942" s="24"/>
    </row>
    <row r="2943">
      <c r="J2943" s="24"/>
    </row>
    <row r="2944">
      <c r="J2944" s="24"/>
    </row>
    <row r="2945">
      <c r="J2945" s="24"/>
    </row>
    <row r="2946">
      <c r="J2946" s="24"/>
    </row>
    <row r="2947">
      <c r="J2947" s="24"/>
    </row>
    <row r="2948">
      <c r="J2948" s="24"/>
    </row>
    <row r="2949">
      <c r="J2949" s="24"/>
    </row>
    <row r="2950">
      <c r="J2950" s="24"/>
    </row>
    <row r="2951">
      <c r="J2951" s="24"/>
    </row>
    <row r="2952">
      <c r="J2952" s="24"/>
    </row>
    <row r="2953">
      <c r="J2953" s="24"/>
    </row>
    <row r="2954">
      <c r="J2954" s="24"/>
    </row>
    <row r="2955">
      <c r="J2955" s="24"/>
    </row>
    <row r="2956">
      <c r="J2956" s="24"/>
    </row>
    <row r="2957">
      <c r="J2957" s="24"/>
    </row>
    <row r="2958">
      <c r="J2958" s="24"/>
    </row>
    <row r="2959">
      <c r="J2959" s="24"/>
    </row>
    <row r="2960">
      <c r="J2960" s="24"/>
    </row>
    <row r="2961">
      <c r="J2961" s="24"/>
    </row>
    <row r="2962">
      <c r="J2962" s="24"/>
    </row>
    <row r="2963">
      <c r="J2963" s="24"/>
    </row>
    <row r="2964">
      <c r="J2964" s="24"/>
    </row>
    <row r="2965">
      <c r="J2965" s="24"/>
    </row>
    <row r="2966">
      <c r="J2966" s="24"/>
    </row>
    <row r="2967">
      <c r="J2967" s="24"/>
    </row>
    <row r="2968">
      <c r="J2968" s="24"/>
    </row>
    <row r="2969">
      <c r="J2969" s="24"/>
    </row>
    <row r="2970">
      <c r="J2970" s="24"/>
    </row>
    <row r="2971">
      <c r="J2971" s="24"/>
    </row>
    <row r="2972">
      <c r="J2972" s="24"/>
    </row>
    <row r="2973">
      <c r="J2973" s="24"/>
    </row>
    <row r="2974">
      <c r="J2974" s="24"/>
    </row>
    <row r="2975">
      <c r="J2975" s="24"/>
    </row>
    <row r="2976">
      <c r="J2976" s="24"/>
    </row>
    <row r="2977">
      <c r="J2977" s="24"/>
    </row>
    <row r="2978">
      <c r="J2978" s="24"/>
    </row>
    <row r="2979">
      <c r="J2979" s="24"/>
    </row>
    <row r="2980">
      <c r="J2980" s="24"/>
    </row>
    <row r="2981">
      <c r="J2981" s="24"/>
    </row>
    <row r="2982">
      <c r="J2982" s="24"/>
    </row>
    <row r="2983">
      <c r="J2983" s="24"/>
    </row>
    <row r="2984">
      <c r="J2984" s="24"/>
    </row>
    <row r="2985">
      <c r="J2985" s="24"/>
    </row>
    <row r="2986">
      <c r="J2986" s="24"/>
    </row>
    <row r="2987">
      <c r="J2987" s="24"/>
    </row>
    <row r="2988">
      <c r="J2988" s="24"/>
    </row>
    <row r="2989">
      <c r="J2989" s="24"/>
    </row>
    <row r="2990">
      <c r="J2990" s="24"/>
    </row>
    <row r="2991">
      <c r="J2991" s="24"/>
    </row>
    <row r="2992">
      <c r="J2992" s="24"/>
    </row>
    <row r="2993">
      <c r="J2993" s="24"/>
    </row>
    <row r="2994">
      <c r="J2994" s="24"/>
    </row>
    <row r="2995">
      <c r="J2995" s="24"/>
    </row>
    <row r="2996">
      <c r="J2996" s="24"/>
    </row>
    <row r="2997">
      <c r="J2997" s="24"/>
    </row>
    <row r="2998">
      <c r="J2998" s="24"/>
    </row>
    <row r="2999">
      <c r="J2999" s="2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6" max="6" width="23.63"/>
    <col customWidth="1" min="7" max="7" width="12.63"/>
    <col customWidth="1" min="8" max="8" width="20.38"/>
    <col customWidth="1" min="9" max="9" width="13.5"/>
  </cols>
  <sheetData>
    <row r="1">
      <c r="A1" s="1" t="s">
        <v>0</v>
      </c>
      <c r="B1" s="47" t="s">
        <v>18</v>
      </c>
      <c r="C1" s="40" t="s">
        <v>20</v>
      </c>
    </row>
    <row r="2">
      <c r="A2" s="16">
        <v>46090.0</v>
      </c>
      <c r="B2" s="44">
        <f>VLOOKUP(A2,'Data preparation'!A:G,7,0)</f>
        <v>-0.01779448622</v>
      </c>
      <c r="C2" s="44">
        <f>VLOOKUP(A2, 'Data preparation'!A:I, 9,0)</f>
        <v>0.008304129661</v>
      </c>
    </row>
    <row r="3">
      <c r="A3" s="16">
        <v>46083.0</v>
      </c>
      <c r="B3" s="44">
        <f>VLOOKUP(A3,'Data preparation'!A:G,7,0)</f>
        <v>-0.1079812207</v>
      </c>
      <c r="C3" s="44">
        <f>VLOOKUP(A3, 'Data preparation'!A:I, 9,0)</f>
        <v>-0.0201864257</v>
      </c>
      <c r="E3" s="92"/>
      <c r="F3" s="93" t="s">
        <v>80</v>
      </c>
      <c r="H3" s="92"/>
      <c r="I3" s="92"/>
      <c r="J3" s="92"/>
      <c r="K3" s="92"/>
      <c r="L3" s="92"/>
      <c r="M3" s="92"/>
      <c r="N3" s="92"/>
      <c r="O3" s="92"/>
    </row>
    <row r="4">
      <c r="A4" s="16">
        <v>46076.0</v>
      </c>
      <c r="B4" s="44">
        <f>VLOOKUP(A4,'Data preparation'!A:G,7,0)</f>
        <v>-0.00952170062</v>
      </c>
      <c r="C4" s="44">
        <f>VLOOKUP(A4, 'Data preparation'!A:I, 9,0)</f>
        <v>-0.004433020576</v>
      </c>
      <c r="E4" s="92"/>
      <c r="F4" s="92"/>
      <c r="G4" s="92"/>
      <c r="H4" s="92"/>
      <c r="I4" s="92"/>
      <c r="J4" s="92"/>
      <c r="K4" s="92"/>
      <c r="L4" s="92"/>
      <c r="M4" s="92"/>
      <c r="N4" s="92"/>
      <c r="O4" s="92"/>
    </row>
    <row r="5">
      <c r="A5" s="16">
        <v>46069.0</v>
      </c>
      <c r="B5" s="44">
        <f>VLOOKUP(A5,'Data preparation'!A:G,7,0)</f>
        <v>0.01597300337</v>
      </c>
      <c r="C5" s="44">
        <f>VLOOKUP(A5, 'Data preparation'!A:I, 9,0)</f>
        <v>0.0107282294</v>
      </c>
      <c r="E5" s="92"/>
      <c r="F5" s="94" t="s">
        <v>81</v>
      </c>
      <c r="G5" s="95"/>
      <c r="H5" s="92"/>
      <c r="I5" s="92"/>
      <c r="J5" s="92"/>
      <c r="K5" s="92"/>
      <c r="L5" s="92"/>
      <c r="M5" s="92"/>
      <c r="N5" s="92"/>
      <c r="O5" s="92"/>
    </row>
    <row r="6">
      <c r="A6" s="16">
        <v>46062.0</v>
      </c>
      <c r="B6" s="44">
        <f>VLOOKUP(A6,'Data preparation'!A:G,7,0)</f>
        <v>0.005201266395</v>
      </c>
      <c r="C6" s="44">
        <f>VLOOKUP(A6, 'Data preparation'!A:I, 9,0)</f>
        <v>-0.01386697056</v>
      </c>
      <c r="E6" s="92"/>
      <c r="F6" s="93" t="s">
        <v>82</v>
      </c>
      <c r="G6" s="96">
        <v>0.323998</v>
      </c>
      <c r="H6" s="92"/>
      <c r="I6" s="92"/>
      <c r="J6" s="92"/>
      <c r="K6" s="92"/>
      <c r="L6" s="92"/>
      <c r="M6" s="92"/>
      <c r="N6" s="92"/>
      <c r="O6" s="92"/>
    </row>
    <row r="7">
      <c r="A7" s="16">
        <v>46055.0</v>
      </c>
      <c r="B7" s="44">
        <f>VLOOKUP(A7,'Data preparation'!A:G,7,0)</f>
        <v>0.01166781057</v>
      </c>
      <c r="C7" s="44">
        <f>VLOOKUP(A7, 'Data preparation'!A:I, 9,0)</f>
        <v>-0.0009698761931</v>
      </c>
      <c r="E7" s="92"/>
      <c r="F7" s="93" t="s">
        <v>83</v>
      </c>
      <c r="G7" s="96">
        <v>0.104974</v>
      </c>
      <c r="H7" s="92"/>
      <c r="I7" s="92"/>
      <c r="J7" s="92"/>
      <c r="K7" s="92"/>
      <c r="L7" s="92"/>
      <c r="M7" s="92"/>
      <c r="N7" s="92"/>
      <c r="O7" s="92"/>
    </row>
    <row r="8">
      <c r="A8" s="16">
        <v>46048.0</v>
      </c>
      <c r="B8" s="44">
        <f>VLOOKUP(A8,'Data preparation'!A:G,7,0)</f>
        <v>-0.002282583885</v>
      </c>
      <c r="C8" s="44">
        <f>VLOOKUP(A8, 'Data preparation'!A:I, 9,0)</f>
        <v>0.003386541462</v>
      </c>
      <c r="E8" s="92"/>
      <c r="F8" s="93" t="s">
        <v>84</v>
      </c>
      <c r="G8" s="96">
        <v>0.087074</v>
      </c>
      <c r="H8" s="92"/>
      <c r="I8" s="92"/>
      <c r="J8" s="92"/>
      <c r="K8" s="92"/>
      <c r="L8" s="92"/>
      <c r="M8" s="92"/>
      <c r="N8" s="92"/>
      <c r="O8" s="92"/>
    </row>
    <row r="9">
      <c r="A9" s="16">
        <v>46041.0</v>
      </c>
      <c r="B9" s="44">
        <f>VLOOKUP(A9,'Data preparation'!A:G,7,0)</f>
        <v>-0.01239855726</v>
      </c>
      <c r="C9" s="44">
        <f>VLOOKUP(A9, 'Data preparation'!A:I, 9,0)</f>
        <v>-0.003515845078</v>
      </c>
      <c r="E9" s="92"/>
      <c r="F9" s="93" t="s">
        <v>85</v>
      </c>
      <c r="G9" s="96">
        <v>0.022013</v>
      </c>
      <c r="H9" s="92"/>
      <c r="I9" s="92"/>
      <c r="J9" s="92"/>
      <c r="K9" s="92"/>
      <c r="L9" s="92"/>
      <c r="M9" s="92"/>
      <c r="N9" s="92"/>
      <c r="O9" s="92"/>
    </row>
    <row r="10">
      <c r="A10" s="16">
        <v>46034.0</v>
      </c>
      <c r="B10" s="44">
        <f>VLOOKUP(A10,'Data preparation'!A:G,7,0)</f>
        <v>-0.03586176918</v>
      </c>
      <c r="C10" s="44">
        <f>VLOOKUP(A10, 'Data preparation'!A:I, 9,0)</f>
        <v>-0.003771022698</v>
      </c>
      <c r="E10" s="92"/>
      <c r="F10" s="97" t="s">
        <v>86</v>
      </c>
      <c r="G10" s="98">
        <v>52.0</v>
      </c>
      <c r="H10" s="92"/>
      <c r="I10" s="92"/>
      <c r="J10" s="92"/>
      <c r="K10" s="92"/>
      <c r="L10" s="92"/>
      <c r="M10" s="92"/>
      <c r="N10" s="92"/>
      <c r="O10" s="92"/>
    </row>
    <row r="11">
      <c r="A11" s="16">
        <v>46027.0</v>
      </c>
      <c r="B11" s="44">
        <f>VLOOKUP(A11,'Data preparation'!A:G,7,0)</f>
        <v>-0.04464285714</v>
      </c>
      <c r="C11" s="44">
        <f>VLOOKUP(A11, 'Data preparation'!A:I, 9,0)</f>
        <v>0.01571924934</v>
      </c>
      <c r="E11" s="92"/>
      <c r="F11" s="92"/>
      <c r="G11" s="92"/>
      <c r="H11" s="92"/>
      <c r="I11" s="92"/>
      <c r="J11" s="92"/>
      <c r="K11" s="92"/>
      <c r="L11" s="92"/>
      <c r="M11" s="92"/>
      <c r="N11" s="92"/>
      <c r="O11" s="92"/>
    </row>
    <row r="12">
      <c r="A12" s="16">
        <v>46020.0</v>
      </c>
      <c r="B12" s="44">
        <f>VLOOKUP(A12,'Data preparation'!A:G,7,0)</f>
        <v>0.03949924455</v>
      </c>
      <c r="C12" s="44">
        <f>VLOOKUP(A12, 'Data preparation'!A:I, 9,0)</f>
        <v>-0.01031322061</v>
      </c>
      <c r="E12" s="92"/>
      <c r="F12" s="93" t="s">
        <v>87</v>
      </c>
      <c r="I12" s="92"/>
      <c r="J12" s="92"/>
      <c r="K12" s="92"/>
      <c r="L12" s="92"/>
      <c r="M12" s="92"/>
      <c r="N12" s="92"/>
      <c r="O12" s="92"/>
    </row>
    <row r="13">
      <c r="A13" s="16">
        <v>46013.0</v>
      </c>
      <c r="B13" s="44">
        <f>VLOOKUP(A13,'Data preparation'!A:G,7,0)</f>
        <v>-0.01025421918</v>
      </c>
      <c r="C13" s="44">
        <f>VLOOKUP(A13, 'Data preparation'!A:I, 9,0)</f>
        <v>0.01396444509</v>
      </c>
      <c r="E13" s="92"/>
      <c r="F13" s="99"/>
      <c r="G13" s="94" t="s">
        <v>88</v>
      </c>
      <c r="H13" s="94" t="s">
        <v>89</v>
      </c>
      <c r="I13" s="94" t="s">
        <v>90</v>
      </c>
      <c r="J13" s="94" t="s">
        <v>91</v>
      </c>
      <c r="K13" s="94" t="s">
        <v>92</v>
      </c>
      <c r="L13" s="92"/>
      <c r="M13" s="92"/>
      <c r="N13" s="92"/>
      <c r="O13" s="92"/>
    </row>
    <row r="14">
      <c r="A14" s="16">
        <v>46006.0</v>
      </c>
      <c r="B14" s="44">
        <f>VLOOKUP(A14,'Data preparation'!A:G,7,0)</f>
        <v>-0.0262117745</v>
      </c>
      <c r="C14" s="44">
        <f>VLOOKUP(A14, 'Data preparation'!A:I, 9,0)</f>
        <v>0.001038461144</v>
      </c>
      <c r="E14" s="92"/>
      <c r="F14" s="93" t="s">
        <v>93</v>
      </c>
      <c r="G14" s="96">
        <v>1.0</v>
      </c>
      <c r="H14" s="96">
        <v>0.002842</v>
      </c>
      <c r="I14" s="96">
        <v>0.002842</v>
      </c>
      <c r="J14" s="96">
        <v>5.864325</v>
      </c>
      <c r="K14" s="96">
        <v>0.01912</v>
      </c>
      <c r="L14" s="92"/>
      <c r="M14" s="92"/>
      <c r="N14" s="92"/>
      <c r="O14" s="92"/>
    </row>
    <row r="15">
      <c r="A15" s="16">
        <v>45999.0</v>
      </c>
      <c r="B15" s="44">
        <f>VLOOKUP(A15,'Data preparation'!A:G,7,0)</f>
        <v>-0.00331743728</v>
      </c>
      <c r="C15" s="44">
        <f>VLOOKUP(A15, 'Data preparation'!A:I, 9,0)</f>
        <v>-0.006257277597</v>
      </c>
      <c r="E15" s="92"/>
      <c r="F15" s="93" t="s">
        <v>94</v>
      </c>
      <c r="G15" s="96">
        <v>50.0</v>
      </c>
      <c r="H15" s="96">
        <v>0.024228</v>
      </c>
      <c r="I15" s="96">
        <v>4.85E-4</v>
      </c>
      <c r="J15" s="92"/>
      <c r="K15" s="92"/>
      <c r="L15" s="92"/>
      <c r="M15" s="92"/>
      <c r="N15" s="92"/>
      <c r="O15" s="92"/>
    </row>
    <row r="16">
      <c r="A16" s="16">
        <v>45992.0</v>
      </c>
      <c r="B16" s="44">
        <f>VLOOKUP(A16,'Data preparation'!A:G,7,0)</f>
        <v>0.09563834621</v>
      </c>
      <c r="C16" s="44">
        <f>VLOOKUP(A16, 'Data preparation'!A:I, 9,0)</f>
        <v>0.003111362239</v>
      </c>
      <c r="E16" s="92"/>
      <c r="F16" s="97" t="s">
        <v>95</v>
      </c>
      <c r="G16" s="98">
        <v>51.0</v>
      </c>
      <c r="H16" s="98">
        <v>0.027069</v>
      </c>
      <c r="I16" s="100"/>
      <c r="J16" s="100"/>
      <c r="K16" s="100"/>
      <c r="L16" s="92"/>
      <c r="M16" s="92"/>
      <c r="N16" s="92"/>
      <c r="O16" s="92"/>
    </row>
    <row r="17">
      <c r="A17" s="16">
        <v>45985.0</v>
      </c>
      <c r="B17" s="44">
        <f>VLOOKUP(A17,'Data preparation'!A:G,7,0)</f>
        <v>0.03479078514</v>
      </c>
      <c r="C17" s="44">
        <f>VLOOKUP(A17, 'Data preparation'!A:I, 9,0)</f>
        <v>0.0372709939</v>
      </c>
      <c r="E17" s="92"/>
      <c r="F17" s="92"/>
      <c r="G17" s="92"/>
      <c r="H17" s="92"/>
      <c r="I17" s="92"/>
      <c r="J17" s="92"/>
      <c r="K17" s="92"/>
      <c r="L17" s="92"/>
      <c r="M17" s="92"/>
      <c r="N17" s="92"/>
      <c r="O17" s="92"/>
    </row>
    <row r="18">
      <c r="A18" s="16">
        <v>45978.0</v>
      </c>
      <c r="B18" s="44">
        <f>VLOOKUP(A18,'Data preparation'!A:G,7,0)</f>
        <v>-0.04124408384</v>
      </c>
      <c r="C18" s="44">
        <f>VLOOKUP(A18, 'Data preparation'!A:I, 9,0)</f>
        <v>-0.01947102141</v>
      </c>
      <c r="E18" s="92"/>
      <c r="F18" s="99"/>
      <c r="G18" s="94" t="s">
        <v>96</v>
      </c>
      <c r="H18" s="94" t="s">
        <v>85</v>
      </c>
      <c r="I18" s="94" t="s">
        <v>97</v>
      </c>
      <c r="J18" s="94" t="s">
        <v>98</v>
      </c>
      <c r="K18" s="94" t="s">
        <v>99</v>
      </c>
      <c r="L18" s="94" t="s">
        <v>100</v>
      </c>
      <c r="M18" s="94" t="s">
        <v>101</v>
      </c>
      <c r="N18" s="94" t="s">
        <v>102</v>
      </c>
      <c r="O18" s="92"/>
    </row>
    <row r="19">
      <c r="A19" s="16">
        <v>45971.0</v>
      </c>
      <c r="B19" s="44">
        <f>VLOOKUP(A19,'Data preparation'!A:G,7,0)</f>
        <v>0.05266903915</v>
      </c>
      <c r="C19" s="44">
        <f>VLOOKUP(A19, 'Data preparation'!A:I, 9,0)</f>
        <v>0.000789145167</v>
      </c>
      <c r="E19" s="92"/>
      <c r="F19" s="93" t="s">
        <v>103</v>
      </c>
      <c r="G19" s="96">
        <v>0.00399</v>
      </c>
      <c r="H19" s="96">
        <v>0.003054</v>
      </c>
      <c r="I19" s="96">
        <v>1.306412</v>
      </c>
      <c r="J19" s="96">
        <v>0.19739</v>
      </c>
      <c r="K19" s="96">
        <v>-0.00214</v>
      </c>
      <c r="L19" s="96">
        <v>0.010125</v>
      </c>
      <c r="M19" s="96">
        <v>-0.00214</v>
      </c>
      <c r="N19" s="96">
        <v>0.010125</v>
      </c>
      <c r="O19" s="92"/>
    </row>
    <row r="20">
      <c r="A20" s="16">
        <v>45964.0</v>
      </c>
      <c r="B20" s="44">
        <f>VLOOKUP(A20,'Data preparation'!A:G,7,0)</f>
        <v>0.04435084242</v>
      </c>
      <c r="C20" s="44">
        <f>VLOOKUP(A20, 'Data preparation'!A:I, 9,0)</f>
        <v>-0.01628607351</v>
      </c>
      <c r="E20" s="92"/>
      <c r="F20" s="97" t="s">
        <v>104</v>
      </c>
      <c r="G20" s="98">
        <v>0.156461</v>
      </c>
      <c r="H20" s="98">
        <v>0.06461</v>
      </c>
      <c r="I20" s="98">
        <v>2.421637</v>
      </c>
      <c r="J20" s="98">
        <v>0.01912</v>
      </c>
      <c r="K20" s="98">
        <v>0.026689</v>
      </c>
      <c r="L20" s="98">
        <v>0.286234</v>
      </c>
      <c r="M20" s="98">
        <v>0.026689</v>
      </c>
      <c r="N20" s="98">
        <v>0.286234</v>
      </c>
      <c r="O20" s="92"/>
    </row>
    <row r="21">
      <c r="A21" s="16">
        <v>45957.0</v>
      </c>
      <c r="B21" s="44">
        <f>VLOOKUP(A21,'Data preparation'!A:G,7,0)</f>
        <v>-0.005421389847</v>
      </c>
      <c r="C21" s="44">
        <f>VLOOKUP(A21, 'Data preparation'!A:I, 9,0)</f>
        <v>0.007142552148</v>
      </c>
    </row>
    <row r="22">
      <c r="A22" s="16">
        <v>45950.0</v>
      </c>
      <c r="B22" s="44">
        <f>VLOOKUP(A22,'Data preparation'!A:G,7,0)</f>
        <v>0.01171777612</v>
      </c>
      <c r="C22" s="44">
        <f>VLOOKUP(A22, 'Data preparation'!A:I, 9,0)</f>
        <v>0.01915963511</v>
      </c>
    </row>
    <row r="23">
      <c r="A23" s="16">
        <v>45943.0</v>
      </c>
      <c r="B23" s="44">
        <f>VLOOKUP(A23,'Data preparation'!A:G,7,0)</f>
        <v>0.02217125382</v>
      </c>
      <c r="C23" s="44">
        <f>VLOOKUP(A23, 'Data preparation'!A:I, 9,0)</f>
        <v>0.01701637998</v>
      </c>
    </row>
    <row r="24">
      <c r="A24" s="16">
        <v>45936.0</v>
      </c>
      <c r="B24" s="44">
        <f>VLOOKUP(A24,'Data preparation'!A:G,7,0)</f>
        <v>-0.09187688035</v>
      </c>
      <c r="C24" s="44">
        <f>VLOOKUP(A24, 'Data preparation'!A:I, 9,0)</f>
        <v>-0.02431285076</v>
      </c>
    </row>
    <row r="25">
      <c r="A25" s="16">
        <v>45929.0</v>
      </c>
      <c r="B25" s="44">
        <f>VLOOKUP(A25,'Data preparation'!A:G,7,0)</f>
        <v>0.007930954047</v>
      </c>
      <c r="C25" s="44">
        <f>VLOOKUP(A25, 'Data preparation'!A:I, 9,0)</f>
        <v>0.01085088129</v>
      </c>
    </row>
    <row r="26">
      <c r="A26" s="16">
        <v>45922.0</v>
      </c>
      <c r="B26" s="44">
        <f>VLOOKUP(A26,'Data preparation'!A:G,7,0)</f>
        <v>0.02978621187</v>
      </c>
      <c r="C26" s="44">
        <f>VLOOKUP(A26, 'Data preparation'!A:I, 9,0)</f>
        <v>-0.003100072625</v>
      </c>
    </row>
    <row r="27">
      <c r="A27" s="16">
        <v>45915.0</v>
      </c>
      <c r="B27" s="44">
        <f>VLOOKUP(A27,'Data preparation'!A:G,7,0)</f>
        <v>-0.006680983059</v>
      </c>
      <c r="C27" s="44">
        <f>VLOOKUP(A27, 'Data preparation'!A:I, 9,0)</f>
        <v>0.01216076449</v>
      </c>
    </row>
    <row r="28">
      <c r="A28" s="16">
        <v>45908.0</v>
      </c>
      <c r="B28" s="44">
        <f>VLOOKUP(A28,'Data preparation'!A:G,7,0)</f>
        <v>-0.05223880597</v>
      </c>
      <c r="C28" s="44">
        <f>VLOOKUP(A28, 'Data preparation'!A:I, 9,0)</f>
        <v>0.01585898326</v>
      </c>
    </row>
    <row r="29">
      <c r="A29" s="16">
        <v>45901.0</v>
      </c>
      <c r="B29" s="44">
        <f>VLOOKUP(A29,'Data preparation'!A:G,7,0)</f>
        <v>-0.0114017438</v>
      </c>
      <c r="C29" s="44">
        <f>VLOOKUP(A29, 'Data preparation'!A:I, 9,0)</f>
        <v>0.003287793371</v>
      </c>
    </row>
    <row r="30">
      <c r="A30" s="16">
        <v>45894.0</v>
      </c>
      <c r="B30" s="44">
        <f>VLOOKUP(A30,'Data preparation'!A:G,7,0)</f>
        <v>-0.02143950995</v>
      </c>
      <c r="C30" s="44">
        <f>VLOOKUP(A30, 'Data preparation'!A:I, 9,0)</f>
        <v>-0.001028311821</v>
      </c>
    </row>
    <row r="31">
      <c r="A31" s="16">
        <v>45887.0</v>
      </c>
      <c r="B31" s="44">
        <f>VLOOKUP(A31,'Data preparation'!A:G,7,0)</f>
        <v>0.01420013313</v>
      </c>
      <c r="C31" s="44">
        <f>VLOOKUP(A31, 'Data preparation'!A:I, 9,0)</f>
        <v>0.002652795436</v>
      </c>
    </row>
    <row r="32">
      <c r="A32" s="16">
        <v>45880.0</v>
      </c>
      <c r="B32" s="44">
        <f>VLOOKUP(A32,'Data preparation'!A:G,7,0)</f>
        <v>0.03087831656</v>
      </c>
      <c r="C32" s="44">
        <f>VLOOKUP(A32, 'Data preparation'!A:I, 9,0)</f>
        <v>0.009445257417</v>
      </c>
    </row>
    <row r="33">
      <c r="A33" s="16">
        <v>45873.0</v>
      </c>
      <c r="B33" s="44">
        <f>VLOOKUP(A33,'Data preparation'!A:G,7,0)</f>
        <v>0.06504263094</v>
      </c>
      <c r="C33" s="44">
        <f>VLOOKUP(A33, 'Data preparation'!A:I, 9,0)</f>
        <v>0.02427697294</v>
      </c>
    </row>
    <row r="34">
      <c r="A34" s="16">
        <v>45866.0</v>
      </c>
      <c r="B34" s="44">
        <f>VLOOKUP(A34,'Data preparation'!A:G,7,0)</f>
        <v>-0.07773534037</v>
      </c>
      <c r="C34" s="44">
        <f>VLOOKUP(A34, 'Data preparation'!A:I, 9,0)</f>
        <v>-0.02357778807</v>
      </c>
    </row>
    <row r="35">
      <c r="A35" s="16">
        <v>45859.0</v>
      </c>
      <c r="B35" s="44">
        <f>VLOOKUP(A35,'Data preparation'!A:G,7,0)</f>
        <v>0.06585249042</v>
      </c>
      <c r="C35" s="44">
        <f>VLOOKUP(A35, 'Data preparation'!A:I, 9,0)</f>
        <v>0.0145867974</v>
      </c>
    </row>
    <row r="36">
      <c r="A36" s="16">
        <v>45852.0</v>
      </c>
      <c r="B36" s="44">
        <f>VLOOKUP(A36,'Data preparation'!A:G,7,0)</f>
        <v>-0.02407104464</v>
      </c>
      <c r="C36" s="44">
        <f>VLOOKUP(A36, 'Data preparation'!A:I, 9,0)</f>
        <v>0.005917169216</v>
      </c>
    </row>
    <row r="37">
      <c r="A37" s="16">
        <v>45845.0</v>
      </c>
      <c r="B37" s="44">
        <f>VLOOKUP(A37,'Data preparation'!A:G,7,0)</f>
        <v>0.09943473792</v>
      </c>
      <c r="C37" s="44">
        <f>VLOOKUP(A37, 'Data preparation'!A:I, 9,0)</f>
        <v>-0.003121342177</v>
      </c>
    </row>
    <row r="38">
      <c r="A38" s="16">
        <v>45838.0</v>
      </c>
      <c r="B38" s="44">
        <f>VLOOKUP(A38,'Data preparation'!A:G,7,0)</f>
        <v>0.01301405518</v>
      </c>
      <c r="C38" s="44">
        <f>VLOOKUP(A38, 'Data preparation'!A:I, 9,0)</f>
        <v>0.01721671713</v>
      </c>
    </row>
    <row r="39">
      <c r="A39" s="16">
        <v>45831.0</v>
      </c>
      <c r="B39" s="44">
        <f>VLOOKUP(A39,'Data preparation'!A:G,7,0)</f>
        <v>0.06722222222</v>
      </c>
      <c r="C39" s="44">
        <f>VLOOKUP(A39, 'Data preparation'!A:I, 9,0)</f>
        <v>0.03438932679</v>
      </c>
    </row>
    <row r="40">
      <c r="A40" s="16">
        <v>45824.0</v>
      </c>
      <c r="B40" s="44">
        <f>VLOOKUP(A40,'Data preparation'!A:G,7,0)</f>
        <v>-0.0438247012</v>
      </c>
      <c r="C40" s="44">
        <f>VLOOKUP(A40, 'Data preparation'!A:I, 9,0)</f>
        <v>-0.001527529835</v>
      </c>
    </row>
    <row r="41">
      <c r="A41" s="16">
        <v>45817.0</v>
      </c>
      <c r="B41" s="44">
        <f>VLOOKUP(A41,'Data preparation'!A:G,7,0)</f>
        <v>-0.01799687011</v>
      </c>
      <c r="C41" s="44">
        <f>VLOOKUP(A41, 'Data preparation'!A:I, 9,0)</f>
        <v>-0.003898099447</v>
      </c>
    </row>
    <row r="42">
      <c r="A42" s="16">
        <v>45810.0</v>
      </c>
      <c r="B42" s="44">
        <f>VLOOKUP(A42,'Data preparation'!A:G,7,0)</f>
        <v>-0.01818181818</v>
      </c>
      <c r="C42" s="44">
        <f>VLOOKUP(A42, 'Data preparation'!A:I, 9,0)</f>
        <v>0.01499909501</v>
      </c>
    </row>
    <row r="43">
      <c r="A43" s="16">
        <v>45803.0</v>
      </c>
      <c r="B43" s="44">
        <f>VLOOKUP(A43,'Data preparation'!A:G,7,0)</f>
        <v>0.03773584906</v>
      </c>
      <c r="C43" s="44">
        <f>VLOOKUP(A43, 'Data preparation'!A:I, 9,0)</f>
        <v>0.01876156765</v>
      </c>
    </row>
    <row r="44">
      <c r="A44" s="16">
        <v>45796.0</v>
      </c>
      <c r="B44" s="44">
        <f>VLOOKUP(A44,'Data preparation'!A:G,7,0)</f>
        <v>0.03124143601</v>
      </c>
      <c r="C44" s="44">
        <f>VLOOKUP(A44, 'Data preparation'!A:I, 9,0)</f>
        <v>-0.02610776755</v>
      </c>
    </row>
    <row r="45">
      <c r="A45" s="16">
        <v>45789.0</v>
      </c>
      <c r="B45" s="44">
        <f>VLOOKUP(A45,'Data preparation'!A:G,7,0)</f>
        <v>-0.03465608466</v>
      </c>
      <c r="C45" s="44">
        <f>VLOOKUP(A45, 'Data preparation'!A:I, 9,0)</f>
        <v>0.05273405408</v>
      </c>
    </row>
    <row r="46">
      <c r="A46" s="16">
        <v>45782.0</v>
      </c>
      <c r="B46" s="44">
        <f>VLOOKUP(A46,'Data preparation'!A:G,7,0)</f>
        <v>0.06493872376</v>
      </c>
      <c r="C46" s="44">
        <f>VLOOKUP(A46, 'Data preparation'!A:I, 9,0)</f>
        <v>-0.004705741673</v>
      </c>
    </row>
    <row r="47">
      <c r="A47" s="16">
        <v>45775.0</v>
      </c>
      <c r="B47" s="44">
        <f>VLOOKUP(A47,'Data preparation'!A:G,7,0)</f>
        <v>-0.01961055103</v>
      </c>
      <c r="C47" s="44">
        <f>VLOOKUP(A47, 'Data preparation'!A:I, 9,0)</f>
        <v>0.0292224187</v>
      </c>
    </row>
    <row r="48">
      <c r="A48" s="16">
        <v>45768.0</v>
      </c>
      <c r="B48" s="44">
        <f>VLOOKUP(A48,'Data preparation'!A:G,7,0)</f>
        <v>0.08625862586</v>
      </c>
      <c r="C48" s="44">
        <f>VLOOKUP(A48, 'Data preparation'!A:I, 9,0)</f>
        <v>0.04590644935</v>
      </c>
    </row>
    <row r="49">
      <c r="A49" s="16">
        <v>45761.0</v>
      </c>
      <c r="B49" s="44">
        <f>VLOOKUP(A49,'Data preparation'!A:G,7,0)</f>
        <v>0.05876747141</v>
      </c>
      <c r="C49" s="44">
        <f>VLOOKUP(A49, 'Data preparation'!A:I, 9,0)</f>
        <v>-0.01503907998</v>
      </c>
    </row>
    <row r="50">
      <c r="A50" s="16">
        <v>45754.0</v>
      </c>
      <c r="B50" s="44">
        <f>VLOOKUP(A50,'Data preparation'!A:G,7,0)</f>
        <v>-0.02417854929</v>
      </c>
      <c r="C50" s="44">
        <f>VLOOKUP(A50, 'Data preparation'!A:I, 9,0)</f>
        <v>0.05701132028</v>
      </c>
    </row>
    <row r="51">
      <c r="A51" s="16">
        <v>45747.0</v>
      </c>
      <c r="B51" s="44">
        <f>VLOOKUP(A51,'Data preparation'!A:G,7,0)</f>
        <v>-0.1045107564</v>
      </c>
      <c r="C51" s="44">
        <f>VLOOKUP(A51, 'Data preparation'!A:I, 9,0)</f>
        <v>-0.09081982605</v>
      </c>
    </row>
    <row r="52">
      <c r="A52" s="16">
        <v>45740.0</v>
      </c>
      <c r="B52" s="44">
        <f>VLOOKUP(A52,'Data preparation'!A:G,7,0)</f>
        <v>-0.04074024764</v>
      </c>
      <c r="C52" s="44">
        <f>VLOOKUP(A52, 'Data preparation'!A:I, 9,0)</f>
        <v>-0.01528347296</v>
      </c>
    </row>
    <row r="53">
      <c r="A53" s="16">
        <v>45733.0</v>
      </c>
      <c r="B53" s="44">
        <f>VLOOKUP(A53,'Data preparation'!A:G,7,0)</f>
        <v>-0.03581514763</v>
      </c>
      <c r="C53" s="44">
        <f>VLOOKUP(A53, 'Data preparation'!A:I, 9,0)</f>
        <v>0.005075421976</v>
      </c>
    </row>
    <row r="54">
      <c r="A54" s="16">
        <v>45726.0</v>
      </c>
      <c r="B54" s="44" t="str">
        <f>VLOOKUP(A54,'Data preparation'!A:G,7,0)</f>
        <v/>
      </c>
      <c r="C54" s="44" t="str">
        <f>VLOOKUP(A54, 'Data preparation'!A:I, 9,0)</f>
        <v/>
      </c>
    </row>
    <row r="55">
      <c r="A55" s="30"/>
      <c r="C55" s="46"/>
    </row>
    <row r="56">
      <c r="A56" s="30"/>
      <c r="C56" s="46"/>
    </row>
    <row r="57">
      <c r="A57" s="30"/>
      <c r="C57" s="46"/>
    </row>
    <row r="58">
      <c r="A58" s="30"/>
      <c r="C58" s="46"/>
    </row>
    <row r="59">
      <c r="A59" s="34"/>
      <c r="C59" s="46"/>
    </row>
    <row r="60">
      <c r="A60" s="34"/>
      <c r="C60" s="46"/>
    </row>
    <row r="61">
      <c r="A61" s="34"/>
      <c r="C61" s="46"/>
    </row>
    <row r="62">
      <c r="A62" s="34"/>
      <c r="C62" s="46"/>
    </row>
    <row r="63">
      <c r="A63" s="34"/>
      <c r="C63" s="46"/>
    </row>
    <row r="64">
      <c r="A64" s="34"/>
      <c r="C64" s="46"/>
    </row>
    <row r="65">
      <c r="A65" s="34"/>
      <c r="C65" s="46"/>
    </row>
    <row r="66">
      <c r="A66" s="34"/>
      <c r="C66" s="46"/>
    </row>
    <row r="67">
      <c r="A67" s="34"/>
      <c r="C67" s="46"/>
    </row>
    <row r="68">
      <c r="A68" s="34"/>
      <c r="C68" s="46"/>
    </row>
    <row r="69">
      <c r="A69" s="34"/>
      <c r="C69" s="46"/>
    </row>
    <row r="70">
      <c r="A70" s="34"/>
      <c r="C70" s="46"/>
    </row>
    <row r="71">
      <c r="A71" s="34"/>
      <c r="C71" s="46"/>
    </row>
    <row r="72">
      <c r="A72" s="34"/>
      <c r="C72" s="46"/>
    </row>
    <row r="73">
      <c r="A73" s="34"/>
      <c r="C73" s="46"/>
    </row>
    <row r="74">
      <c r="A74" s="34"/>
      <c r="C74" s="46"/>
    </row>
    <row r="75">
      <c r="A75" s="34"/>
      <c r="C75" s="46"/>
    </row>
    <row r="76">
      <c r="A76" s="34"/>
      <c r="C76" s="46"/>
    </row>
    <row r="77">
      <c r="A77" s="34"/>
      <c r="C77" s="46"/>
    </row>
    <row r="78">
      <c r="A78" s="34"/>
      <c r="C78" s="46"/>
    </row>
    <row r="79">
      <c r="A79" s="34"/>
      <c r="C79" s="46"/>
    </row>
    <row r="80">
      <c r="A80" s="34"/>
      <c r="C80" s="46"/>
    </row>
    <row r="81">
      <c r="A81" s="34"/>
      <c r="C81" s="46"/>
    </row>
    <row r="82">
      <c r="A82" s="34"/>
      <c r="C82" s="46"/>
    </row>
    <row r="83">
      <c r="A83" s="34"/>
      <c r="C83" s="46"/>
    </row>
    <row r="84">
      <c r="A84" s="34"/>
      <c r="C84" s="46"/>
    </row>
    <row r="85">
      <c r="A85" s="34"/>
      <c r="C85" s="46"/>
    </row>
    <row r="86">
      <c r="A86" s="34"/>
      <c r="C86" s="46"/>
    </row>
    <row r="87">
      <c r="A87" s="34"/>
      <c r="C87" s="46"/>
    </row>
    <row r="88">
      <c r="A88" s="34"/>
      <c r="C88" s="46"/>
    </row>
    <row r="89">
      <c r="A89" s="34"/>
      <c r="C89" s="46"/>
    </row>
    <row r="90">
      <c r="A90" s="34"/>
      <c r="C90" s="46"/>
    </row>
    <row r="91">
      <c r="A91" s="34"/>
      <c r="C91" s="46"/>
    </row>
    <row r="92">
      <c r="A92" s="34"/>
      <c r="C92" s="46"/>
    </row>
    <row r="93">
      <c r="A93" s="34"/>
      <c r="C93" s="46"/>
    </row>
    <row r="94">
      <c r="A94" s="34"/>
      <c r="C94" s="46"/>
    </row>
    <row r="95">
      <c r="A95" s="34"/>
      <c r="C95" s="46"/>
    </row>
    <row r="96">
      <c r="A96" s="34"/>
      <c r="C96" s="46"/>
    </row>
    <row r="97">
      <c r="A97" s="34"/>
      <c r="C97" s="46"/>
    </row>
    <row r="98">
      <c r="A98" s="34"/>
      <c r="C98" s="46"/>
    </row>
    <row r="99">
      <c r="A99" s="34"/>
      <c r="C99" s="46"/>
    </row>
    <row r="100">
      <c r="A100" s="34"/>
      <c r="C100" s="46"/>
    </row>
    <row r="101">
      <c r="A101" s="34"/>
      <c r="C101" s="46"/>
    </row>
    <row r="102">
      <c r="A102" s="34"/>
      <c r="C102" s="46"/>
    </row>
    <row r="103">
      <c r="A103" s="34"/>
      <c r="C103" s="46"/>
    </row>
    <row r="104">
      <c r="A104" s="34"/>
      <c r="C104" s="46"/>
    </row>
    <row r="105">
      <c r="A105" s="34"/>
      <c r="C105" s="46"/>
    </row>
    <row r="106">
      <c r="A106" s="34"/>
      <c r="C106" s="46"/>
    </row>
    <row r="107">
      <c r="A107" s="34"/>
      <c r="C107" s="46"/>
    </row>
    <row r="108">
      <c r="A108" s="34"/>
      <c r="C108" s="46"/>
    </row>
    <row r="109">
      <c r="A109" s="34"/>
      <c r="C109" s="46"/>
    </row>
    <row r="110">
      <c r="A110" s="34"/>
      <c r="C110" s="46"/>
    </row>
    <row r="111">
      <c r="A111" s="34"/>
      <c r="C111" s="46"/>
    </row>
    <row r="112">
      <c r="A112" s="34"/>
      <c r="C112" s="46"/>
    </row>
    <row r="113">
      <c r="A113" s="34"/>
      <c r="C113" s="46"/>
    </row>
    <row r="114">
      <c r="A114" s="34"/>
      <c r="C114" s="46"/>
    </row>
    <row r="115">
      <c r="A115" s="34"/>
      <c r="C115" s="46"/>
    </row>
    <row r="116">
      <c r="A116" s="34"/>
      <c r="C116" s="46"/>
    </row>
    <row r="117">
      <c r="A117" s="34"/>
      <c r="C117" s="46"/>
    </row>
    <row r="118">
      <c r="A118" s="34"/>
      <c r="C118" s="46"/>
    </row>
    <row r="119">
      <c r="A119" s="34"/>
      <c r="C119" s="46"/>
    </row>
    <row r="120">
      <c r="A120" s="34"/>
      <c r="C120" s="46"/>
    </row>
    <row r="121">
      <c r="A121" s="34"/>
      <c r="C121" s="46"/>
    </row>
    <row r="122">
      <c r="A122" s="34"/>
      <c r="C122" s="46"/>
    </row>
    <row r="123">
      <c r="A123" s="34"/>
      <c r="C123" s="46"/>
    </row>
    <row r="124">
      <c r="A124" s="34"/>
      <c r="C124" s="46"/>
    </row>
    <row r="125">
      <c r="A125" s="34"/>
      <c r="C125" s="46"/>
    </row>
    <row r="126">
      <c r="A126" s="34"/>
      <c r="C126" s="46"/>
    </row>
    <row r="127">
      <c r="A127" s="34"/>
      <c r="C127" s="46"/>
    </row>
    <row r="128">
      <c r="A128" s="34"/>
      <c r="C128" s="46"/>
    </row>
    <row r="129">
      <c r="A129" s="34"/>
      <c r="C129" s="46"/>
    </row>
    <row r="130">
      <c r="A130" s="34"/>
      <c r="C130" s="46"/>
    </row>
    <row r="131">
      <c r="A131" s="34"/>
      <c r="C131" s="46"/>
    </row>
    <row r="132">
      <c r="A132" s="34"/>
      <c r="C132" s="46"/>
    </row>
    <row r="133">
      <c r="A133" s="34"/>
      <c r="C133" s="46"/>
    </row>
    <row r="134">
      <c r="A134" s="34"/>
      <c r="C134" s="46"/>
    </row>
    <row r="135">
      <c r="A135" s="34"/>
      <c r="C135" s="46"/>
    </row>
    <row r="136">
      <c r="A136" s="34"/>
      <c r="C136" s="46"/>
    </row>
    <row r="137">
      <c r="A137" s="34"/>
      <c r="C137" s="46"/>
    </row>
    <row r="138">
      <c r="A138" s="34"/>
      <c r="C138" s="46"/>
    </row>
    <row r="139">
      <c r="A139" s="34"/>
      <c r="C139" s="46"/>
    </row>
    <row r="140">
      <c r="A140" s="34"/>
      <c r="C140" s="46"/>
    </row>
    <row r="141">
      <c r="A141" s="34"/>
      <c r="C141" s="46"/>
    </row>
    <row r="142">
      <c r="A142" s="34"/>
      <c r="C142" s="46"/>
    </row>
    <row r="143">
      <c r="A143" s="34"/>
      <c r="C143" s="46"/>
    </row>
    <row r="144">
      <c r="A144" s="34"/>
      <c r="C144" s="46"/>
    </row>
    <row r="145">
      <c r="A145" s="34"/>
      <c r="C145" s="46"/>
    </row>
    <row r="146">
      <c r="A146" s="34"/>
      <c r="C146" s="46"/>
    </row>
    <row r="147">
      <c r="A147" s="34"/>
      <c r="C147" s="46"/>
    </row>
    <row r="148">
      <c r="A148" s="34"/>
      <c r="C148" s="46"/>
    </row>
    <row r="149">
      <c r="A149" s="34"/>
      <c r="C149" s="46"/>
    </row>
    <row r="150">
      <c r="A150" s="34"/>
      <c r="C150" s="46"/>
    </row>
    <row r="151">
      <c r="A151" s="34"/>
      <c r="C151" s="46"/>
    </row>
    <row r="152">
      <c r="A152" s="34"/>
      <c r="C152" s="46"/>
    </row>
    <row r="153">
      <c r="A153" s="34"/>
      <c r="C153" s="46"/>
    </row>
    <row r="154">
      <c r="A154" s="34"/>
      <c r="C154" s="46"/>
    </row>
    <row r="155">
      <c r="A155" s="34"/>
      <c r="C155" s="46"/>
    </row>
    <row r="156">
      <c r="A156" s="34"/>
      <c r="C156" s="46"/>
    </row>
    <row r="157">
      <c r="A157" s="34"/>
      <c r="C157" s="46"/>
    </row>
    <row r="158">
      <c r="A158" s="34"/>
      <c r="C158" s="46"/>
    </row>
    <row r="159">
      <c r="A159" s="34"/>
      <c r="C159" s="46"/>
    </row>
    <row r="160">
      <c r="A160" s="34"/>
      <c r="C160" s="46"/>
    </row>
    <row r="161">
      <c r="A161" s="34"/>
      <c r="C161" s="46"/>
    </row>
    <row r="162">
      <c r="A162" s="34"/>
      <c r="C162" s="46"/>
    </row>
    <row r="163">
      <c r="A163" s="34"/>
      <c r="C163" s="46"/>
    </row>
    <row r="164">
      <c r="A164" s="34"/>
      <c r="C164" s="46"/>
    </row>
    <row r="165">
      <c r="A165" s="34"/>
      <c r="C165" s="46"/>
    </row>
    <row r="166">
      <c r="A166" s="34"/>
      <c r="C166" s="46"/>
    </row>
    <row r="167">
      <c r="A167" s="34"/>
      <c r="C167" s="46"/>
    </row>
    <row r="168">
      <c r="A168" s="34"/>
      <c r="C168" s="46"/>
    </row>
    <row r="169">
      <c r="A169" s="34"/>
      <c r="C169" s="46"/>
    </row>
    <row r="170">
      <c r="A170" s="34"/>
      <c r="C170" s="46"/>
    </row>
    <row r="171">
      <c r="A171" s="34"/>
      <c r="C171" s="46"/>
    </row>
    <row r="172">
      <c r="A172" s="34"/>
      <c r="C172" s="46"/>
    </row>
    <row r="173">
      <c r="A173" s="34"/>
      <c r="C173" s="46"/>
    </row>
    <row r="174">
      <c r="A174" s="34"/>
      <c r="C174" s="46"/>
    </row>
    <row r="175">
      <c r="A175" s="34"/>
      <c r="C175" s="46"/>
    </row>
    <row r="176">
      <c r="A176" s="34"/>
      <c r="C176" s="46"/>
    </row>
    <row r="177">
      <c r="A177" s="34"/>
      <c r="C177" s="46"/>
    </row>
    <row r="178">
      <c r="A178" s="34"/>
      <c r="C178" s="46"/>
    </row>
    <row r="179">
      <c r="A179" s="34"/>
      <c r="C179" s="46"/>
    </row>
    <row r="180">
      <c r="A180" s="34"/>
      <c r="C180" s="46"/>
    </row>
    <row r="181">
      <c r="A181" s="34"/>
      <c r="C181" s="46"/>
    </row>
    <row r="182">
      <c r="A182" s="34"/>
      <c r="C182" s="46"/>
    </row>
    <row r="183">
      <c r="A183" s="34"/>
      <c r="C183" s="46"/>
    </row>
    <row r="184">
      <c r="A184" s="34"/>
      <c r="C184" s="46"/>
    </row>
    <row r="185">
      <c r="A185" s="34"/>
      <c r="C185" s="46"/>
    </row>
    <row r="186">
      <c r="A186" s="34"/>
      <c r="C186" s="46"/>
    </row>
    <row r="187">
      <c r="A187" s="34"/>
      <c r="C187" s="46"/>
    </row>
    <row r="188">
      <c r="A188" s="34"/>
      <c r="C188" s="46"/>
    </row>
    <row r="189">
      <c r="A189" s="34"/>
      <c r="C189" s="46"/>
    </row>
    <row r="190">
      <c r="A190" s="34"/>
      <c r="C190" s="46"/>
    </row>
    <row r="191">
      <c r="A191" s="34"/>
      <c r="C191" s="46"/>
    </row>
    <row r="192">
      <c r="A192" s="34"/>
      <c r="C192" s="46"/>
    </row>
    <row r="193">
      <c r="A193" s="34"/>
      <c r="C193" s="46"/>
    </row>
    <row r="194">
      <c r="A194" s="34"/>
      <c r="C194" s="46"/>
    </row>
    <row r="195">
      <c r="A195" s="34"/>
      <c r="C195" s="46"/>
    </row>
    <row r="196">
      <c r="A196" s="34"/>
      <c r="C196" s="46"/>
    </row>
    <row r="197">
      <c r="A197" s="34"/>
      <c r="C197" s="46"/>
    </row>
    <row r="198">
      <c r="A198" s="34"/>
      <c r="C198" s="46"/>
    </row>
    <row r="199">
      <c r="A199" s="34"/>
      <c r="C199" s="46"/>
    </row>
    <row r="200">
      <c r="A200" s="34"/>
      <c r="C200" s="46"/>
    </row>
    <row r="201">
      <c r="A201" s="34"/>
      <c r="C201" s="46"/>
    </row>
    <row r="202">
      <c r="A202" s="34"/>
      <c r="C202" s="46"/>
    </row>
    <row r="203">
      <c r="A203" s="34"/>
      <c r="C203" s="46"/>
    </row>
    <row r="204">
      <c r="A204" s="34"/>
      <c r="C204" s="46"/>
    </row>
    <row r="205">
      <c r="A205" s="34"/>
      <c r="C205" s="46"/>
    </row>
    <row r="206">
      <c r="A206" s="34"/>
      <c r="C206" s="46"/>
    </row>
    <row r="207">
      <c r="A207" s="34"/>
      <c r="C207" s="46"/>
    </row>
    <row r="208">
      <c r="A208" s="34"/>
      <c r="C208" s="46"/>
    </row>
    <row r="209">
      <c r="A209" s="34"/>
      <c r="C209" s="46"/>
    </row>
    <row r="210">
      <c r="A210" s="34"/>
      <c r="C210" s="46"/>
    </row>
    <row r="211">
      <c r="A211" s="34"/>
      <c r="C211" s="46"/>
    </row>
    <row r="212">
      <c r="A212" s="34"/>
      <c r="C212" s="46"/>
    </row>
    <row r="213">
      <c r="A213" s="34"/>
      <c r="C213" s="46"/>
    </row>
    <row r="214">
      <c r="A214" s="34"/>
      <c r="C214" s="46"/>
    </row>
    <row r="215">
      <c r="A215" s="34"/>
      <c r="C215" s="46"/>
    </row>
    <row r="216">
      <c r="A216" s="34"/>
      <c r="C216" s="46"/>
    </row>
    <row r="217">
      <c r="A217" s="34"/>
      <c r="C217" s="46"/>
    </row>
    <row r="218">
      <c r="A218" s="34"/>
      <c r="C218" s="46"/>
    </row>
    <row r="219">
      <c r="A219" s="34"/>
      <c r="C219" s="46"/>
    </row>
    <row r="220">
      <c r="A220" s="34"/>
      <c r="C220" s="46"/>
    </row>
    <row r="221">
      <c r="A221" s="34"/>
      <c r="C221" s="46"/>
    </row>
    <row r="222">
      <c r="A222" s="34"/>
      <c r="C222" s="46"/>
    </row>
    <row r="223">
      <c r="A223" s="34"/>
      <c r="C223" s="46"/>
    </row>
    <row r="224">
      <c r="A224" s="34"/>
      <c r="C224" s="46"/>
    </row>
    <row r="225">
      <c r="A225" s="34"/>
      <c r="C225" s="46"/>
    </row>
    <row r="226">
      <c r="A226" s="34"/>
      <c r="C226" s="46"/>
    </row>
    <row r="227">
      <c r="A227" s="34"/>
      <c r="C227" s="46"/>
    </row>
    <row r="228">
      <c r="A228" s="34"/>
      <c r="C228" s="46"/>
    </row>
    <row r="229">
      <c r="A229" s="34"/>
      <c r="C229" s="46"/>
    </row>
    <row r="230">
      <c r="A230" s="34"/>
      <c r="C230" s="46"/>
    </row>
    <row r="231">
      <c r="A231" s="34"/>
      <c r="C231" s="46"/>
    </row>
    <row r="232">
      <c r="A232" s="34"/>
      <c r="C232" s="46"/>
    </row>
    <row r="233">
      <c r="A233" s="34"/>
      <c r="C233" s="46"/>
    </row>
    <row r="234">
      <c r="A234" s="34"/>
      <c r="C234" s="46"/>
    </row>
    <row r="235">
      <c r="A235" s="34"/>
      <c r="C235" s="46"/>
    </row>
    <row r="236">
      <c r="A236" s="34"/>
      <c r="C236" s="46"/>
    </row>
    <row r="237">
      <c r="A237" s="34"/>
      <c r="C237" s="46"/>
    </row>
    <row r="238">
      <c r="A238" s="34"/>
      <c r="C238" s="46"/>
    </row>
    <row r="239">
      <c r="A239" s="34"/>
      <c r="C239" s="46"/>
    </row>
    <row r="240">
      <c r="A240" s="34"/>
      <c r="C240" s="46"/>
    </row>
    <row r="241">
      <c r="A241" s="34"/>
      <c r="C241" s="46"/>
    </row>
    <row r="242">
      <c r="A242" s="34"/>
      <c r="C242" s="46"/>
    </row>
    <row r="243">
      <c r="A243" s="34"/>
      <c r="C243" s="46"/>
    </row>
    <row r="244">
      <c r="A244" s="34"/>
      <c r="C244" s="46"/>
    </row>
    <row r="245">
      <c r="A245" s="34"/>
      <c r="C245" s="46"/>
    </row>
    <row r="246">
      <c r="A246" s="34"/>
      <c r="C246" s="46"/>
    </row>
    <row r="247">
      <c r="A247" s="34"/>
      <c r="C247" s="46"/>
    </row>
    <row r="248">
      <c r="A248" s="34"/>
      <c r="C248" s="46"/>
    </row>
    <row r="249">
      <c r="A249" s="34"/>
      <c r="C249" s="46"/>
    </row>
    <row r="250">
      <c r="A250" s="34"/>
      <c r="C250" s="46"/>
    </row>
    <row r="251">
      <c r="A251" s="34"/>
      <c r="C251" s="46"/>
    </row>
    <row r="252">
      <c r="A252" s="34"/>
      <c r="C252" s="46"/>
    </row>
    <row r="253">
      <c r="A253" s="34"/>
      <c r="C253" s="46"/>
    </row>
    <row r="254">
      <c r="A254" s="34"/>
      <c r="C254" s="46"/>
    </row>
    <row r="255">
      <c r="A255" s="34"/>
      <c r="C255" s="46"/>
    </row>
    <row r="256">
      <c r="A256" s="34"/>
      <c r="C256" s="46"/>
    </row>
    <row r="257">
      <c r="A257" s="34"/>
      <c r="C257" s="46"/>
    </row>
    <row r="258">
      <c r="A258" s="34"/>
      <c r="C258" s="46"/>
    </row>
    <row r="259">
      <c r="A259" s="34"/>
      <c r="C259" s="46"/>
    </row>
    <row r="260">
      <c r="A260" s="34"/>
      <c r="C260" s="46"/>
    </row>
    <row r="261">
      <c r="A261" s="34"/>
      <c r="C261" s="46"/>
    </row>
    <row r="262">
      <c r="A262" s="34"/>
      <c r="C262" s="46"/>
    </row>
    <row r="263">
      <c r="A263" s="34"/>
      <c r="C263" s="46"/>
    </row>
    <row r="264">
      <c r="A264" s="34"/>
      <c r="C264" s="46"/>
    </row>
    <row r="265">
      <c r="A265" s="34"/>
      <c r="C265" s="46"/>
    </row>
    <row r="266">
      <c r="A266" s="34"/>
      <c r="C266" s="46"/>
    </row>
    <row r="267">
      <c r="A267" s="34"/>
      <c r="C267" s="46"/>
    </row>
    <row r="268">
      <c r="A268" s="34"/>
      <c r="C268" s="46"/>
    </row>
    <row r="269">
      <c r="A269" s="34"/>
      <c r="C269" s="46"/>
    </row>
    <row r="270">
      <c r="A270" s="34"/>
      <c r="C270" s="46"/>
    </row>
    <row r="271">
      <c r="A271" s="34"/>
      <c r="C271" s="46"/>
    </row>
    <row r="272">
      <c r="A272" s="34"/>
      <c r="C272" s="46"/>
    </row>
    <row r="273">
      <c r="A273" s="34"/>
      <c r="C273" s="46"/>
    </row>
    <row r="274">
      <c r="A274" s="34"/>
      <c r="C274" s="46"/>
    </row>
    <row r="275">
      <c r="A275" s="34"/>
      <c r="C275" s="46"/>
    </row>
    <row r="276">
      <c r="A276" s="34"/>
      <c r="C276" s="46"/>
    </row>
    <row r="277">
      <c r="A277" s="34"/>
      <c r="C277" s="46"/>
    </row>
    <row r="278">
      <c r="A278" s="34"/>
      <c r="C278" s="46"/>
    </row>
    <row r="279">
      <c r="A279" s="34"/>
      <c r="C279" s="46"/>
    </row>
    <row r="280">
      <c r="A280" s="34"/>
      <c r="C280" s="46"/>
    </row>
    <row r="281">
      <c r="A281" s="34"/>
      <c r="C281" s="46"/>
    </row>
    <row r="282">
      <c r="A282" s="34"/>
      <c r="C282" s="46"/>
    </row>
    <row r="283">
      <c r="A283" s="34"/>
      <c r="C283" s="46"/>
    </row>
    <row r="284">
      <c r="A284" s="34"/>
      <c r="C284" s="46"/>
    </row>
    <row r="285">
      <c r="A285" s="34"/>
      <c r="C285" s="46"/>
    </row>
    <row r="286">
      <c r="A286" s="34"/>
      <c r="C286" s="46"/>
    </row>
    <row r="287">
      <c r="A287" s="34"/>
      <c r="C287" s="46"/>
    </row>
    <row r="288">
      <c r="A288" s="34"/>
      <c r="C288" s="46"/>
    </row>
    <row r="289">
      <c r="A289" s="34"/>
      <c r="C289" s="46"/>
    </row>
    <row r="290">
      <c r="A290" s="34"/>
      <c r="C290" s="46"/>
    </row>
    <row r="291">
      <c r="A291" s="34"/>
      <c r="C291" s="46"/>
    </row>
    <row r="292">
      <c r="A292" s="34"/>
      <c r="C292" s="46"/>
    </row>
    <row r="293">
      <c r="A293" s="34"/>
      <c r="C293" s="46"/>
    </row>
    <row r="294">
      <c r="A294" s="34"/>
      <c r="C294" s="46"/>
    </row>
    <row r="295">
      <c r="A295" s="34"/>
      <c r="C295" s="46"/>
    </row>
    <row r="296">
      <c r="A296" s="34"/>
      <c r="C296" s="46"/>
    </row>
    <row r="297">
      <c r="A297" s="34"/>
      <c r="C297" s="46"/>
    </row>
    <row r="298">
      <c r="A298" s="34"/>
      <c r="C298" s="46"/>
    </row>
    <row r="299">
      <c r="A299" s="34"/>
      <c r="C299" s="46"/>
    </row>
    <row r="300">
      <c r="A300" s="34"/>
      <c r="C300" s="46"/>
    </row>
    <row r="301">
      <c r="A301" s="34"/>
      <c r="C301" s="46"/>
    </row>
    <row r="302">
      <c r="A302" s="34"/>
      <c r="C302" s="46"/>
    </row>
    <row r="303">
      <c r="A303" s="34"/>
      <c r="C303" s="46"/>
    </row>
    <row r="304">
      <c r="A304" s="34"/>
      <c r="C304" s="46"/>
    </row>
    <row r="305">
      <c r="A305" s="34"/>
      <c r="C305" s="46"/>
    </row>
    <row r="306">
      <c r="A306" s="34"/>
      <c r="C306" s="46"/>
    </row>
    <row r="307">
      <c r="A307" s="34"/>
      <c r="C307" s="46"/>
    </row>
    <row r="308">
      <c r="A308" s="34"/>
      <c r="C308" s="46"/>
    </row>
    <row r="309">
      <c r="A309" s="34"/>
      <c r="C309" s="46"/>
    </row>
    <row r="310">
      <c r="A310" s="34"/>
      <c r="C310" s="46"/>
    </row>
    <row r="311">
      <c r="A311" s="34"/>
      <c r="C311" s="46"/>
    </row>
    <row r="312">
      <c r="A312" s="34"/>
      <c r="C312" s="46"/>
    </row>
    <row r="313">
      <c r="A313" s="34"/>
      <c r="C313" s="46"/>
    </row>
    <row r="314">
      <c r="A314" s="34"/>
      <c r="C314" s="46"/>
    </row>
    <row r="315">
      <c r="A315" s="34"/>
      <c r="C315" s="46"/>
    </row>
    <row r="316">
      <c r="A316" s="34"/>
      <c r="C316" s="46"/>
    </row>
    <row r="317">
      <c r="A317" s="34"/>
      <c r="C317" s="46"/>
    </row>
    <row r="318">
      <c r="A318" s="34"/>
      <c r="C318" s="46"/>
    </row>
    <row r="319">
      <c r="A319" s="34"/>
      <c r="C319" s="46"/>
    </row>
    <row r="320">
      <c r="A320" s="34"/>
      <c r="C320" s="46"/>
    </row>
    <row r="321">
      <c r="A321" s="34"/>
      <c r="C321" s="46"/>
    </row>
    <row r="322">
      <c r="A322" s="34"/>
      <c r="C322" s="46"/>
    </row>
    <row r="323">
      <c r="A323" s="34"/>
      <c r="C323" s="46"/>
    </row>
    <row r="324">
      <c r="A324" s="34"/>
      <c r="C324" s="46"/>
    </row>
    <row r="325">
      <c r="A325" s="34"/>
      <c r="C325" s="46"/>
    </row>
    <row r="326">
      <c r="A326" s="34"/>
      <c r="C326" s="46"/>
    </row>
    <row r="327">
      <c r="A327" s="34"/>
      <c r="C327" s="46"/>
    </row>
    <row r="328">
      <c r="A328" s="34"/>
      <c r="C328" s="46"/>
    </row>
    <row r="329">
      <c r="A329" s="34"/>
      <c r="C329" s="46"/>
    </row>
    <row r="330">
      <c r="A330" s="34"/>
      <c r="C330" s="46"/>
    </row>
    <row r="331">
      <c r="A331" s="34"/>
      <c r="C331" s="46"/>
    </row>
    <row r="332">
      <c r="A332" s="34"/>
      <c r="C332" s="46"/>
    </row>
    <row r="333">
      <c r="A333" s="34"/>
      <c r="C333" s="46"/>
    </row>
    <row r="334">
      <c r="A334" s="34"/>
      <c r="C334" s="46"/>
    </row>
    <row r="335">
      <c r="A335" s="34"/>
      <c r="C335" s="46"/>
    </row>
    <row r="336">
      <c r="A336" s="34"/>
      <c r="C336" s="46"/>
    </row>
    <row r="337">
      <c r="A337" s="34"/>
      <c r="C337" s="46"/>
    </row>
    <row r="338">
      <c r="A338" s="34"/>
      <c r="C338" s="46"/>
    </row>
    <row r="339">
      <c r="A339" s="34"/>
      <c r="C339" s="46"/>
    </row>
    <row r="340">
      <c r="A340" s="34"/>
      <c r="C340" s="46"/>
    </row>
    <row r="341">
      <c r="A341" s="34"/>
      <c r="C341" s="46"/>
    </row>
    <row r="342">
      <c r="A342" s="34"/>
      <c r="C342" s="46"/>
    </row>
    <row r="343">
      <c r="A343" s="34"/>
      <c r="C343" s="46"/>
    </row>
    <row r="344">
      <c r="A344" s="34"/>
      <c r="C344" s="46"/>
    </row>
    <row r="345">
      <c r="A345" s="34"/>
      <c r="C345" s="46"/>
    </row>
    <row r="346">
      <c r="A346" s="34"/>
      <c r="C346" s="46"/>
    </row>
    <row r="347">
      <c r="A347" s="34"/>
      <c r="C347" s="46"/>
    </row>
    <row r="348">
      <c r="A348" s="34"/>
      <c r="C348" s="46"/>
    </row>
    <row r="349">
      <c r="A349" s="34"/>
      <c r="C349" s="46"/>
    </row>
    <row r="350">
      <c r="A350" s="34"/>
      <c r="C350" s="46"/>
    </row>
    <row r="351">
      <c r="A351" s="34"/>
      <c r="C351" s="46"/>
    </row>
    <row r="352">
      <c r="A352" s="34"/>
      <c r="C352" s="46"/>
    </row>
    <row r="353">
      <c r="A353" s="34"/>
      <c r="C353" s="46"/>
    </row>
    <row r="354">
      <c r="A354" s="34"/>
      <c r="C354" s="46"/>
    </row>
    <row r="355">
      <c r="A355" s="34"/>
      <c r="C355" s="46"/>
    </row>
    <row r="356">
      <c r="A356" s="34"/>
      <c r="C356" s="46"/>
    </row>
    <row r="357">
      <c r="A357" s="34"/>
      <c r="C357" s="46"/>
    </row>
    <row r="358">
      <c r="A358" s="34"/>
      <c r="C358" s="46"/>
    </row>
    <row r="359">
      <c r="A359" s="34"/>
      <c r="C359" s="46"/>
    </row>
    <row r="360">
      <c r="A360" s="34"/>
      <c r="C360" s="46"/>
    </row>
    <row r="361">
      <c r="A361" s="34"/>
      <c r="C361" s="46"/>
    </row>
    <row r="362">
      <c r="A362" s="34"/>
      <c r="C362" s="46"/>
    </row>
    <row r="363">
      <c r="A363" s="34"/>
      <c r="C363" s="46"/>
    </row>
    <row r="364">
      <c r="A364" s="34"/>
      <c r="C364" s="46"/>
    </row>
    <row r="365">
      <c r="A365" s="34"/>
      <c r="C365" s="46"/>
    </row>
    <row r="366">
      <c r="A366" s="34"/>
      <c r="C366" s="46"/>
    </row>
    <row r="367">
      <c r="A367" s="34"/>
      <c r="C367" s="46"/>
    </row>
    <row r="368">
      <c r="A368" s="34"/>
      <c r="C368" s="46"/>
    </row>
    <row r="369">
      <c r="A369" s="34"/>
      <c r="C369" s="46"/>
    </row>
    <row r="370">
      <c r="A370" s="34"/>
      <c r="C370" s="46"/>
    </row>
    <row r="371">
      <c r="A371" s="34"/>
      <c r="C371" s="46"/>
    </row>
    <row r="372">
      <c r="A372" s="34"/>
      <c r="C372" s="46"/>
    </row>
    <row r="373">
      <c r="A373" s="34"/>
      <c r="C373" s="46"/>
    </row>
    <row r="374">
      <c r="A374" s="34"/>
      <c r="C374" s="46"/>
    </row>
    <row r="375">
      <c r="A375" s="34"/>
      <c r="C375" s="46"/>
    </row>
    <row r="376">
      <c r="A376" s="34"/>
      <c r="C376" s="46"/>
    </row>
    <row r="377">
      <c r="A377" s="34"/>
      <c r="C377" s="46"/>
    </row>
    <row r="378">
      <c r="A378" s="34"/>
      <c r="C378" s="46"/>
    </row>
    <row r="379">
      <c r="A379" s="34"/>
      <c r="C379" s="46"/>
    </row>
    <row r="380">
      <c r="A380" s="34"/>
      <c r="C380" s="46"/>
    </row>
    <row r="381">
      <c r="A381" s="34"/>
      <c r="C381" s="46"/>
    </row>
    <row r="382">
      <c r="A382" s="34"/>
      <c r="C382" s="46"/>
    </row>
    <row r="383">
      <c r="A383" s="34"/>
      <c r="C383" s="46"/>
    </row>
    <row r="384">
      <c r="A384" s="34"/>
      <c r="C384" s="46"/>
    </row>
    <row r="385">
      <c r="A385" s="34"/>
      <c r="C385" s="46"/>
    </row>
    <row r="386">
      <c r="A386" s="34"/>
      <c r="C386" s="46"/>
    </row>
    <row r="387">
      <c r="A387" s="34"/>
      <c r="C387" s="46"/>
    </row>
    <row r="388">
      <c r="A388" s="34"/>
      <c r="C388" s="46"/>
    </row>
    <row r="389">
      <c r="A389" s="34"/>
      <c r="C389" s="46"/>
    </row>
    <row r="390">
      <c r="A390" s="34"/>
      <c r="C390" s="46"/>
    </row>
    <row r="391">
      <c r="A391" s="34"/>
      <c r="C391" s="46"/>
    </row>
    <row r="392">
      <c r="A392" s="34"/>
      <c r="C392" s="46"/>
    </row>
    <row r="393">
      <c r="A393" s="34"/>
      <c r="C393" s="46"/>
    </row>
    <row r="394">
      <c r="A394" s="34"/>
      <c r="C394" s="46"/>
    </row>
    <row r="395">
      <c r="A395" s="34"/>
      <c r="C395" s="46"/>
    </row>
    <row r="396">
      <c r="A396" s="34"/>
      <c r="C396" s="46"/>
    </row>
    <row r="397">
      <c r="A397" s="34"/>
      <c r="C397" s="46"/>
    </row>
    <row r="398">
      <c r="A398" s="34"/>
      <c r="C398" s="46"/>
    </row>
    <row r="399">
      <c r="A399" s="34"/>
      <c r="C399" s="46"/>
    </row>
    <row r="400">
      <c r="A400" s="34"/>
      <c r="C400" s="46"/>
    </row>
    <row r="401">
      <c r="A401" s="34"/>
      <c r="C401" s="46"/>
    </row>
    <row r="402">
      <c r="A402" s="34"/>
      <c r="C402" s="46"/>
    </row>
    <row r="403">
      <c r="A403" s="34"/>
      <c r="C403" s="46"/>
    </row>
    <row r="404">
      <c r="A404" s="34"/>
      <c r="C404" s="46"/>
    </row>
    <row r="405">
      <c r="A405" s="34"/>
      <c r="C405" s="46"/>
    </row>
    <row r="406">
      <c r="A406" s="34"/>
      <c r="C406" s="46"/>
    </row>
    <row r="407">
      <c r="A407" s="34"/>
      <c r="C407" s="46"/>
    </row>
    <row r="408">
      <c r="A408" s="34"/>
      <c r="C408" s="46"/>
    </row>
    <row r="409">
      <c r="A409" s="34"/>
      <c r="C409" s="46"/>
    </row>
    <row r="410">
      <c r="A410" s="34"/>
      <c r="C410" s="46"/>
    </row>
    <row r="411">
      <c r="A411" s="34"/>
      <c r="C411" s="46"/>
    </row>
    <row r="412">
      <c r="A412" s="34"/>
      <c r="C412" s="46"/>
    </row>
    <row r="413">
      <c r="A413" s="34"/>
      <c r="C413" s="46"/>
    </row>
    <row r="414">
      <c r="A414" s="34"/>
      <c r="C414" s="46"/>
    </row>
    <row r="415">
      <c r="A415" s="34"/>
      <c r="C415" s="46"/>
    </row>
    <row r="416">
      <c r="A416" s="34"/>
      <c r="C416" s="46"/>
    </row>
    <row r="417">
      <c r="A417" s="34"/>
      <c r="C417" s="46"/>
    </row>
    <row r="418">
      <c r="A418" s="34"/>
      <c r="C418" s="46"/>
    </row>
    <row r="419">
      <c r="A419" s="34"/>
      <c r="C419" s="46"/>
    </row>
    <row r="420">
      <c r="A420" s="34"/>
      <c r="C420" s="46"/>
    </row>
    <row r="421">
      <c r="A421" s="34"/>
      <c r="C421" s="46"/>
    </row>
    <row r="422">
      <c r="A422" s="34"/>
      <c r="C422" s="46"/>
    </row>
    <row r="423">
      <c r="A423" s="34"/>
      <c r="C423" s="46"/>
    </row>
    <row r="424">
      <c r="A424" s="34"/>
      <c r="C424" s="46"/>
    </row>
    <row r="425">
      <c r="A425" s="34"/>
      <c r="C425" s="46"/>
    </row>
    <row r="426">
      <c r="A426" s="34"/>
      <c r="C426" s="46"/>
    </row>
    <row r="427">
      <c r="A427" s="34"/>
      <c r="C427" s="46"/>
    </row>
    <row r="428">
      <c r="A428" s="34"/>
      <c r="C428" s="46"/>
    </row>
    <row r="429">
      <c r="A429" s="34"/>
      <c r="C429" s="46"/>
    </row>
    <row r="430">
      <c r="A430" s="34"/>
      <c r="C430" s="46"/>
    </row>
    <row r="431">
      <c r="A431" s="34"/>
      <c r="C431" s="46"/>
    </row>
    <row r="432">
      <c r="A432" s="34"/>
      <c r="C432" s="46"/>
    </row>
    <row r="433">
      <c r="A433" s="34"/>
      <c r="C433" s="46"/>
    </row>
    <row r="434">
      <c r="A434" s="34"/>
      <c r="C434" s="46"/>
    </row>
    <row r="435">
      <c r="A435" s="34"/>
      <c r="C435" s="46"/>
    </row>
    <row r="436">
      <c r="A436" s="34"/>
      <c r="C436" s="46"/>
    </row>
    <row r="437">
      <c r="A437" s="34"/>
      <c r="C437" s="46"/>
    </row>
    <row r="438">
      <c r="A438" s="34"/>
      <c r="C438" s="46"/>
    </row>
    <row r="439">
      <c r="A439" s="34"/>
      <c r="C439" s="46"/>
    </row>
    <row r="440">
      <c r="A440" s="34"/>
      <c r="C440" s="46"/>
    </row>
    <row r="441">
      <c r="A441" s="34"/>
      <c r="C441" s="46"/>
    </row>
    <row r="442">
      <c r="A442" s="34"/>
      <c r="C442" s="46"/>
    </row>
    <row r="443">
      <c r="A443" s="34"/>
      <c r="C443" s="46"/>
    </row>
    <row r="444">
      <c r="A444" s="34"/>
      <c r="C444" s="46"/>
    </row>
    <row r="445">
      <c r="A445" s="34"/>
      <c r="C445" s="46"/>
    </row>
    <row r="446">
      <c r="A446" s="34"/>
      <c r="C446" s="46"/>
    </row>
    <row r="447">
      <c r="A447" s="34"/>
      <c r="C447" s="46"/>
    </row>
    <row r="448">
      <c r="A448" s="34"/>
      <c r="C448" s="46"/>
    </row>
    <row r="449">
      <c r="A449" s="34"/>
      <c r="C449" s="46"/>
    </row>
    <row r="450">
      <c r="A450" s="34"/>
      <c r="C450" s="46"/>
    </row>
    <row r="451">
      <c r="A451" s="34"/>
      <c r="C451" s="46"/>
    </row>
    <row r="452">
      <c r="A452" s="34"/>
      <c r="C452" s="46"/>
    </row>
    <row r="453">
      <c r="A453" s="34"/>
      <c r="C453" s="46"/>
    </row>
    <row r="454">
      <c r="A454" s="34"/>
      <c r="C454" s="46"/>
    </row>
    <row r="455">
      <c r="A455" s="34"/>
      <c r="C455" s="46"/>
    </row>
    <row r="456">
      <c r="A456" s="34"/>
      <c r="C456" s="46"/>
    </row>
    <row r="457">
      <c r="A457" s="34"/>
      <c r="C457" s="46"/>
    </row>
    <row r="458">
      <c r="A458" s="34"/>
      <c r="C458" s="46"/>
    </row>
    <row r="459">
      <c r="A459" s="34"/>
      <c r="C459" s="46"/>
    </row>
    <row r="460">
      <c r="A460" s="34"/>
      <c r="C460" s="46"/>
    </row>
    <row r="461">
      <c r="A461" s="34"/>
      <c r="C461" s="46"/>
    </row>
    <row r="462">
      <c r="A462" s="34"/>
      <c r="C462" s="46"/>
    </row>
    <row r="463">
      <c r="A463" s="34"/>
      <c r="C463" s="46"/>
    </row>
    <row r="464">
      <c r="A464" s="34"/>
      <c r="C464" s="46"/>
    </row>
    <row r="465">
      <c r="A465" s="34"/>
      <c r="C465" s="46"/>
    </row>
    <row r="466">
      <c r="A466" s="34"/>
      <c r="C466" s="46"/>
    </row>
    <row r="467">
      <c r="A467" s="34"/>
      <c r="C467" s="46"/>
    </row>
    <row r="468">
      <c r="A468" s="34"/>
      <c r="C468" s="46"/>
    </row>
    <row r="469">
      <c r="A469" s="34"/>
      <c r="C469" s="46"/>
    </row>
    <row r="470">
      <c r="A470" s="34"/>
      <c r="C470" s="46"/>
    </row>
    <row r="471">
      <c r="A471" s="34"/>
      <c r="C471" s="46"/>
    </row>
    <row r="472">
      <c r="A472" s="34"/>
      <c r="C472" s="46"/>
    </row>
    <row r="473">
      <c r="A473" s="34"/>
      <c r="C473" s="46"/>
    </row>
    <row r="474">
      <c r="A474" s="34"/>
      <c r="C474" s="46"/>
    </row>
    <row r="475">
      <c r="A475" s="34"/>
      <c r="C475" s="46"/>
    </row>
    <row r="476">
      <c r="A476" s="34"/>
      <c r="C476" s="46"/>
    </row>
    <row r="477">
      <c r="A477" s="34"/>
      <c r="C477" s="46"/>
    </row>
    <row r="478">
      <c r="A478" s="34"/>
      <c r="C478" s="46"/>
    </row>
    <row r="479">
      <c r="A479" s="34"/>
      <c r="C479" s="46"/>
    </row>
    <row r="480">
      <c r="A480" s="34"/>
      <c r="C480" s="46"/>
    </row>
    <row r="481">
      <c r="A481" s="34"/>
      <c r="C481" s="46"/>
    </row>
    <row r="482">
      <c r="A482" s="34"/>
      <c r="C482" s="46"/>
    </row>
    <row r="483">
      <c r="A483" s="34"/>
      <c r="C483" s="46"/>
    </row>
    <row r="484">
      <c r="A484" s="34"/>
      <c r="C484" s="46"/>
    </row>
    <row r="485">
      <c r="A485" s="34"/>
      <c r="C485" s="46"/>
    </row>
    <row r="486">
      <c r="A486" s="34"/>
      <c r="C486" s="46"/>
    </row>
    <row r="487">
      <c r="A487" s="34"/>
      <c r="C487" s="46"/>
    </row>
    <row r="488">
      <c r="A488" s="34"/>
      <c r="C488" s="46"/>
    </row>
    <row r="489">
      <c r="A489" s="34"/>
      <c r="C489" s="46"/>
    </row>
    <row r="490">
      <c r="A490" s="34"/>
      <c r="C490" s="46"/>
    </row>
    <row r="491">
      <c r="A491" s="34"/>
      <c r="C491" s="46"/>
    </row>
    <row r="492">
      <c r="A492" s="34"/>
      <c r="C492" s="46"/>
    </row>
    <row r="493">
      <c r="A493" s="34"/>
      <c r="C493" s="46"/>
    </row>
    <row r="494">
      <c r="A494" s="34"/>
      <c r="C494" s="46"/>
    </row>
    <row r="495">
      <c r="A495" s="34"/>
      <c r="C495" s="46"/>
    </row>
    <row r="496">
      <c r="A496" s="34"/>
      <c r="C496" s="46"/>
    </row>
    <row r="497">
      <c r="A497" s="34"/>
      <c r="C497" s="46"/>
    </row>
    <row r="498">
      <c r="A498" s="34"/>
      <c r="C498" s="46"/>
    </row>
    <row r="499">
      <c r="A499" s="34"/>
      <c r="C499" s="46"/>
    </row>
    <row r="500">
      <c r="A500" s="34"/>
      <c r="C500" s="46"/>
    </row>
    <row r="501">
      <c r="A501" s="34"/>
      <c r="C501" s="46"/>
    </row>
    <row r="502">
      <c r="A502" s="34"/>
      <c r="C502" s="46"/>
    </row>
    <row r="503">
      <c r="A503" s="34"/>
      <c r="C503" s="46"/>
    </row>
    <row r="504">
      <c r="A504" s="34"/>
      <c r="C504" s="46"/>
    </row>
    <row r="505">
      <c r="A505" s="34"/>
      <c r="C505" s="46"/>
    </row>
    <row r="506">
      <c r="A506" s="34"/>
      <c r="C506" s="46"/>
    </row>
    <row r="507">
      <c r="A507" s="34"/>
      <c r="C507" s="46"/>
    </row>
    <row r="508">
      <c r="A508" s="34"/>
      <c r="C508" s="46"/>
    </row>
    <row r="509">
      <c r="A509" s="34"/>
      <c r="C509" s="46"/>
    </row>
    <row r="510">
      <c r="A510" s="34"/>
      <c r="C510" s="46"/>
    </row>
    <row r="511">
      <c r="A511" s="34"/>
      <c r="C511" s="46"/>
    </row>
    <row r="512">
      <c r="A512" s="34"/>
      <c r="C512" s="46"/>
    </row>
    <row r="513">
      <c r="A513" s="34"/>
      <c r="C513" s="46"/>
    </row>
    <row r="514">
      <c r="A514" s="34"/>
      <c r="C514" s="46"/>
    </row>
    <row r="515">
      <c r="A515" s="34"/>
      <c r="C515" s="46"/>
    </row>
    <row r="516">
      <c r="A516" s="34"/>
      <c r="C516" s="46"/>
    </row>
    <row r="517">
      <c r="A517" s="34"/>
      <c r="C517" s="46"/>
    </row>
    <row r="518">
      <c r="A518" s="34"/>
      <c r="C518" s="46"/>
    </row>
    <row r="519">
      <c r="A519" s="34"/>
      <c r="C519" s="46"/>
    </row>
    <row r="520">
      <c r="A520" s="34"/>
      <c r="C520" s="46"/>
    </row>
    <row r="521">
      <c r="A521" s="34"/>
      <c r="C521" s="46"/>
    </row>
    <row r="522">
      <c r="A522" s="34"/>
      <c r="C522" s="46"/>
    </row>
    <row r="523">
      <c r="A523" s="34"/>
      <c r="C523" s="46"/>
    </row>
    <row r="524">
      <c r="A524" s="34"/>
      <c r="C524" s="46"/>
    </row>
    <row r="525">
      <c r="A525" s="34"/>
      <c r="C525" s="46"/>
    </row>
    <row r="526">
      <c r="A526" s="34"/>
      <c r="C526" s="46"/>
    </row>
    <row r="527">
      <c r="A527" s="34"/>
      <c r="C527" s="46"/>
    </row>
    <row r="528">
      <c r="A528" s="34"/>
      <c r="C528" s="46"/>
    </row>
    <row r="529">
      <c r="A529" s="34"/>
      <c r="C529" s="46"/>
    </row>
    <row r="530">
      <c r="A530" s="34"/>
      <c r="C530" s="46"/>
    </row>
    <row r="531">
      <c r="A531" s="34"/>
      <c r="C531" s="46"/>
    </row>
    <row r="532">
      <c r="A532" s="34"/>
      <c r="C532" s="46"/>
    </row>
    <row r="533">
      <c r="A533" s="34"/>
      <c r="C533" s="46"/>
    </row>
    <row r="534">
      <c r="A534" s="34"/>
      <c r="C534" s="46"/>
    </row>
    <row r="535">
      <c r="A535" s="34"/>
      <c r="C535" s="46"/>
    </row>
    <row r="536">
      <c r="A536" s="34"/>
      <c r="C536" s="46"/>
    </row>
    <row r="537">
      <c r="A537" s="34"/>
      <c r="C537" s="46"/>
    </row>
    <row r="538">
      <c r="A538" s="34"/>
      <c r="C538" s="46"/>
    </row>
    <row r="539">
      <c r="A539" s="34"/>
      <c r="C539" s="46"/>
    </row>
    <row r="540">
      <c r="A540" s="34"/>
      <c r="C540" s="46"/>
    </row>
    <row r="541">
      <c r="A541" s="34"/>
      <c r="C541" s="46"/>
    </row>
    <row r="542">
      <c r="A542" s="34"/>
      <c r="C542" s="46"/>
    </row>
    <row r="543">
      <c r="A543" s="34"/>
      <c r="C543" s="46"/>
    </row>
    <row r="544">
      <c r="A544" s="34"/>
      <c r="C544" s="46"/>
    </row>
    <row r="545">
      <c r="A545" s="34"/>
      <c r="C545" s="46"/>
    </row>
    <row r="546">
      <c r="A546" s="34"/>
      <c r="C546" s="46"/>
    </row>
    <row r="547">
      <c r="A547" s="34"/>
      <c r="C547" s="46"/>
    </row>
    <row r="548">
      <c r="A548" s="34"/>
      <c r="C548" s="46"/>
    </row>
    <row r="549">
      <c r="A549" s="34"/>
      <c r="C549" s="46"/>
    </row>
    <row r="550">
      <c r="A550" s="34"/>
      <c r="C550" s="46"/>
    </row>
    <row r="551">
      <c r="A551" s="34"/>
      <c r="C551" s="46"/>
    </row>
    <row r="552">
      <c r="A552" s="34"/>
      <c r="C552" s="46"/>
    </row>
    <row r="553">
      <c r="A553" s="34"/>
      <c r="C553" s="46"/>
    </row>
    <row r="554">
      <c r="A554" s="34"/>
      <c r="C554" s="46"/>
    </row>
    <row r="555">
      <c r="A555" s="34"/>
      <c r="C555" s="46"/>
    </row>
    <row r="556">
      <c r="A556" s="34"/>
      <c r="C556" s="46"/>
    </row>
    <row r="557">
      <c r="A557" s="34"/>
      <c r="C557" s="46"/>
    </row>
    <row r="558">
      <c r="A558" s="34"/>
      <c r="C558" s="46"/>
    </row>
    <row r="559">
      <c r="A559" s="34"/>
      <c r="C559" s="46"/>
    </row>
    <row r="560">
      <c r="A560" s="34"/>
      <c r="C560" s="46"/>
    </row>
    <row r="561">
      <c r="A561" s="34"/>
      <c r="C561" s="46"/>
    </row>
    <row r="562">
      <c r="A562" s="34"/>
      <c r="C562" s="46"/>
    </row>
    <row r="563">
      <c r="A563" s="34"/>
      <c r="C563" s="46"/>
    </row>
    <row r="564">
      <c r="A564" s="34"/>
      <c r="C564" s="46"/>
    </row>
    <row r="565">
      <c r="A565" s="34"/>
      <c r="C565" s="46"/>
    </row>
    <row r="566">
      <c r="A566" s="34"/>
      <c r="C566" s="46"/>
    </row>
    <row r="567">
      <c r="A567" s="34"/>
      <c r="C567" s="46"/>
    </row>
    <row r="568">
      <c r="A568" s="34"/>
      <c r="C568" s="46"/>
    </row>
    <row r="569">
      <c r="A569" s="34"/>
      <c r="C569" s="46"/>
    </row>
    <row r="570">
      <c r="A570" s="34"/>
      <c r="C570" s="46"/>
    </row>
    <row r="571">
      <c r="A571" s="34"/>
      <c r="C571" s="46"/>
    </row>
    <row r="572">
      <c r="A572" s="34"/>
      <c r="C572" s="46"/>
    </row>
    <row r="573">
      <c r="A573" s="34"/>
      <c r="C573" s="46"/>
    </row>
    <row r="574">
      <c r="A574" s="34"/>
      <c r="C574" s="46"/>
    </row>
    <row r="575">
      <c r="A575" s="34"/>
      <c r="C575" s="46"/>
    </row>
    <row r="576">
      <c r="A576" s="34"/>
      <c r="C576" s="46"/>
    </row>
    <row r="577">
      <c r="A577" s="34"/>
      <c r="C577" s="46"/>
    </row>
    <row r="578">
      <c r="A578" s="34"/>
      <c r="C578" s="46"/>
    </row>
    <row r="579">
      <c r="A579" s="34"/>
      <c r="C579" s="46"/>
    </row>
    <row r="580">
      <c r="A580" s="34"/>
      <c r="C580" s="46"/>
    </row>
    <row r="581">
      <c r="A581" s="34"/>
      <c r="C581" s="46"/>
    </row>
    <row r="582">
      <c r="A582" s="34"/>
      <c r="C582" s="46"/>
    </row>
    <row r="583">
      <c r="A583" s="34"/>
      <c r="C583" s="46"/>
    </row>
    <row r="584">
      <c r="A584" s="34"/>
      <c r="C584" s="46"/>
    </row>
    <row r="585">
      <c r="A585" s="34"/>
      <c r="C585" s="46"/>
    </row>
    <row r="586">
      <c r="A586" s="34"/>
      <c r="C586" s="46"/>
    </row>
    <row r="587">
      <c r="A587" s="34"/>
      <c r="C587" s="46"/>
    </row>
    <row r="588">
      <c r="A588" s="34"/>
      <c r="C588" s="46"/>
    </row>
    <row r="589">
      <c r="A589" s="34"/>
      <c r="C589" s="46"/>
    </row>
    <row r="590">
      <c r="A590" s="34"/>
      <c r="C590" s="46"/>
    </row>
    <row r="591">
      <c r="A591" s="34"/>
      <c r="C591" s="46"/>
    </row>
    <row r="592">
      <c r="A592" s="34"/>
      <c r="C592" s="46"/>
    </row>
    <row r="593">
      <c r="A593" s="34"/>
      <c r="C593" s="46"/>
    </row>
    <row r="594">
      <c r="A594" s="34"/>
      <c r="C594" s="46"/>
    </row>
    <row r="595">
      <c r="A595" s="34"/>
      <c r="C595" s="46"/>
    </row>
    <row r="596">
      <c r="A596" s="34"/>
      <c r="C596" s="46"/>
    </row>
    <row r="597">
      <c r="A597" s="34"/>
      <c r="C597" s="46"/>
    </row>
    <row r="598">
      <c r="A598" s="34"/>
      <c r="C598" s="46"/>
    </row>
    <row r="599">
      <c r="A599" s="34"/>
      <c r="C599" s="46"/>
    </row>
    <row r="600">
      <c r="A600" s="34"/>
      <c r="C600" s="46"/>
    </row>
    <row r="601">
      <c r="A601" s="34"/>
      <c r="C601" s="46"/>
    </row>
    <row r="602">
      <c r="A602" s="34"/>
      <c r="C602" s="46"/>
    </row>
    <row r="603">
      <c r="A603" s="34"/>
      <c r="C603" s="46"/>
    </row>
    <row r="604">
      <c r="A604" s="34"/>
      <c r="C604" s="46"/>
    </row>
    <row r="605">
      <c r="A605" s="34"/>
      <c r="C605" s="46"/>
    </row>
    <row r="606">
      <c r="A606" s="34"/>
      <c r="C606" s="46"/>
    </row>
    <row r="607">
      <c r="A607" s="34"/>
      <c r="C607" s="46"/>
    </row>
    <row r="608">
      <c r="A608" s="34"/>
      <c r="C608" s="46"/>
    </row>
    <row r="609">
      <c r="A609" s="34"/>
      <c r="C609" s="46"/>
    </row>
    <row r="610">
      <c r="A610" s="34"/>
      <c r="C610" s="46"/>
    </row>
    <row r="611">
      <c r="A611" s="34"/>
      <c r="C611" s="46"/>
    </row>
    <row r="612">
      <c r="A612" s="34"/>
      <c r="C612" s="46"/>
    </row>
    <row r="613">
      <c r="A613" s="34"/>
      <c r="C613" s="46"/>
    </row>
    <row r="614">
      <c r="A614" s="34"/>
      <c r="C614" s="46"/>
    </row>
    <row r="615">
      <c r="A615" s="34"/>
      <c r="C615" s="46"/>
    </row>
    <row r="616">
      <c r="A616" s="34"/>
      <c r="C616" s="46"/>
    </row>
    <row r="617">
      <c r="A617" s="34"/>
      <c r="C617" s="46"/>
    </row>
    <row r="618">
      <c r="A618" s="34"/>
      <c r="C618" s="46"/>
    </row>
    <row r="619">
      <c r="A619" s="34"/>
      <c r="C619" s="46"/>
    </row>
    <row r="620">
      <c r="A620" s="34"/>
      <c r="C620" s="46"/>
    </row>
    <row r="621">
      <c r="A621" s="34"/>
      <c r="C621" s="46"/>
    </row>
    <row r="622">
      <c r="A622" s="34"/>
      <c r="C622" s="46"/>
    </row>
    <row r="623">
      <c r="A623" s="34"/>
      <c r="C623" s="46"/>
    </row>
    <row r="624">
      <c r="A624" s="34"/>
      <c r="C624" s="46"/>
    </row>
    <row r="625">
      <c r="A625" s="34"/>
      <c r="C625" s="46"/>
    </row>
    <row r="626">
      <c r="A626" s="34"/>
      <c r="C626" s="46"/>
    </row>
    <row r="627">
      <c r="A627" s="34"/>
      <c r="C627" s="46"/>
    </row>
    <row r="628">
      <c r="A628" s="34"/>
      <c r="C628" s="46"/>
    </row>
    <row r="629">
      <c r="A629" s="34"/>
      <c r="C629" s="46"/>
    </row>
    <row r="630">
      <c r="A630" s="34"/>
      <c r="C630" s="46"/>
    </row>
    <row r="631">
      <c r="A631" s="34"/>
      <c r="C631" s="46"/>
    </row>
    <row r="632">
      <c r="A632" s="34"/>
      <c r="C632" s="46"/>
    </row>
    <row r="633">
      <c r="A633" s="34"/>
      <c r="C633" s="46"/>
    </row>
    <row r="634">
      <c r="A634" s="34"/>
      <c r="C634" s="46"/>
    </row>
    <row r="635">
      <c r="A635" s="34"/>
      <c r="C635" s="46"/>
    </row>
    <row r="636">
      <c r="A636" s="34"/>
      <c r="C636" s="46"/>
    </row>
    <row r="637">
      <c r="A637" s="34"/>
      <c r="C637" s="46"/>
    </row>
    <row r="638">
      <c r="A638" s="34"/>
      <c r="C638" s="46"/>
    </row>
    <row r="639">
      <c r="A639" s="34"/>
      <c r="C639" s="46"/>
    </row>
    <row r="640">
      <c r="A640" s="34"/>
      <c r="C640" s="46"/>
    </row>
    <row r="641">
      <c r="A641" s="34"/>
      <c r="C641" s="46"/>
    </row>
    <row r="642">
      <c r="A642" s="34"/>
      <c r="C642" s="46"/>
    </row>
    <row r="643">
      <c r="A643" s="34"/>
      <c r="C643" s="46"/>
    </row>
    <row r="644">
      <c r="A644" s="34"/>
      <c r="C644" s="46"/>
    </row>
    <row r="645">
      <c r="A645" s="34"/>
      <c r="C645" s="46"/>
    </row>
    <row r="646">
      <c r="A646" s="34"/>
      <c r="C646" s="46"/>
    </row>
    <row r="647">
      <c r="A647" s="34"/>
      <c r="C647" s="46"/>
    </row>
    <row r="648">
      <c r="A648" s="34"/>
      <c r="C648" s="46"/>
    </row>
    <row r="649">
      <c r="A649" s="34"/>
      <c r="C649" s="46"/>
    </row>
    <row r="650">
      <c r="A650" s="34"/>
      <c r="C650" s="46"/>
    </row>
    <row r="651">
      <c r="A651" s="34"/>
      <c r="C651" s="46"/>
    </row>
    <row r="652">
      <c r="A652" s="34"/>
      <c r="C652" s="46"/>
    </row>
    <row r="653">
      <c r="A653" s="34"/>
      <c r="C653" s="46"/>
    </row>
    <row r="654">
      <c r="A654" s="34"/>
      <c r="C654" s="46"/>
    </row>
    <row r="655">
      <c r="A655" s="34"/>
      <c r="C655" s="46"/>
    </row>
    <row r="656">
      <c r="A656" s="34"/>
      <c r="C656" s="46"/>
    </row>
    <row r="657">
      <c r="A657" s="34"/>
      <c r="C657" s="46"/>
    </row>
    <row r="658">
      <c r="A658" s="34"/>
      <c r="C658" s="46"/>
    </row>
    <row r="659">
      <c r="A659" s="34"/>
      <c r="C659" s="46"/>
    </row>
    <row r="660">
      <c r="A660" s="34"/>
      <c r="C660" s="46"/>
    </row>
    <row r="661">
      <c r="A661" s="34"/>
      <c r="C661" s="46"/>
    </row>
    <row r="662">
      <c r="A662" s="34"/>
      <c r="C662" s="46"/>
    </row>
    <row r="663">
      <c r="A663" s="34"/>
      <c r="C663" s="46"/>
    </row>
    <row r="664">
      <c r="A664" s="34"/>
      <c r="C664" s="46"/>
    </row>
    <row r="665">
      <c r="A665" s="34"/>
      <c r="C665" s="46"/>
    </row>
    <row r="666">
      <c r="A666" s="34"/>
      <c r="C666" s="46"/>
    </row>
    <row r="667">
      <c r="A667" s="34"/>
      <c r="C667" s="46"/>
    </row>
    <row r="668">
      <c r="A668" s="34"/>
      <c r="C668" s="46"/>
    </row>
    <row r="669">
      <c r="A669" s="34"/>
      <c r="C669" s="46"/>
    </row>
    <row r="670">
      <c r="A670" s="34"/>
      <c r="C670" s="46"/>
    </row>
    <row r="671">
      <c r="A671" s="34"/>
      <c r="C671" s="46"/>
    </row>
    <row r="672">
      <c r="A672" s="34"/>
      <c r="C672" s="46"/>
    </row>
    <row r="673">
      <c r="A673" s="34"/>
      <c r="C673" s="46"/>
    </row>
    <row r="674">
      <c r="A674" s="34"/>
      <c r="C674" s="46"/>
    </row>
    <row r="675">
      <c r="A675" s="34"/>
      <c r="C675" s="46"/>
    </row>
    <row r="676">
      <c r="A676" s="34"/>
      <c r="C676" s="46"/>
    </row>
    <row r="677">
      <c r="A677" s="34"/>
      <c r="C677" s="46"/>
    </row>
    <row r="678">
      <c r="A678" s="34"/>
      <c r="C678" s="46"/>
    </row>
    <row r="679">
      <c r="A679" s="34"/>
      <c r="C679" s="46"/>
    </row>
    <row r="680">
      <c r="A680" s="34"/>
      <c r="C680" s="46"/>
    </row>
    <row r="681">
      <c r="A681" s="34"/>
      <c r="C681" s="46"/>
    </row>
    <row r="682">
      <c r="A682" s="34"/>
      <c r="C682" s="46"/>
    </row>
    <row r="683">
      <c r="A683" s="34"/>
      <c r="C683" s="46"/>
    </row>
    <row r="684">
      <c r="A684" s="34"/>
      <c r="C684" s="46"/>
    </row>
    <row r="685">
      <c r="A685" s="34"/>
      <c r="C685" s="46"/>
    </row>
    <row r="686">
      <c r="A686" s="34"/>
      <c r="C686" s="46"/>
    </row>
    <row r="687">
      <c r="A687" s="34"/>
      <c r="C687" s="46"/>
    </row>
    <row r="688">
      <c r="A688" s="34"/>
      <c r="C688" s="46"/>
    </row>
    <row r="689">
      <c r="A689" s="34"/>
      <c r="C689" s="46"/>
    </row>
    <row r="690">
      <c r="A690" s="34"/>
      <c r="C690" s="46"/>
    </row>
    <row r="691">
      <c r="A691" s="34"/>
      <c r="C691" s="46"/>
    </row>
    <row r="692">
      <c r="A692" s="34"/>
      <c r="C692" s="46"/>
    </row>
    <row r="693">
      <c r="A693" s="34"/>
      <c r="C693" s="46"/>
    </row>
    <row r="694">
      <c r="A694" s="34"/>
      <c r="C694" s="46"/>
    </row>
    <row r="695">
      <c r="A695" s="34"/>
      <c r="C695" s="46"/>
    </row>
    <row r="696">
      <c r="A696" s="34"/>
      <c r="C696" s="46"/>
    </row>
    <row r="697">
      <c r="A697" s="34"/>
      <c r="C697" s="46"/>
    </row>
    <row r="698">
      <c r="A698" s="34"/>
      <c r="C698" s="46"/>
    </row>
    <row r="699">
      <c r="A699" s="34"/>
      <c r="C699" s="46"/>
    </row>
    <row r="700">
      <c r="A700" s="34"/>
      <c r="C700" s="46"/>
    </row>
    <row r="701">
      <c r="A701" s="34"/>
      <c r="C701" s="46"/>
    </row>
    <row r="702">
      <c r="A702" s="34"/>
      <c r="C702" s="46"/>
    </row>
    <row r="703">
      <c r="A703" s="34"/>
      <c r="C703" s="46"/>
    </row>
    <row r="704">
      <c r="A704" s="34"/>
      <c r="C704" s="46"/>
    </row>
    <row r="705">
      <c r="A705" s="34"/>
      <c r="C705" s="46"/>
    </row>
    <row r="706">
      <c r="A706" s="34"/>
      <c r="C706" s="46"/>
    </row>
    <row r="707">
      <c r="A707" s="34"/>
      <c r="C707" s="46"/>
    </row>
    <row r="708">
      <c r="A708" s="34"/>
      <c r="C708" s="46"/>
    </row>
    <row r="709">
      <c r="A709" s="34"/>
      <c r="C709" s="46"/>
    </row>
    <row r="710">
      <c r="A710" s="34"/>
      <c r="C710" s="46"/>
    </row>
    <row r="711">
      <c r="A711" s="34"/>
      <c r="C711" s="46"/>
    </row>
    <row r="712">
      <c r="A712" s="34"/>
      <c r="C712" s="46"/>
    </row>
    <row r="713">
      <c r="A713" s="34"/>
      <c r="C713" s="46"/>
    </row>
    <row r="714">
      <c r="A714" s="34"/>
      <c r="C714" s="46"/>
    </row>
    <row r="715">
      <c r="A715" s="34"/>
      <c r="C715" s="46"/>
    </row>
    <row r="716">
      <c r="A716" s="34"/>
      <c r="C716" s="46"/>
    </row>
    <row r="717">
      <c r="A717" s="34"/>
      <c r="C717" s="46"/>
    </row>
    <row r="718">
      <c r="A718" s="34"/>
      <c r="C718" s="46"/>
    </row>
    <row r="719">
      <c r="A719" s="34"/>
      <c r="C719" s="46"/>
    </row>
    <row r="720">
      <c r="A720" s="34"/>
      <c r="C720" s="46"/>
    </row>
    <row r="721">
      <c r="A721" s="34"/>
      <c r="C721" s="46"/>
    </row>
    <row r="722">
      <c r="A722" s="34"/>
      <c r="C722" s="46"/>
    </row>
    <row r="723">
      <c r="A723" s="34"/>
      <c r="C723" s="46"/>
    </row>
    <row r="724">
      <c r="A724" s="34"/>
      <c r="C724" s="46"/>
    </row>
    <row r="725">
      <c r="A725" s="34"/>
      <c r="C725" s="46"/>
    </row>
    <row r="726">
      <c r="A726" s="34"/>
      <c r="C726" s="46"/>
    </row>
    <row r="727">
      <c r="A727" s="34"/>
      <c r="C727" s="46"/>
    </row>
    <row r="728">
      <c r="A728" s="34"/>
      <c r="C728" s="46"/>
    </row>
    <row r="729">
      <c r="A729" s="34"/>
      <c r="C729" s="46"/>
    </row>
    <row r="730">
      <c r="A730" s="34"/>
      <c r="C730" s="46"/>
    </row>
    <row r="731">
      <c r="A731" s="34"/>
      <c r="C731" s="46"/>
    </row>
    <row r="732">
      <c r="A732" s="34"/>
      <c r="C732" s="46"/>
    </row>
    <row r="733">
      <c r="A733" s="34"/>
      <c r="C733" s="46"/>
    </row>
    <row r="734">
      <c r="A734" s="34"/>
      <c r="C734" s="46"/>
    </row>
    <row r="735">
      <c r="A735" s="34"/>
      <c r="C735" s="46"/>
    </row>
    <row r="736">
      <c r="A736" s="34"/>
      <c r="C736" s="46"/>
    </row>
    <row r="737">
      <c r="A737" s="34"/>
      <c r="C737" s="46"/>
    </row>
    <row r="738">
      <c r="A738" s="34"/>
      <c r="C738" s="46"/>
    </row>
    <row r="739">
      <c r="A739" s="34"/>
      <c r="C739" s="46"/>
    </row>
    <row r="740">
      <c r="A740" s="34"/>
      <c r="C740" s="46"/>
    </row>
    <row r="741">
      <c r="A741" s="34"/>
      <c r="C741" s="46"/>
    </row>
    <row r="742">
      <c r="A742" s="34"/>
      <c r="C742" s="46"/>
    </row>
    <row r="743">
      <c r="A743" s="34"/>
      <c r="C743" s="46"/>
    </row>
    <row r="744">
      <c r="A744" s="34"/>
      <c r="C744" s="46"/>
    </row>
    <row r="745">
      <c r="A745" s="34"/>
      <c r="C745" s="46"/>
    </row>
    <row r="746">
      <c r="A746" s="34"/>
      <c r="C746" s="46"/>
    </row>
    <row r="747">
      <c r="A747" s="34"/>
      <c r="C747" s="46"/>
    </row>
    <row r="748">
      <c r="A748" s="34"/>
      <c r="C748" s="46"/>
    </row>
    <row r="749">
      <c r="A749" s="34"/>
      <c r="C749" s="46"/>
    </row>
    <row r="750">
      <c r="A750" s="34"/>
      <c r="C750" s="46"/>
    </row>
    <row r="751">
      <c r="A751" s="34"/>
      <c r="C751" s="46"/>
    </row>
    <row r="752">
      <c r="A752" s="34"/>
      <c r="C752" s="46"/>
    </row>
    <row r="753">
      <c r="A753" s="34"/>
      <c r="C753" s="46"/>
    </row>
    <row r="754">
      <c r="A754" s="34"/>
      <c r="C754" s="46"/>
    </row>
    <row r="755">
      <c r="A755" s="34"/>
      <c r="C755" s="46"/>
    </row>
    <row r="756">
      <c r="A756" s="34"/>
      <c r="C756" s="46"/>
    </row>
    <row r="757">
      <c r="A757" s="34"/>
      <c r="C757" s="46"/>
    </row>
    <row r="758">
      <c r="A758" s="34"/>
      <c r="C758" s="46"/>
    </row>
    <row r="759">
      <c r="A759" s="34"/>
      <c r="C759" s="46"/>
    </row>
    <row r="760">
      <c r="A760" s="34"/>
      <c r="C760" s="46"/>
    </row>
    <row r="761">
      <c r="A761" s="34"/>
      <c r="C761" s="46"/>
    </row>
    <row r="762">
      <c r="A762" s="34"/>
      <c r="C762" s="46"/>
    </row>
    <row r="763">
      <c r="A763" s="34"/>
      <c r="C763" s="46"/>
    </row>
    <row r="764">
      <c r="A764" s="34"/>
      <c r="C764" s="46"/>
    </row>
    <row r="765">
      <c r="A765" s="34"/>
      <c r="C765" s="46"/>
    </row>
    <row r="766">
      <c r="A766" s="34"/>
      <c r="C766" s="46"/>
    </row>
    <row r="767">
      <c r="A767" s="34"/>
      <c r="C767" s="46"/>
    </row>
    <row r="768">
      <c r="A768" s="34"/>
      <c r="C768" s="46"/>
    </row>
    <row r="769">
      <c r="A769" s="34"/>
      <c r="C769" s="46"/>
    </row>
    <row r="770">
      <c r="A770" s="34"/>
      <c r="C770" s="46"/>
    </row>
    <row r="771">
      <c r="A771" s="34"/>
      <c r="C771" s="46"/>
    </row>
    <row r="772">
      <c r="A772" s="34"/>
      <c r="C772" s="46"/>
    </row>
    <row r="773">
      <c r="A773" s="34"/>
      <c r="C773" s="46"/>
    </row>
    <row r="774">
      <c r="A774" s="34"/>
      <c r="C774" s="46"/>
    </row>
    <row r="775">
      <c r="A775" s="34"/>
      <c r="C775" s="46"/>
    </row>
    <row r="776">
      <c r="A776" s="34"/>
      <c r="C776" s="46"/>
    </row>
    <row r="777">
      <c r="A777" s="34"/>
      <c r="C777" s="46"/>
    </row>
    <row r="778">
      <c r="A778" s="34"/>
      <c r="C778" s="46"/>
    </row>
    <row r="779">
      <c r="A779" s="34"/>
      <c r="C779" s="46"/>
    </row>
    <row r="780">
      <c r="A780" s="34"/>
      <c r="C780" s="46"/>
    </row>
    <row r="781">
      <c r="A781" s="34"/>
      <c r="C781" s="46"/>
    </row>
    <row r="782">
      <c r="A782" s="34"/>
      <c r="C782" s="46"/>
    </row>
    <row r="783">
      <c r="A783" s="34"/>
      <c r="C783" s="46"/>
    </row>
    <row r="784">
      <c r="A784" s="34"/>
      <c r="C784" s="46"/>
    </row>
    <row r="785">
      <c r="A785" s="34"/>
      <c r="C785" s="46"/>
    </row>
    <row r="786">
      <c r="A786" s="34"/>
      <c r="C786" s="46"/>
    </row>
    <row r="787">
      <c r="A787" s="34"/>
      <c r="C787" s="46"/>
    </row>
    <row r="788">
      <c r="A788" s="34"/>
      <c r="C788" s="46"/>
    </row>
    <row r="789">
      <c r="A789" s="34"/>
      <c r="C789" s="46"/>
    </row>
    <row r="790">
      <c r="A790" s="34"/>
      <c r="C790" s="46"/>
    </row>
    <row r="791">
      <c r="A791" s="34"/>
      <c r="C791" s="46"/>
    </row>
    <row r="792">
      <c r="A792" s="34"/>
      <c r="C792" s="46"/>
    </row>
    <row r="793">
      <c r="A793" s="34"/>
      <c r="C793" s="46"/>
    </row>
    <row r="794">
      <c r="A794" s="34"/>
      <c r="C794" s="46"/>
    </row>
    <row r="795">
      <c r="A795" s="34"/>
      <c r="C795" s="46"/>
    </row>
    <row r="796">
      <c r="A796" s="34"/>
      <c r="C796" s="46"/>
    </row>
    <row r="797">
      <c r="A797" s="34"/>
      <c r="C797" s="46"/>
    </row>
    <row r="798">
      <c r="A798" s="34"/>
      <c r="C798" s="46"/>
    </row>
    <row r="799">
      <c r="A799" s="34"/>
      <c r="C799" s="46"/>
    </row>
    <row r="800">
      <c r="A800" s="34"/>
      <c r="C800" s="46"/>
    </row>
    <row r="801">
      <c r="A801" s="34"/>
      <c r="C801" s="46"/>
    </row>
    <row r="802">
      <c r="A802" s="34"/>
      <c r="C802" s="46"/>
    </row>
    <row r="803">
      <c r="A803" s="34"/>
      <c r="C803" s="46"/>
    </row>
    <row r="804">
      <c r="A804" s="34"/>
      <c r="C804" s="46"/>
    </row>
    <row r="805">
      <c r="A805" s="34"/>
      <c r="C805" s="46"/>
    </row>
    <row r="806">
      <c r="A806" s="34"/>
      <c r="C806" s="46"/>
    </row>
    <row r="807">
      <c r="A807" s="34"/>
      <c r="C807" s="46"/>
    </row>
    <row r="808">
      <c r="A808" s="34"/>
      <c r="C808" s="46"/>
    </row>
    <row r="809">
      <c r="A809" s="34"/>
      <c r="C809" s="46"/>
    </row>
    <row r="810">
      <c r="A810" s="34"/>
      <c r="C810" s="46"/>
    </row>
    <row r="811">
      <c r="A811" s="34"/>
      <c r="C811" s="46"/>
    </row>
    <row r="812">
      <c r="A812" s="34"/>
      <c r="C812" s="46"/>
    </row>
    <row r="813">
      <c r="A813" s="34"/>
      <c r="C813" s="46"/>
    </row>
    <row r="814">
      <c r="A814" s="34"/>
      <c r="C814" s="46"/>
    </row>
    <row r="815">
      <c r="A815" s="34"/>
      <c r="C815" s="46"/>
    </row>
    <row r="816">
      <c r="A816" s="34"/>
      <c r="C816" s="46"/>
    </row>
    <row r="817">
      <c r="A817" s="34"/>
      <c r="C817" s="46"/>
    </row>
    <row r="818">
      <c r="A818" s="34"/>
      <c r="C818" s="46"/>
    </row>
    <row r="819">
      <c r="A819" s="34"/>
      <c r="C819" s="46"/>
    </row>
    <row r="820">
      <c r="A820" s="34"/>
      <c r="C820" s="46"/>
    </row>
    <row r="821">
      <c r="A821" s="34"/>
      <c r="C821" s="46"/>
    </row>
    <row r="822">
      <c r="A822" s="34"/>
      <c r="C822" s="46"/>
    </row>
    <row r="823">
      <c r="A823" s="34"/>
      <c r="C823" s="46"/>
    </row>
    <row r="824">
      <c r="A824" s="34"/>
      <c r="C824" s="46"/>
    </row>
    <row r="825">
      <c r="A825" s="34"/>
      <c r="C825" s="46"/>
    </row>
    <row r="826">
      <c r="A826" s="34"/>
      <c r="C826" s="46"/>
    </row>
    <row r="827">
      <c r="A827" s="34"/>
      <c r="C827" s="46"/>
    </row>
    <row r="828">
      <c r="A828" s="34"/>
      <c r="C828" s="46"/>
    </row>
    <row r="829">
      <c r="A829" s="34"/>
      <c r="C829" s="46"/>
    </row>
    <row r="830">
      <c r="A830" s="34"/>
      <c r="C830" s="46"/>
    </row>
    <row r="831">
      <c r="A831" s="34"/>
      <c r="C831" s="46"/>
    </row>
    <row r="832">
      <c r="A832" s="34"/>
      <c r="C832" s="46"/>
    </row>
    <row r="833">
      <c r="A833" s="34"/>
      <c r="C833" s="46"/>
    </row>
    <row r="834">
      <c r="A834" s="34"/>
      <c r="C834" s="46"/>
    </row>
    <row r="835">
      <c r="A835" s="34"/>
      <c r="C835" s="46"/>
    </row>
    <row r="836">
      <c r="A836" s="34"/>
      <c r="C836" s="46"/>
    </row>
    <row r="837">
      <c r="A837" s="34"/>
      <c r="C837" s="46"/>
    </row>
    <row r="838">
      <c r="A838" s="34"/>
      <c r="C838" s="46"/>
    </row>
    <row r="839">
      <c r="A839" s="34"/>
      <c r="C839" s="46"/>
    </row>
    <row r="840">
      <c r="A840" s="34"/>
      <c r="C840" s="46"/>
    </row>
    <row r="841">
      <c r="A841" s="34"/>
      <c r="C841" s="46"/>
    </row>
    <row r="842">
      <c r="A842" s="34"/>
      <c r="C842" s="46"/>
    </row>
    <row r="843">
      <c r="A843" s="34"/>
      <c r="C843" s="46"/>
    </row>
    <row r="844">
      <c r="A844" s="34"/>
      <c r="C844" s="46"/>
    </row>
    <row r="845">
      <c r="A845" s="34"/>
      <c r="C845" s="46"/>
    </row>
    <row r="846">
      <c r="A846" s="34"/>
      <c r="C846" s="46"/>
    </row>
    <row r="847">
      <c r="A847" s="34"/>
      <c r="C847" s="46"/>
    </row>
    <row r="848">
      <c r="A848" s="34"/>
      <c r="C848" s="46"/>
    </row>
    <row r="849">
      <c r="A849" s="34"/>
      <c r="C849" s="46"/>
    </row>
    <row r="850">
      <c r="A850" s="34"/>
      <c r="C850" s="46"/>
    </row>
    <row r="851">
      <c r="A851" s="34"/>
      <c r="C851" s="46"/>
    </row>
    <row r="852">
      <c r="A852" s="34"/>
      <c r="C852" s="46"/>
    </row>
    <row r="853">
      <c r="A853" s="34"/>
      <c r="C853" s="46"/>
    </row>
    <row r="854">
      <c r="A854" s="34"/>
      <c r="C854" s="46"/>
    </row>
    <row r="855">
      <c r="A855" s="34"/>
      <c r="C855" s="46"/>
    </row>
    <row r="856">
      <c r="A856" s="34"/>
      <c r="C856" s="46"/>
    </row>
    <row r="857">
      <c r="A857" s="34"/>
      <c r="C857" s="46"/>
    </row>
    <row r="858">
      <c r="A858" s="34"/>
      <c r="C858" s="46"/>
    </row>
    <row r="859">
      <c r="A859" s="34"/>
      <c r="C859" s="46"/>
    </row>
    <row r="860">
      <c r="A860" s="34"/>
      <c r="C860" s="46"/>
    </row>
    <row r="861">
      <c r="A861" s="34"/>
      <c r="C861" s="46"/>
    </row>
    <row r="862">
      <c r="A862" s="34"/>
      <c r="C862" s="46"/>
    </row>
    <row r="863">
      <c r="A863" s="34"/>
      <c r="C863" s="46"/>
    </row>
    <row r="864">
      <c r="A864" s="34"/>
      <c r="C864" s="46"/>
    </row>
    <row r="865">
      <c r="A865" s="34"/>
      <c r="C865" s="46"/>
    </row>
    <row r="866">
      <c r="A866" s="34"/>
      <c r="C866" s="46"/>
    </row>
    <row r="867">
      <c r="A867" s="34"/>
      <c r="C867" s="46"/>
    </row>
    <row r="868">
      <c r="A868" s="34"/>
      <c r="C868" s="46"/>
    </row>
    <row r="869">
      <c r="A869" s="34"/>
      <c r="C869" s="46"/>
    </row>
    <row r="870">
      <c r="A870" s="34"/>
      <c r="C870" s="46"/>
    </row>
    <row r="871">
      <c r="A871" s="34"/>
      <c r="C871" s="46"/>
    </row>
    <row r="872">
      <c r="A872" s="34"/>
      <c r="C872" s="46"/>
    </row>
    <row r="873">
      <c r="A873" s="34"/>
      <c r="C873" s="46"/>
    </row>
    <row r="874">
      <c r="A874" s="34"/>
      <c r="C874" s="46"/>
    </row>
    <row r="875">
      <c r="A875" s="34"/>
      <c r="C875" s="46"/>
    </row>
    <row r="876">
      <c r="A876" s="34"/>
      <c r="C876" s="46"/>
    </row>
    <row r="877">
      <c r="A877" s="34"/>
      <c r="C877" s="46"/>
    </row>
    <row r="878">
      <c r="A878" s="34"/>
      <c r="C878" s="46"/>
    </row>
    <row r="879">
      <c r="A879" s="34"/>
      <c r="C879" s="46"/>
    </row>
    <row r="880">
      <c r="A880" s="34"/>
      <c r="C880" s="46"/>
    </row>
    <row r="881">
      <c r="A881" s="34"/>
      <c r="C881" s="46"/>
    </row>
    <row r="882">
      <c r="A882" s="34"/>
      <c r="C882" s="46"/>
    </row>
    <row r="883">
      <c r="A883" s="34"/>
      <c r="C883" s="46"/>
    </row>
    <row r="884">
      <c r="A884" s="34"/>
      <c r="C884" s="46"/>
    </row>
    <row r="885">
      <c r="A885" s="34"/>
      <c r="C885" s="46"/>
    </row>
    <row r="886">
      <c r="A886" s="34"/>
      <c r="C886" s="46"/>
    </row>
    <row r="887">
      <c r="A887" s="34"/>
      <c r="C887" s="46"/>
    </row>
    <row r="888">
      <c r="A888" s="34"/>
      <c r="C888" s="46"/>
    </row>
    <row r="889">
      <c r="A889" s="34"/>
      <c r="C889" s="46"/>
    </row>
    <row r="890">
      <c r="A890" s="34"/>
      <c r="C890" s="46"/>
    </row>
    <row r="891">
      <c r="A891" s="34"/>
      <c r="C891" s="46"/>
    </row>
    <row r="892">
      <c r="A892" s="34"/>
      <c r="C892" s="46"/>
    </row>
    <row r="893">
      <c r="A893" s="34"/>
      <c r="C893" s="46"/>
    </row>
    <row r="894">
      <c r="A894" s="34"/>
      <c r="C894" s="46"/>
    </row>
    <row r="895">
      <c r="A895" s="34"/>
      <c r="C895" s="46"/>
    </row>
    <row r="896">
      <c r="A896" s="34"/>
      <c r="C896" s="46"/>
    </row>
    <row r="897">
      <c r="A897" s="34"/>
      <c r="C897" s="46"/>
    </row>
    <row r="898">
      <c r="A898" s="34"/>
      <c r="C898" s="46"/>
    </row>
    <row r="899">
      <c r="A899" s="34"/>
      <c r="C899" s="46"/>
    </row>
    <row r="900">
      <c r="A900" s="34"/>
      <c r="C900" s="46"/>
    </row>
    <row r="901">
      <c r="A901" s="34"/>
      <c r="C901" s="46"/>
    </row>
    <row r="902">
      <c r="A902" s="34"/>
      <c r="C902" s="46"/>
    </row>
    <row r="903">
      <c r="A903" s="34"/>
      <c r="C903" s="46"/>
    </row>
    <row r="904">
      <c r="A904" s="34"/>
      <c r="C904" s="46"/>
    </row>
    <row r="905">
      <c r="A905" s="34"/>
      <c r="C905" s="46"/>
    </row>
    <row r="906">
      <c r="A906" s="34"/>
      <c r="C906" s="46"/>
    </row>
    <row r="907">
      <c r="A907" s="34"/>
      <c r="C907" s="46"/>
    </row>
    <row r="908">
      <c r="A908" s="34"/>
      <c r="C908" s="46"/>
    </row>
    <row r="909">
      <c r="A909" s="34"/>
      <c r="C909" s="46"/>
    </row>
    <row r="910">
      <c r="A910" s="34"/>
      <c r="C910" s="46"/>
    </row>
    <row r="911">
      <c r="A911" s="34"/>
      <c r="C911" s="46"/>
    </row>
    <row r="912">
      <c r="A912" s="34"/>
      <c r="C912" s="46"/>
    </row>
    <row r="913">
      <c r="A913" s="34"/>
      <c r="C913" s="46"/>
    </row>
    <row r="914">
      <c r="A914" s="34"/>
      <c r="C914" s="46"/>
    </row>
    <row r="915">
      <c r="A915" s="34"/>
      <c r="C915" s="46"/>
    </row>
    <row r="916">
      <c r="A916" s="34"/>
      <c r="C916" s="46"/>
    </row>
    <row r="917">
      <c r="A917" s="34"/>
      <c r="C917" s="46"/>
    </row>
    <row r="918">
      <c r="A918" s="34"/>
      <c r="C918" s="46"/>
    </row>
    <row r="919">
      <c r="A919" s="34"/>
      <c r="C919" s="46"/>
    </row>
    <row r="920">
      <c r="A920" s="34"/>
      <c r="C920" s="46"/>
    </row>
    <row r="921">
      <c r="A921" s="34"/>
      <c r="C921" s="46"/>
    </row>
    <row r="922">
      <c r="A922" s="34"/>
      <c r="C922" s="46"/>
    </row>
    <row r="923">
      <c r="A923" s="34"/>
      <c r="C923" s="46"/>
    </row>
    <row r="924">
      <c r="A924" s="34"/>
      <c r="C924" s="46"/>
    </row>
    <row r="925">
      <c r="A925" s="34"/>
      <c r="C925" s="46"/>
    </row>
    <row r="926">
      <c r="A926" s="34"/>
      <c r="C926" s="46"/>
    </row>
    <row r="927">
      <c r="A927" s="34"/>
      <c r="C927" s="46"/>
    </row>
    <row r="928">
      <c r="A928" s="34"/>
      <c r="C928" s="46"/>
    </row>
    <row r="929">
      <c r="A929" s="34"/>
      <c r="C929" s="46"/>
    </row>
    <row r="930">
      <c r="A930" s="34"/>
      <c r="C930" s="46"/>
    </row>
    <row r="931">
      <c r="A931" s="34"/>
      <c r="C931" s="46"/>
    </row>
    <row r="932">
      <c r="A932" s="34"/>
      <c r="C932" s="46"/>
    </row>
    <row r="933">
      <c r="A933" s="34"/>
      <c r="C933" s="46"/>
    </row>
    <row r="934">
      <c r="A934" s="34"/>
      <c r="C934" s="46"/>
    </row>
    <row r="935">
      <c r="A935" s="34"/>
      <c r="C935" s="46"/>
    </row>
    <row r="936">
      <c r="A936" s="34"/>
      <c r="C936" s="46"/>
    </row>
    <row r="937">
      <c r="A937" s="34"/>
      <c r="C937" s="46"/>
    </row>
    <row r="938">
      <c r="A938" s="34"/>
      <c r="C938" s="46"/>
    </row>
    <row r="939">
      <c r="A939" s="34"/>
      <c r="C939" s="46"/>
    </row>
    <row r="940">
      <c r="A940" s="34"/>
      <c r="C940" s="46"/>
    </row>
    <row r="941">
      <c r="A941" s="34"/>
      <c r="C941" s="46"/>
    </row>
    <row r="942">
      <c r="A942" s="34"/>
      <c r="C942" s="46"/>
    </row>
    <row r="943">
      <c r="A943" s="34"/>
      <c r="C943" s="46"/>
    </row>
    <row r="944">
      <c r="A944" s="34"/>
      <c r="C944" s="46"/>
    </row>
    <row r="945">
      <c r="A945" s="34"/>
      <c r="C945" s="46"/>
    </row>
    <row r="946">
      <c r="A946" s="34"/>
      <c r="C946" s="46"/>
    </row>
    <row r="947">
      <c r="A947" s="34"/>
      <c r="C947" s="46"/>
    </row>
    <row r="948">
      <c r="A948" s="34"/>
      <c r="C948" s="46"/>
    </row>
    <row r="949">
      <c r="A949" s="34"/>
      <c r="C949" s="46"/>
    </row>
    <row r="950">
      <c r="A950" s="34"/>
      <c r="C950" s="46"/>
    </row>
    <row r="951">
      <c r="A951" s="34"/>
      <c r="C951" s="46"/>
    </row>
    <row r="952">
      <c r="A952" s="34"/>
      <c r="C952" s="46"/>
    </row>
    <row r="953">
      <c r="A953" s="34"/>
      <c r="C953" s="46"/>
    </row>
    <row r="954">
      <c r="A954" s="34"/>
      <c r="C954" s="46"/>
    </row>
    <row r="955">
      <c r="A955" s="34"/>
      <c r="C955" s="46"/>
    </row>
    <row r="956">
      <c r="A956" s="34"/>
      <c r="C956" s="46"/>
    </row>
    <row r="957">
      <c r="A957" s="34"/>
      <c r="C957" s="46"/>
    </row>
    <row r="958">
      <c r="A958" s="34"/>
      <c r="C958" s="46"/>
    </row>
    <row r="959">
      <c r="A959" s="34"/>
      <c r="C959" s="46"/>
    </row>
    <row r="960">
      <c r="A960" s="34"/>
      <c r="C960" s="46"/>
    </row>
    <row r="961">
      <c r="A961" s="34"/>
      <c r="C961" s="46"/>
    </row>
    <row r="962">
      <c r="A962" s="34"/>
      <c r="C962" s="46"/>
    </row>
    <row r="963">
      <c r="A963" s="34"/>
      <c r="C963" s="46"/>
    </row>
    <row r="964">
      <c r="A964" s="34"/>
      <c r="C964" s="46"/>
    </row>
    <row r="965">
      <c r="A965" s="34"/>
      <c r="C965" s="46"/>
    </row>
    <row r="966">
      <c r="A966" s="34"/>
      <c r="C966" s="46"/>
    </row>
    <row r="967">
      <c r="A967" s="34"/>
      <c r="C967" s="46"/>
    </row>
    <row r="968">
      <c r="A968" s="34"/>
      <c r="C968" s="46"/>
    </row>
    <row r="969">
      <c r="A969" s="34"/>
      <c r="C969" s="46"/>
    </row>
    <row r="970">
      <c r="A970" s="34"/>
      <c r="C970" s="46"/>
    </row>
    <row r="971">
      <c r="A971" s="34"/>
      <c r="C971" s="46"/>
    </row>
    <row r="972">
      <c r="A972" s="34"/>
      <c r="C972" s="46"/>
    </row>
    <row r="973">
      <c r="A973" s="34"/>
      <c r="C973" s="46"/>
    </row>
    <row r="974">
      <c r="A974" s="34"/>
      <c r="C974" s="46"/>
    </row>
    <row r="975">
      <c r="A975" s="34"/>
      <c r="C975" s="46"/>
    </row>
    <row r="976">
      <c r="A976" s="34"/>
      <c r="C976" s="46"/>
    </row>
    <row r="977">
      <c r="A977" s="34"/>
      <c r="C977" s="46"/>
    </row>
    <row r="978">
      <c r="A978" s="34"/>
      <c r="C978" s="46"/>
    </row>
    <row r="979">
      <c r="A979" s="34"/>
      <c r="C979" s="46"/>
    </row>
    <row r="980">
      <c r="A980" s="34"/>
      <c r="C980" s="46"/>
    </row>
    <row r="981">
      <c r="A981" s="34"/>
      <c r="C981" s="46"/>
    </row>
    <row r="982">
      <c r="A982" s="34"/>
      <c r="C982" s="46"/>
    </row>
    <row r="983">
      <c r="A983" s="34"/>
      <c r="C983" s="46"/>
    </row>
    <row r="984">
      <c r="A984" s="34"/>
      <c r="C984" s="46"/>
    </row>
    <row r="985">
      <c r="A985" s="34"/>
      <c r="C985" s="46"/>
    </row>
    <row r="986">
      <c r="A986" s="34"/>
      <c r="C986" s="46"/>
    </row>
    <row r="987">
      <c r="A987" s="34"/>
      <c r="C987" s="46"/>
    </row>
    <row r="988">
      <c r="A988" s="34"/>
      <c r="C988" s="46"/>
    </row>
    <row r="989">
      <c r="A989" s="34"/>
      <c r="C989" s="46"/>
    </row>
    <row r="990">
      <c r="A990" s="34"/>
      <c r="C990" s="46"/>
    </row>
    <row r="991">
      <c r="A991" s="34"/>
      <c r="C991" s="46"/>
    </row>
    <row r="992">
      <c r="A992" s="34"/>
      <c r="C992" s="46"/>
    </row>
    <row r="993">
      <c r="A993" s="34"/>
      <c r="C993" s="46"/>
    </row>
    <row r="994">
      <c r="A994" s="34"/>
      <c r="C994" s="46"/>
    </row>
    <row r="995">
      <c r="A995" s="34"/>
      <c r="C995" s="46"/>
    </row>
    <row r="996">
      <c r="A996" s="34"/>
      <c r="C996" s="46"/>
    </row>
    <row r="997">
      <c r="A997" s="34"/>
      <c r="C997" s="46"/>
    </row>
    <row r="998">
      <c r="A998" s="34"/>
      <c r="C998" s="46"/>
    </row>
    <row r="999">
      <c r="A999" s="34"/>
      <c r="C999" s="46"/>
    </row>
    <row r="1000">
      <c r="A1000" s="34"/>
      <c r="C1000" s="46"/>
    </row>
    <row r="1001">
      <c r="A1001" s="34"/>
      <c r="C1001" s="46"/>
    </row>
    <row r="1002">
      <c r="A1002" s="34"/>
      <c r="C1002" s="46"/>
    </row>
    <row r="1003">
      <c r="A1003" s="34"/>
      <c r="C1003" s="46"/>
    </row>
    <row r="1004">
      <c r="A1004" s="34"/>
      <c r="C1004" s="46"/>
    </row>
    <row r="1005">
      <c r="A1005" s="34"/>
      <c r="C1005" s="46"/>
    </row>
    <row r="1006">
      <c r="A1006" s="34"/>
      <c r="C1006" s="46"/>
    </row>
    <row r="1007">
      <c r="A1007" s="34"/>
      <c r="C1007" s="46"/>
    </row>
    <row r="1008">
      <c r="A1008" s="34"/>
      <c r="C1008" s="46"/>
    </row>
    <row r="1009">
      <c r="A1009" s="34"/>
      <c r="C1009" s="46"/>
    </row>
    <row r="1010">
      <c r="A1010" s="34"/>
      <c r="C1010" s="46"/>
    </row>
    <row r="1011">
      <c r="A1011" s="34"/>
      <c r="C1011" s="46"/>
    </row>
    <row r="1012">
      <c r="A1012" s="34"/>
      <c r="C1012" s="46"/>
    </row>
    <row r="1013">
      <c r="A1013" s="34"/>
      <c r="C1013" s="46"/>
    </row>
    <row r="1014">
      <c r="A1014" s="34"/>
      <c r="C1014" s="46"/>
    </row>
    <row r="1015">
      <c r="A1015" s="34"/>
      <c r="C1015" s="46"/>
    </row>
    <row r="1016">
      <c r="A1016" s="34"/>
      <c r="C1016" s="46"/>
    </row>
    <row r="1017">
      <c r="A1017" s="34"/>
      <c r="C1017" s="46"/>
    </row>
    <row r="1018">
      <c r="A1018" s="34"/>
      <c r="C1018" s="46"/>
    </row>
    <row r="1019">
      <c r="A1019" s="34"/>
      <c r="C1019" s="46"/>
    </row>
    <row r="1020">
      <c r="A1020" s="34"/>
      <c r="C1020" s="46"/>
    </row>
    <row r="1021">
      <c r="A1021" s="34"/>
      <c r="C1021" s="46"/>
    </row>
    <row r="1022">
      <c r="A1022" s="34"/>
      <c r="C1022" s="46"/>
    </row>
    <row r="1023">
      <c r="A1023" s="34"/>
      <c r="C1023" s="46"/>
    </row>
    <row r="1024">
      <c r="A1024" s="34"/>
      <c r="C1024" s="46"/>
    </row>
    <row r="1025">
      <c r="A1025" s="34"/>
      <c r="C1025" s="46"/>
    </row>
    <row r="1026">
      <c r="A1026" s="34"/>
      <c r="C1026" s="46"/>
    </row>
    <row r="1027">
      <c r="A1027" s="34"/>
      <c r="C1027" s="46"/>
    </row>
    <row r="1028">
      <c r="A1028" s="34"/>
      <c r="C1028" s="46"/>
    </row>
    <row r="1029">
      <c r="A1029" s="34"/>
      <c r="C1029" s="46"/>
    </row>
    <row r="1030">
      <c r="A1030" s="34"/>
      <c r="C1030" s="46"/>
    </row>
    <row r="1031">
      <c r="A1031" s="34"/>
      <c r="C1031" s="46"/>
    </row>
    <row r="1032">
      <c r="A1032" s="34"/>
      <c r="C1032" s="46"/>
    </row>
    <row r="1033">
      <c r="A1033" s="34"/>
      <c r="C1033" s="46"/>
    </row>
    <row r="1034">
      <c r="A1034" s="34"/>
      <c r="C1034" s="46"/>
    </row>
    <row r="1035">
      <c r="A1035" s="34"/>
      <c r="C1035" s="46"/>
    </row>
    <row r="1036">
      <c r="A1036" s="34"/>
      <c r="C1036" s="46"/>
    </row>
    <row r="1037">
      <c r="A1037" s="34"/>
      <c r="C1037" s="46"/>
    </row>
    <row r="1038">
      <c r="A1038" s="34"/>
      <c r="C1038" s="46"/>
    </row>
    <row r="1039">
      <c r="A1039" s="34"/>
      <c r="C1039" s="46"/>
    </row>
    <row r="1040">
      <c r="A1040" s="34"/>
      <c r="C1040" s="46"/>
    </row>
    <row r="1041">
      <c r="A1041" s="34"/>
      <c r="C1041" s="46"/>
    </row>
    <row r="1042">
      <c r="A1042" s="34"/>
      <c r="C1042" s="46"/>
    </row>
    <row r="1043">
      <c r="A1043" s="34"/>
      <c r="C1043" s="46"/>
    </row>
    <row r="1044">
      <c r="A1044" s="34"/>
      <c r="C1044" s="46"/>
    </row>
    <row r="1045">
      <c r="A1045" s="34"/>
      <c r="C1045" s="46"/>
    </row>
    <row r="1046">
      <c r="A1046" s="34"/>
      <c r="C1046" s="46"/>
    </row>
    <row r="1047">
      <c r="A1047" s="34"/>
      <c r="C1047" s="46"/>
    </row>
    <row r="1048">
      <c r="A1048" s="34"/>
      <c r="C1048" s="46"/>
    </row>
    <row r="1049">
      <c r="A1049" s="34"/>
      <c r="C1049" s="46"/>
    </row>
    <row r="1050">
      <c r="A1050" s="34"/>
      <c r="C1050" s="46"/>
    </row>
    <row r="1051">
      <c r="A1051" s="34"/>
      <c r="C1051" s="46"/>
    </row>
    <row r="1052">
      <c r="A1052" s="34"/>
      <c r="C1052" s="46"/>
    </row>
    <row r="1053">
      <c r="A1053" s="34"/>
      <c r="C1053" s="46"/>
    </row>
    <row r="1054">
      <c r="A1054" s="34"/>
      <c r="C1054" s="46"/>
    </row>
    <row r="1055">
      <c r="A1055" s="34"/>
      <c r="C1055" s="46"/>
    </row>
    <row r="1056">
      <c r="A1056" s="34"/>
      <c r="C1056" s="46"/>
    </row>
    <row r="1057">
      <c r="A1057" s="34"/>
      <c r="C1057" s="46"/>
    </row>
    <row r="1058">
      <c r="A1058" s="34"/>
      <c r="C1058" s="46"/>
    </row>
    <row r="1059">
      <c r="A1059" s="34"/>
      <c r="C1059" s="46"/>
    </row>
    <row r="1060">
      <c r="A1060" s="34"/>
      <c r="C1060" s="46"/>
    </row>
    <row r="1061">
      <c r="A1061" s="34"/>
      <c r="C1061" s="46"/>
    </row>
    <row r="1062">
      <c r="A1062" s="34"/>
      <c r="C1062" s="46"/>
    </row>
    <row r="1063">
      <c r="A1063" s="34"/>
      <c r="C1063" s="46"/>
    </row>
    <row r="1064">
      <c r="A1064" s="34"/>
      <c r="C1064" s="46"/>
    </row>
    <row r="1065">
      <c r="A1065" s="34"/>
      <c r="C1065" s="46"/>
    </row>
    <row r="1066">
      <c r="A1066" s="34"/>
      <c r="C1066" s="46"/>
    </row>
    <row r="1067">
      <c r="A1067" s="34"/>
      <c r="C1067" s="46"/>
    </row>
    <row r="1068">
      <c r="A1068" s="34"/>
      <c r="C1068" s="46"/>
    </row>
    <row r="1069">
      <c r="A1069" s="34"/>
      <c r="C1069" s="46"/>
    </row>
    <row r="1070">
      <c r="A1070" s="34"/>
      <c r="C1070" s="46"/>
    </row>
    <row r="1071">
      <c r="A1071" s="34"/>
      <c r="C1071" s="46"/>
    </row>
    <row r="1072">
      <c r="A1072" s="34"/>
      <c r="C1072" s="46"/>
    </row>
    <row r="1073">
      <c r="A1073" s="34"/>
      <c r="C1073" s="46"/>
    </row>
    <row r="1074">
      <c r="A1074" s="34"/>
      <c r="C1074" s="46"/>
    </row>
    <row r="1075">
      <c r="A1075" s="34"/>
      <c r="C1075" s="46"/>
    </row>
    <row r="1076">
      <c r="A1076" s="34"/>
      <c r="C1076" s="46"/>
    </row>
    <row r="1077">
      <c r="A1077" s="34"/>
      <c r="C1077" s="46"/>
    </row>
    <row r="1078">
      <c r="A1078" s="34"/>
      <c r="C1078" s="46"/>
    </row>
    <row r="1079">
      <c r="A1079" s="34"/>
      <c r="C1079" s="46"/>
    </row>
    <row r="1080">
      <c r="A1080" s="34"/>
      <c r="C1080" s="46"/>
    </row>
    <row r="1081">
      <c r="A1081" s="34"/>
      <c r="C1081" s="46"/>
    </row>
    <row r="1082">
      <c r="A1082" s="34"/>
      <c r="C1082" s="46"/>
    </row>
    <row r="1083">
      <c r="A1083" s="34"/>
      <c r="C1083" s="46"/>
    </row>
    <row r="1084">
      <c r="A1084" s="34"/>
      <c r="C1084" s="46"/>
    </row>
    <row r="1085">
      <c r="A1085" s="34"/>
      <c r="C1085" s="46"/>
    </row>
    <row r="1086">
      <c r="A1086" s="34"/>
      <c r="C1086" s="46"/>
    </row>
    <row r="1087">
      <c r="A1087" s="34"/>
      <c r="C1087" s="46"/>
    </row>
    <row r="1088">
      <c r="A1088" s="34"/>
      <c r="C1088" s="46"/>
    </row>
    <row r="1089">
      <c r="A1089" s="34"/>
      <c r="C1089" s="46"/>
    </row>
    <row r="1090">
      <c r="A1090" s="34"/>
      <c r="C1090" s="46"/>
    </row>
    <row r="1091">
      <c r="A1091" s="34"/>
      <c r="C1091" s="46"/>
    </row>
    <row r="1092">
      <c r="A1092" s="34"/>
      <c r="C1092" s="46"/>
    </row>
    <row r="1093">
      <c r="A1093" s="34"/>
      <c r="C1093" s="46"/>
    </row>
    <row r="1094">
      <c r="A1094" s="34"/>
      <c r="C1094" s="46"/>
    </row>
    <row r="1095">
      <c r="A1095" s="34"/>
      <c r="C1095" s="46"/>
    </row>
    <row r="1096">
      <c r="A1096" s="34"/>
      <c r="C1096" s="46"/>
    </row>
    <row r="1097">
      <c r="A1097" s="34"/>
      <c r="C1097" s="46"/>
    </row>
    <row r="1098">
      <c r="A1098" s="34"/>
      <c r="C1098" s="46"/>
    </row>
    <row r="1099">
      <c r="A1099" s="34"/>
      <c r="C1099" s="46"/>
    </row>
    <row r="1100">
      <c r="A1100" s="34"/>
      <c r="C1100" s="46"/>
    </row>
    <row r="1101">
      <c r="A1101" s="34"/>
      <c r="C1101" s="46"/>
    </row>
    <row r="1102">
      <c r="A1102" s="34"/>
      <c r="C1102" s="46"/>
    </row>
    <row r="1103">
      <c r="A1103" s="34"/>
      <c r="C1103" s="46"/>
    </row>
    <row r="1104">
      <c r="A1104" s="34"/>
      <c r="C1104" s="46"/>
    </row>
    <row r="1105">
      <c r="A1105" s="34"/>
      <c r="C1105" s="46"/>
    </row>
    <row r="1106">
      <c r="A1106" s="34"/>
      <c r="C1106" s="46"/>
    </row>
    <row r="1107">
      <c r="A1107" s="34"/>
      <c r="C1107" s="46"/>
    </row>
    <row r="1108">
      <c r="A1108" s="34"/>
      <c r="C1108" s="46"/>
    </row>
    <row r="1109">
      <c r="A1109" s="34"/>
      <c r="C1109" s="46"/>
    </row>
    <row r="1110">
      <c r="A1110" s="34"/>
      <c r="C1110" s="46"/>
    </row>
    <row r="1111">
      <c r="A1111" s="34"/>
      <c r="C1111" s="46"/>
    </row>
    <row r="1112">
      <c r="A1112" s="34"/>
      <c r="C1112" s="46"/>
    </row>
    <row r="1113">
      <c r="A1113" s="34"/>
      <c r="C1113" s="46"/>
    </row>
    <row r="1114">
      <c r="A1114" s="34"/>
      <c r="C1114" s="46"/>
    </row>
    <row r="1115">
      <c r="A1115" s="34"/>
      <c r="C1115" s="46"/>
    </row>
    <row r="1116">
      <c r="A1116" s="34"/>
      <c r="C1116" s="46"/>
    </row>
    <row r="1117">
      <c r="A1117" s="34"/>
      <c r="C1117" s="46"/>
    </row>
    <row r="1118">
      <c r="A1118" s="34"/>
      <c r="C1118" s="46"/>
    </row>
    <row r="1119">
      <c r="A1119" s="34"/>
      <c r="C1119" s="46"/>
    </row>
    <row r="1120">
      <c r="A1120" s="34"/>
      <c r="C1120" s="46"/>
    </row>
    <row r="1121">
      <c r="A1121" s="34"/>
      <c r="C1121" s="46"/>
    </row>
    <row r="1122">
      <c r="A1122" s="34"/>
      <c r="C1122" s="46"/>
    </row>
    <row r="1123">
      <c r="A1123" s="34"/>
      <c r="C1123" s="46"/>
    </row>
    <row r="1124">
      <c r="A1124" s="34"/>
      <c r="C1124" s="46"/>
    </row>
    <row r="1125">
      <c r="A1125" s="34"/>
      <c r="C1125" s="46"/>
    </row>
    <row r="1126">
      <c r="A1126" s="34"/>
      <c r="C1126" s="46"/>
    </row>
    <row r="1127">
      <c r="A1127" s="34"/>
      <c r="C1127" s="46"/>
    </row>
    <row r="1128">
      <c r="A1128" s="34"/>
      <c r="C1128" s="46"/>
    </row>
    <row r="1129">
      <c r="A1129" s="34"/>
      <c r="C1129" s="46"/>
    </row>
    <row r="1130">
      <c r="A1130" s="34"/>
      <c r="C1130" s="46"/>
    </row>
    <row r="1131">
      <c r="A1131" s="34"/>
      <c r="C1131" s="46"/>
    </row>
    <row r="1132">
      <c r="A1132" s="34"/>
      <c r="C1132" s="46"/>
    </row>
    <row r="1133">
      <c r="A1133" s="34"/>
      <c r="C1133" s="46"/>
    </row>
    <row r="1134">
      <c r="A1134" s="34"/>
      <c r="C1134" s="46"/>
    </row>
    <row r="1135">
      <c r="A1135" s="34"/>
      <c r="C1135" s="46"/>
    </row>
    <row r="1136">
      <c r="A1136" s="34"/>
      <c r="C1136" s="46"/>
    </row>
    <row r="1137">
      <c r="A1137" s="34"/>
      <c r="C1137" s="46"/>
    </row>
    <row r="1138">
      <c r="A1138" s="34"/>
      <c r="C1138" s="46"/>
    </row>
    <row r="1139">
      <c r="A1139" s="34"/>
      <c r="C1139" s="46"/>
    </row>
    <row r="1140">
      <c r="A1140" s="34"/>
      <c r="C1140" s="46"/>
    </row>
    <row r="1141">
      <c r="A1141" s="34"/>
      <c r="C1141" s="46"/>
    </row>
    <row r="1142">
      <c r="A1142" s="34"/>
      <c r="C1142" s="46"/>
    </row>
    <row r="1143">
      <c r="A1143" s="34"/>
      <c r="C1143" s="46"/>
    </row>
    <row r="1144">
      <c r="A1144" s="34"/>
      <c r="C1144" s="46"/>
    </row>
    <row r="1145">
      <c r="A1145" s="34"/>
      <c r="C1145" s="46"/>
    </row>
    <row r="1146">
      <c r="A1146" s="34"/>
      <c r="C1146" s="46"/>
    </row>
    <row r="1147">
      <c r="A1147" s="34"/>
      <c r="C1147" s="46"/>
    </row>
    <row r="1148">
      <c r="A1148" s="34"/>
      <c r="C1148" s="46"/>
    </row>
    <row r="1149">
      <c r="A1149" s="34"/>
      <c r="C1149" s="46"/>
    </row>
    <row r="1150">
      <c r="A1150" s="34"/>
      <c r="C1150" s="46"/>
    </row>
    <row r="1151">
      <c r="A1151" s="34"/>
      <c r="C1151" s="46"/>
    </row>
    <row r="1152">
      <c r="A1152" s="34"/>
      <c r="C1152" s="46"/>
    </row>
    <row r="1153">
      <c r="A1153" s="34"/>
      <c r="C1153" s="46"/>
    </row>
    <row r="1154">
      <c r="A1154" s="34"/>
      <c r="C1154" s="46"/>
    </row>
    <row r="1155">
      <c r="A1155" s="34"/>
      <c r="C1155" s="46"/>
    </row>
    <row r="1156">
      <c r="A1156" s="34"/>
      <c r="C1156" s="46"/>
    </row>
    <row r="1157">
      <c r="A1157" s="34"/>
      <c r="C1157" s="46"/>
    </row>
    <row r="1158">
      <c r="A1158" s="34"/>
      <c r="C1158" s="46"/>
    </row>
    <row r="1159">
      <c r="A1159" s="34"/>
      <c r="C1159" s="46"/>
    </row>
    <row r="1160">
      <c r="A1160" s="34"/>
      <c r="C1160" s="46"/>
    </row>
    <row r="1161">
      <c r="A1161" s="34"/>
      <c r="C1161" s="46"/>
    </row>
    <row r="1162">
      <c r="A1162" s="34"/>
      <c r="C1162" s="46"/>
    </row>
    <row r="1163">
      <c r="A1163" s="34"/>
      <c r="C1163" s="46"/>
    </row>
    <row r="1164">
      <c r="A1164" s="34"/>
      <c r="C1164" s="46"/>
    </row>
    <row r="1165">
      <c r="A1165" s="34"/>
      <c r="C1165" s="46"/>
    </row>
    <row r="1166">
      <c r="A1166" s="34"/>
      <c r="C1166" s="46"/>
    </row>
    <row r="1167">
      <c r="A1167" s="34"/>
      <c r="C1167" s="46"/>
    </row>
    <row r="1168">
      <c r="A1168" s="34"/>
      <c r="C1168" s="46"/>
    </row>
    <row r="1169">
      <c r="A1169" s="34"/>
      <c r="C1169" s="46"/>
    </row>
    <row r="1170">
      <c r="A1170" s="34"/>
      <c r="C1170" s="46"/>
    </row>
    <row r="1171">
      <c r="A1171" s="34"/>
      <c r="C1171" s="46"/>
    </row>
    <row r="1172">
      <c r="A1172" s="34"/>
      <c r="C1172" s="46"/>
    </row>
    <row r="1173">
      <c r="A1173" s="34"/>
      <c r="C1173" s="46"/>
    </row>
    <row r="1174">
      <c r="A1174" s="34"/>
      <c r="C1174" s="46"/>
    </row>
    <row r="1175">
      <c r="A1175" s="34"/>
      <c r="C1175" s="46"/>
    </row>
    <row r="1176">
      <c r="A1176" s="34"/>
      <c r="C1176" s="46"/>
    </row>
    <row r="1177">
      <c r="A1177" s="34"/>
      <c r="C1177" s="46"/>
    </row>
    <row r="1178">
      <c r="A1178" s="34"/>
      <c r="C1178" s="46"/>
    </row>
    <row r="1179">
      <c r="A1179" s="34"/>
      <c r="C1179" s="46"/>
    </row>
    <row r="1180">
      <c r="A1180" s="34"/>
      <c r="C1180" s="46"/>
    </row>
    <row r="1181">
      <c r="A1181" s="34"/>
      <c r="C1181" s="46"/>
    </row>
    <row r="1182">
      <c r="A1182" s="34"/>
      <c r="C1182" s="46"/>
    </row>
    <row r="1183">
      <c r="A1183" s="34"/>
      <c r="C1183" s="46"/>
    </row>
    <row r="1184">
      <c r="A1184" s="34"/>
      <c r="C1184" s="46"/>
    </row>
    <row r="1185">
      <c r="A1185" s="34"/>
      <c r="C1185" s="46"/>
    </row>
    <row r="1186">
      <c r="A1186" s="34"/>
      <c r="C1186" s="46"/>
    </row>
    <row r="1187">
      <c r="A1187" s="34"/>
      <c r="C1187" s="46"/>
    </row>
    <row r="1188">
      <c r="A1188" s="34"/>
      <c r="C1188" s="46"/>
    </row>
    <row r="1189">
      <c r="A1189" s="34"/>
      <c r="C1189" s="46"/>
    </row>
    <row r="1190">
      <c r="A1190" s="34"/>
      <c r="C1190" s="46"/>
    </row>
    <row r="1191">
      <c r="A1191" s="34"/>
      <c r="C1191" s="46"/>
    </row>
    <row r="1192">
      <c r="A1192" s="34"/>
      <c r="C1192" s="46"/>
    </row>
    <row r="1193">
      <c r="A1193" s="34"/>
      <c r="C1193" s="46"/>
    </row>
    <row r="1194">
      <c r="A1194" s="34"/>
      <c r="C1194" s="46"/>
    </row>
    <row r="1195">
      <c r="A1195" s="34"/>
      <c r="C1195" s="46"/>
    </row>
    <row r="1196">
      <c r="A1196" s="34"/>
      <c r="C1196" s="46"/>
    </row>
    <row r="1197">
      <c r="A1197" s="34"/>
      <c r="C1197" s="46"/>
    </row>
    <row r="1198">
      <c r="A1198" s="34"/>
      <c r="C1198" s="46"/>
    </row>
    <row r="1199">
      <c r="A1199" s="34"/>
      <c r="C1199" s="46"/>
    </row>
    <row r="1200">
      <c r="A1200" s="34"/>
      <c r="C1200" s="46"/>
    </row>
    <row r="1201">
      <c r="A1201" s="34"/>
      <c r="C1201" s="46"/>
    </row>
    <row r="1202">
      <c r="A1202" s="34"/>
      <c r="C1202" s="46"/>
    </row>
    <row r="1203">
      <c r="A1203" s="34"/>
      <c r="C1203" s="46"/>
    </row>
    <row r="1204">
      <c r="A1204" s="34"/>
      <c r="C1204" s="46"/>
    </row>
    <row r="1205">
      <c r="A1205" s="34"/>
      <c r="C1205" s="46"/>
    </row>
    <row r="1206">
      <c r="A1206" s="34"/>
      <c r="C1206" s="46"/>
    </row>
    <row r="1207">
      <c r="A1207" s="34"/>
      <c r="C1207" s="46"/>
    </row>
    <row r="1208">
      <c r="A1208" s="34"/>
      <c r="C1208" s="46"/>
    </row>
    <row r="1209">
      <c r="A1209" s="34"/>
      <c r="C1209" s="46"/>
    </row>
    <row r="1210">
      <c r="A1210" s="34"/>
      <c r="C1210" s="46"/>
    </row>
    <row r="1211">
      <c r="A1211" s="34"/>
      <c r="C1211" s="46"/>
    </row>
    <row r="1212">
      <c r="A1212" s="34"/>
      <c r="C1212" s="46"/>
    </row>
    <row r="1213">
      <c r="A1213" s="34"/>
      <c r="C1213" s="46"/>
    </row>
    <row r="1214">
      <c r="A1214" s="34"/>
      <c r="C1214" s="46"/>
    </row>
    <row r="1215">
      <c r="A1215" s="34"/>
      <c r="C1215" s="46"/>
    </row>
    <row r="1216">
      <c r="A1216" s="34"/>
      <c r="C1216" s="46"/>
    </row>
    <row r="1217">
      <c r="A1217" s="34"/>
      <c r="C1217" s="46"/>
    </row>
    <row r="1218">
      <c r="A1218" s="34"/>
      <c r="C1218" s="46"/>
    </row>
    <row r="1219">
      <c r="A1219" s="34"/>
      <c r="C1219" s="46"/>
    </row>
    <row r="1220">
      <c r="A1220" s="34"/>
      <c r="C1220" s="46"/>
    </row>
    <row r="1221">
      <c r="A1221" s="34"/>
      <c r="C1221" s="46"/>
    </row>
    <row r="1222">
      <c r="A1222" s="34"/>
      <c r="C1222" s="46"/>
    </row>
    <row r="1223">
      <c r="A1223" s="34"/>
      <c r="C1223" s="46"/>
    </row>
    <row r="1224">
      <c r="A1224" s="34"/>
      <c r="C1224" s="46"/>
    </row>
    <row r="1225">
      <c r="A1225" s="34"/>
      <c r="C1225" s="46"/>
    </row>
    <row r="1226">
      <c r="A1226" s="34"/>
      <c r="C1226" s="46"/>
    </row>
    <row r="1227">
      <c r="A1227" s="34"/>
      <c r="C1227" s="46"/>
    </row>
    <row r="1228">
      <c r="A1228" s="34"/>
      <c r="C1228" s="46"/>
    </row>
    <row r="1229">
      <c r="A1229" s="34"/>
      <c r="C1229" s="46"/>
    </row>
    <row r="1230">
      <c r="A1230" s="34"/>
      <c r="C1230" s="46"/>
    </row>
    <row r="1231">
      <c r="A1231" s="34"/>
      <c r="C1231" s="46"/>
    </row>
    <row r="1232">
      <c r="A1232" s="34"/>
      <c r="C1232" s="46"/>
    </row>
    <row r="1233">
      <c r="A1233" s="34"/>
      <c r="C1233" s="46"/>
    </row>
    <row r="1234">
      <c r="A1234" s="34"/>
      <c r="C1234" s="46"/>
    </row>
    <row r="1235">
      <c r="A1235" s="34"/>
      <c r="C1235" s="46"/>
    </row>
    <row r="1236">
      <c r="A1236" s="34"/>
      <c r="C1236" s="46"/>
    </row>
    <row r="1237">
      <c r="A1237" s="34"/>
      <c r="C1237" s="46"/>
    </row>
    <row r="1238">
      <c r="A1238" s="34"/>
      <c r="C1238" s="46"/>
    </row>
    <row r="1239">
      <c r="A1239" s="34"/>
      <c r="C1239" s="46"/>
    </row>
    <row r="1240">
      <c r="A1240" s="34"/>
      <c r="C1240" s="46"/>
    </row>
    <row r="1241">
      <c r="A1241" s="34"/>
      <c r="C1241" s="46"/>
    </row>
    <row r="1242">
      <c r="A1242" s="34"/>
      <c r="C1242" s="46"/>
    </row>
    <row r="1243">
      <c r="A1243" s="34"/>
      <c r="C1243" s="46"/>
    </row>
    <row r="1244">
      <c r="A1244" s="34"/>
      <c r="C1244" s="46"/>
    </row>
    <row r="1245">
      <c r="A1245" s="34"/>
      <c r="C1245" s="46"/>
    </row>
    <row r="1246">
      <c r="A1246" s="34"/>
      <c r="C1246" s="46"/>
    </row>
    <row r="1247">
      <c r="A1247" s="34"/>
      <c r="C1247" s="46"/>
    </row>
    <row r="1248">
      <c r="A1248" s="34"/>
      <c r="C1248" s="46"/>
    </row>
    <row r="1249">
      <c r="A1249" s="34"/>
      <c r="C1249" s="46"/>
    </row>
    <row r="1250">
      <c r="A1250" s="34"/>
      <c r="C1250" s="46"/>
    </row>
    <row r="1251">
      <c r="A1251" s="34"/>
      <c r="C1251" s="46"/>
    </row>
    <row r="1252">
      <c r="A1252" s="34"/>
      <c r="C1252" s="46"/>
    </row>
    <row r="1253">
      <c r="A1253" s="34"/>
      <c r="C1253" s="46"/>
    </row>
    <row r="1254">
      <c r="A1254" s="34"/>
      <c r="C1254" s="46"/>
    </row>
    <row r="1255">
      <c r="A1255" s="34"/>
      <c r="C1255" s="46"/>
    </row>
    <row r="1256">
      <c r="A1256" s="34"/>
      <c r="C1256" s="46"/>
    </row>
    <row r="1257">
      <c r="A1257" s="34"/>
      <c r="C1257" s="46"/>
    </row>
    <row r="1258">
      <c r="A1258" s="34"/>
      <c r="C1258" s="46"/>
    </row>
    <row r="1259">
      <c r="A1259" s="34"/>
      <c r="C1259" s="46"/>
    </row>
    <row r="1260">
      <c r="A1260" s="34"/>
      <c r="C1260" s="46"/>
    </row>
    <row r="1261">
      <c r="A1261" s="34"/>
      <c r="C1261" s="46"/>
    </row>
    <row r="1262">
      <c r="A1262" s="34"/>
      <c r="C1262" s="46"/>
    </row>
    <row r="1263">
      <c r="A1263" s="34"/>
      <c r="C1263" s="46"/>
    </row>
    <row r="1264">
      <c r="A1264" s="34"/>
      <c r="C1264" s="46"/>
    </row>
    <row r="1265">
      <c r="A1265" s="34"/>
      <c r="C1265" s="46"/>
    </row>
    <row r="1266">
      <c r="A1266" s="34"/>
      <c r="C1266" s="46"/>
    </row>
    <row r="1267">
      <c r="A1267" s="34"/>
      <c r="C1267" s="46"/>
    </row>
    <row r="1268">
      <c r="A1268" s="34"/>
      <c r="C1268" s="46"/>
    </row>
    <row r="1269">
      <c r="A1269" s="34"/>
      <c r="C1269" s="46"/>
    </row>
    <row r="1270">
      <c r="A1270" s="34"/>
      <c r="C1270" s="46"/>
    </row>
    <row r="1271">
      <c r="A1271" s="34"/>
      <c r="C1271" s="46"/>
    </row>
    <row r="1272">
      <c r="A1272" s="34"/>
      <c r="C1272" s="46"/>
    </row>
    <row r="1273">
      <c r="A1273" s="34"/>
      <c r="C1273" s="46"/>
    </row>
    <row r="1274">
      <c r="A1274" s="34"/>
      <c r="C1274" s="46"/>
    </row>
    <row r="1275">
      <c r="A1275" s="34"/>
      <c r="C1275" s="46"/>
    </row>
    <row r="1276">
      <c r="A1276" s="34"/>
      <c r="C1276" s="46"/>
    </row>
    <row r="1277">
      <c r="A1277" s="34"/>
      <c r="C1277" s="46"/>
    </row>
    <row r="1278">
      <c r="A1278" s="34"/>
      <c r="C1278" s="46"/>
    </row>
    <row r="1279">
      <c r="A1279" s="34"/>
      <c r="C1279" s="46"/>
    </row>
    <row r="1280">
      <c r="A1280" s="34"/>
      <c r="C1280" s="46"/>
    </row>
    <row r="1281">
      <c r="A1281" s="34"/>
      <c r="C1281" s="46"/>
    </row>
    <row r="1282">
      <c r="A1282" s="34"/>
      <c r="C1282" s="46"/>
    </row>
    <row r="1283">
      <c r="A1283" s="34"/>
      <c r="C1283" s="46"/>
    </row>
    <row r="1284">
      <c r="A1284" s="34"/>
      <c r="C1284" s="46"/>
    </row>
    <row r="1285">
      <c r="A1285" s="34"/>
      <c r="C1285" s="46"/>
    </row>
    <row r="1286">
      <c r="A1286" s="34"/>
      <c r="C1286" s="46"/>
    </row>
    <row r="1287">
      <c r="A1287" s="34"/>
      <c r="C1287" s="46"/>
    </row>
    <row r="1288">
      <c r="A1288" s="34"/>
      <c r="C1288" s="46"/>
    </row>
    <row r="1289">
      <c r="A1289" s="34"/>
      <c r="C1289" s="46"/>
    </row>
    <row r="1290">
      <c r="A1290" s="34"/>
      <c r="C1290" s="46"/>
    </row>
    <row r="1291">
      <c r="A1291" s="34"/>
      <c r="C1291" s="46"/>
    </row>
    <row r="1292">
      <c r="A1292" s="34"/>
      <c r="C1292" s="46"/>
    </row>
    <row r="1293">
      <c r="A1293" s="34"/>
      <c r="C1293" s="46"/>
    </row>
    <row r="1294">
      <c r="A1294" s="34"/>
      <c r="C1294" s="46"/>
    </row>
    <row r="1295">
      <c r="A1295" s="34"/>
      <c r="C1295" s="46"/>
    </row>
    <row r="1296">
      <c r="A1296" s="34"/>
      <c r="C1296" s="46"/>
    </row>
    <row r="1297">
      <c r="A1297" s="34"/>
      <c r="C1297" s="46"/>
    </row>
    <row r="1298">
      <c r="A1298" s="34"/>
      <c r="C1298" s="46"/>
    </row>
    <row r="1299">
      <c r="A1299" s="34"/>
      <c r="C1299" s="46"/>
    </row>
    <row r="1300">
      <c r="A1300" s="34"/>
      <c r="C1300" s="46"/>
    </row>
    <row r="1301">
      <c r="A1301" s="34"/>
      <c r="C1301" s="46"/>
    </row>
    <row r="1302">
      <c r="A1302" s="34"/>
      <c r="C1302" s="46"/>
    </row>
    <row r="1303">
      <c r="A1303" s="34"/>
      <c r="C1303" s="46"/>
    </row>
    <row r="1304">
      <c r="A1304" s="34"/>
      <c r="C1304" s="46"/>
    </row>
    <row r="1305">
      <c r="A1305" s="34"/>
      <c r="C1305" s="46"/>
    </row>
    <row r="1306">
      <c r="A1306" s="34"/>
      <c r="C1306" s="46"/>
    </row>
    <row r="1307">
      <c r="A1307" s="34"/>
      <c r="C1307" s="46"/>
    </row>
    <row r="1308">
      <c r="A1308" s="34"/>
      <c r="C1308" s="46"/>
    </row>
    <row r="1309">
      <c r="A1309" s="34"/>
      <c r="C1309" s="46"/>
    </row>
    <row r="1310">
      <c r="A1310" s="34"/>
      <c r="C1310" s="46"/>
    </row>
    <row r="1311">
      <c r="A1311" s="34"/>
      <c r="C1311" s="46"/>
    </row>
    <row r="1312">
      <c r="A1312" s="34"/>
      <c r="C1312" s="46"/>
    </row>
    <row r="1313">
      <c r="A1313" s="34"/>
      <c r="C1313" s="46"/>
    </row>
    <row r="1314">
      <c r="A1314" s="34"/>
      <c r="C1314" s="46"/>
    </row>
    <row r="1315">
      <c r="A1315" s="34"/>
      <c r="C1315" s="46"/>
    </row>
    <row r="1316">
      <c r="A1316" s="34"/>
      <c r="C1316" s="46"/>
    </row>
    <row r="1317">
      <c r="A1317" s="34"/>
      <c r="C1317" s="46"/>
    </row>
    <row r="1318">
      <c r="A1318" s="34"/>
      <c r="C1318" s="46"/>
    </row>
    <row r="1319">
      <c r="A1319" s="34"/>
      <c r="C1319" s="46"/>
    </row>
    <row r="1320">
      <c r="A1320" s="34"/>
      <c r="C1320" s="46"/>
    </row>
    <row r="1321">
      <c r="A1321" s="34"/>
      <c r="C1321" s="46"/>
    </row>
    <row r="1322">
      <c r="A1322" s="34"/>
      <c r="C1322" s="46"/>
    </row>
    <row r="1323">
      <c r="A1323" s="34"/>
      <c r="C1323" s="46"/>
    </row>
    <row r="1324">
      <c r="A1324" s="34"/>
      <c r="C1324" s="46"/>
    </row>
    <row r="1325">
      <c r="A1325" s="34"/>
      <c r="C1325" s="46"/>
    </row>
    <row r="1326">
      <c r="A1326" s="34"/>
      <c r="C1326" s="46"/>
    </row>
    <row r="1327">
      <c r="A1327" s="34"/>
      <c r="C1327" s="46"/>
    </row>
    <row r="1328">
      <c r="A1328" s="34"/>
      <c r="C1328" s="46"/>
    </row>
    <row r="1329">
      <c r="A1329" s="34"/>
      <c r="C1329" s="46"/>
    </row>
    <row r="1330">
      <c r="A1330" s="34"/>
      <c r="C1330" s="46"/>
    </row>
    <row r="1331">
      <c r="A1331" s="34"/>
      <c r="C1331" s="46"/>
    </row>
    <row r="1332">
      <c r="A1332" s="34"/>
      <c r="C1332" s="46"/>
    </row>
    <row r="1333">
      <c r="A1333" s="34"/>
      <c r="C1333" s="46"/>
    </row>
    <row r="1334">
      <c r="A1334" s="34"/>
      <c r="C1334" s="46"/>
    </row>
    <row r="1335">
      <c r="A1335" s="34"/>
      <c r="C1335" s="46"/>
    </row>
    <row r="1336">
      <c r="A1336" s="34"/>
      <c r="C1336" s="46"/>
    </row>
    <row r="1337">
      <c r="A1337" s="34"/>
      <c r="C1337" s="46"/>
    </row>
    <row r="1338">
      <c r="A1338" s="34"/>
      <c r="C1338" s="46"/>
    </row>
    <row r="1339">
      <c r="A1339" s="34"/>
      <c r="C1339" s="46"/>
    </row>
    <row r="1340">
      <c r="A1340" s="34"/>
      <c r="C1340" s="46"/>
    </row>
    <row r="1341">
      <c r="A1341" s="34"/>
      <c r="C1341" s="46"/>
    </row>
    <row r="1342">
      <c r="A1342" s="34"/>
      <c r="C1342" s="46"/>
    </row>
    <row r="1343">
      <c r="A1343" s="34"/>
      <c r="C1343" s="46"/>
    </row>
    <row r="1344">
      <c r="A1344" s="34"/>
      <c r="C1344" s="46"/>
    </row>
    <row r="1345">
      <c r="A1345" s="34"/>
      <c r="C1345" s="46"/>
    </row>
    <row r="1346">
      <c r="A1346" s="34"/>
      <c r="C1346" s="46"/>
    </row>
    <row r="1347">
      <c r="A1347" s="34"/>
      <c r="C1347" s="46"/>
    </row>
    <row r="1348">
      <c r="A1348" s="34"/>
      <c r="C1348" s="46"/>
    </row>
    <row r="1349">
      <c r="A1349" s="34"/>
      <c r="C1349" s="46"/>
    </row>
    <row r="1350">
      <c r="A1350" s="34"/>
      <c r="C1350" s="46"/>
    </row>
    <row r="1351">
      <c r="A1351" s="34"/>
      <c r="C1351" s="46"/>
    </row>
    <row r="1352">
      <c r="A1352" s="34"/>
      <c r="C1352" s="46"/>
    </row>
    <row r="1353">
      <c r="A1353" s="34"/>
      <c r="C1353" s="46"/>
    </row>
    <row r="1354">
      <c r="A1354" s="34"/>
      <c r="C1354" s="46"/>
    </row>
    <row r="1355">
      <c r="A1355" s="34"/>
      <c r="C1355" s="46"/>
    </row>
    <row r="1356">
      <c r="A1356" s="34"/>
      <c r="C1356" s="46"/>
    </row>
    <row r="1357">
      <c r="A1357" s="34"/>
      <c r="C1357" s="46"/>
    </row>
    <row r="1358">
      <c r="A1358" s="34"/>
      <c r="C1358" s="46"/>
    </row>
    <row r="1359">
      <c r="A1359" s="34"/>
      <c r="C1359" s="46"/>
    </row>
    <row r="1360">
      <c r="A1360" s="34"/>
      <c r="C1360" s="46"/>
    </row>
    <row r="1361">
      <c r="A1361" s="34"/>
      <c r="C1361" s="46"/>
    </row>
    <row r="1362">
      <c r="A1362" s="34"/>
      <c r="C1362" s="46"/>
    </row>
    <row r="1363">
      <c r="A1363" s="34"/>
      <c r="C1363" s="46"/>
    </row>
    <row r="1364">
      <c r="A1364" s="34"/>
      <c r="C1364" s="46"/>
    </row>
    <row r="1365">
      <c r="A1365" s="34"/>
      <c r="C1365" s="46"/>
    </row>
    <row r="1366">
      <c r="A1366" s="34"/>
      <c r="C1366" s="46"/>
    </row>
    <row r="1367">
      <c r="A1367" s="34"/>
      <c r="C1367" s="46"/>
    </row>
    <row r="1368">
      <c r="A1368" s="34"/>
      <c r="C1368" s="46"/>
    </row>
    <row r="1369">
      <c r="A1369" s="34"/>
      <c r="C1369" s="46"/>
    </row>
    <row r="1370">
      <c r="A1370" s="34"/>
      <c r="C1370" s="46"/>
    </row>
    <row r="1371">
      <c r="A1371" s="34"/>
      <c r="C1371" s="46"/>
    </row>
    <row r="1372">
      <c r="A1372" s="34"/>
      <c r="C1372" s="46"/>
    </row>
    <row r="1373">
      <c r="A1373" s="34"/>
      <c r="C1373" s="46"/>
    </row>
    <row r="1374">
      <c r="A1374" s="34"/>
      <c r="C1374" s="46"/>
    </row>
    <row r="1375">
      <c r="A1375" s="34"/>
      <c r="C1375" s="46"/>
    </row>
    <row r="1376">
      <c r="A1376" s="34"/>
      <c r="C1376" s="46"/>
    </row>
    <row r="1377">
      <c r="A1377" s="34"/>
      <c r="C1377" s="46"/>
    </row>
    <row r="1378">
      <c r="A1378" s="34"/>
      <c r="C1378" s="46"/>
    </row>
    <row r="1379">
      <c r="A1379" s="34"/>
      <c r="C1379" s="46"/>
    </row>
    <row r="1380">
      <c r="A1380" s="34"/>
      <c r="C1380" s="46"/>
    </row>
    <row r="1381">
      <c r="A1381" s="34"/>
      <c r="C1381" s="46"/>
    </row>
    <row r="1382">
      <c r="A1382" s="34"/>
      <c r="C1382" s="46"/>
    </row>
    <row r="1383">
      <c r="A1383" s="34"/>
      <c r="C1383" s="46"/>
    </row>
    <row r="1384">
      <c r="A1384" s="34"/>
      <c r="C1384" s="46"/>
    </row>
    <row r="1385">
      <c r="A1385" s="34"/>
      <c r="C1385" s="46"/>
    </row>
    <row r="1386">
      <c r="A1386" s="34"/>
      <c r="C1386" s="46"/>
    </row>
    <row r="1387">
      <c r="A1387" s="34"/>
      <c r="C1387" s="46"/>
    </row>
    <row r="1388">
      <c r="A1388" s="34"/>
      <c r="C1388" s="46"/>
    </row>
    <row r="1389">
      <c r="A1389" s="34"/>
      <c r="C1389" s="46"/>
    </row>
    <row r="1390">
      <c r="A1390" s="34"/>
      <c r="C1390" s="46"/>
    </row>
    <row r="1391">
      <c r="A1391" s="34"/>
      <c r="C1391" s="46"/>
    </row>
    <row r="1392">
      <c r="A1392" s="34"/>
      <c r="C1392" s="46"/>
    </row>
    <row r="1393">
      <c r="A1393" s="34"/>
      <c r="C1393" s="46"/>
    </row>
    <row r="1394">
      <c r="A1394" s="34"/>
      <c r="C1394" s="46"/>
    </row>
    <row r="1395">
      <c r="A1395" s="34"/>
      <c r="C1395" s="46"/>
    </row>
    <row r="1396">
      <c r="A1396" s="34"/>
      <c r="C1396" s="46"/>
    </row>
    <row r="1397">
      <c r="A1397" s="34"/>
      <c r="C1397" s="46"/>
    </row>
    <row r="1398">
      <c r="A1398" s="34"/>
      <c r="C1398" s="46"/>
    </row>
    <row r="1399">
      <c r="A1399" s="34"/>
      <c r="C1399" s="46"/>
    </row>
    <row r="1400">
      <c r="A1400" s="34"/>
      <c r="C1400" s="46"/>
    </row>
    <row r="1401">
      <c r="A1401" s="34"/>
      <c r="C1401" s="46"/>
    </row>
    <row r="1402">
      <c r="A1402" s="34"/>
      <c r="C1402" s="46"/>
    </row>
    <row r="1403">
      <c r="A1403" s="34"/>
      <c r="C1403" s="46"/>
    </row>
    <row r="1404">
      <c r="A1404" s="34"/>
      <c r="C1404" s="46"/>
    </row>
    <row r="1405">
      <c r="A1405" s="34"/>
      <c r="C1405" s="46"/>
    </row>
    <row r="1406">
      <c r="A1406" s="34"/>
      <c r="C1406" s="46"/>
    </row>
    <row r="1407">
      <c r="A1407" s="34"/>
      <c r="C1407" s="46"/>
    </row>
    <row r="1408">
      <c r="A1408" s="34"/>
      <c r="C1408" s="46"/>
    </row>
    <row r="1409">
      <c r="A1409" s="34"/>
      <c r="C1409" s="46"/>
    </row>
    <row r="1410">
      <c r="A1410" s="34"/>
      <c r="C1410" s="46"/>
    </row>
    <row r="1411">
      <c r="A1411" s="34"/>
      <c r="C1411" s="46"/>
    </row>
    <row r="1412">
      <c r="A1412" s="34"/>
      <c r="C1412" s="46"/>
    </row>
    <row r="1413">
      <c r="A1413" s="34"/>
      <c r="C1413" s="46"/>
    </row>
    <row r="1414">
      <c r="A1414" s="34"/>
      <c r="C1414" s="46"/>
    </row>
    <row r="1415">
      <c r="A1415" s="34"/>
      <c r="C1415" s="46"/>
    </row>
    <row r="1416">
      <c r="A1416" s="34"/>
      <c r="C1416" s="46"/>
    </row>
    <row r="1417">
      <c r="A1417" s="34"/>
      <c r="C1417" s="46"/>
    </row>
    <row r="1418">
      <c r="A1418" s="34"/>
      <c r="C1418" s="46"/>
    </row>
    <row r="1419">
      <c r="A1419" s="34"/>
      <c r="C1419" s="46"/>
    </row>
    <row r="1420">
      <c r="A1420" s="34"/>
      <c r="C1420" s="46"/>
    </row>
    <row r="1421">
      <c r="A1421" s="34"/>
      <c r="C1421" s="46"/>
    </row>
    <row r="1422">
      <c r="A1422" s="34"/>
      <c r="C1422" s="46"/>
    </row>
    <row r="1423">
      <c r="A1423" s="34"/>
      <c r="C1423" s="46"/>
    </row>
    <row r="1424">
      <c r="A1424" s="34"/>
      <c r="C1424" s="46"/>
    </row>
    <row r="1425">
      <c r="A1425" s="34"/>
      <c r="C1425" s="46"/>
    </row>
    <row r="1426">
      <c r="A1426" s="34"/>
      <c r="C1426" s="46"/>
    </row>
    <row r="1427">
      <c r="A1427" s="34"/>
      <c r="C1427" s="46"/>
    </row>
    <row r="1428">
      <c r="A1428" s="34"/>
      <c r="C1428" s="46"/>
    </row>
    <row r="1429">
      <c r="A1429" s="34"/>
      <c r="C1429" s="46"/>
    </row>
    <row r="1430">
      <c r="A1430" s="34"/>
      <c r="C1430" s="46"/>
    </row>
    <row r="1431">
      <c r="A1431" s="34"/>
      <c r="C1431" s="46"/>
    </row>
    <row r="1432">
      <c r="A1432" s="34"/>
      <c r="C1432" s="46"/>
    </row>
    <row r="1433">
      <c r="A1433" s="34"/>
      <c r="C1433" s="46"/>
    </row>
    <row r="1434">
      <c r="A1434" s="34"/>
      <c r="C1434" s="46"/>
    </row>
    <row r="1435">
      <c r="A1435" s="34"/>
      <c r="C1435" s="46"/>
    </row>
    <row r="1436">
      <c r="A1436" s="34"/>
      <c r="C1436" s="46"/>
    </row>
    <row r="1437">
      <c r="A1437" s="34"/>
      <c r="C1437" s="46"/>
    </row>
    <row r="1438">
      <c r="A1438" s="34"/>
      <c r="C1438" s="46"/>
    </row>
    <row r="1439">
      <c r="A1439" s="34"/>
      <c r="C1439" s="46"/>
    </row>
    <row r="1440">
      <c r="A1440" s="34"/>
      <c r="C1440" s="46"/>
    </row>
    <row r="1441">
      <c r="A1441" s="34"/>
      <c r="C1441" s="46"/>
    </row>
    <row r="1442">
      <c r="A1442" s="34"/>
      <c r="C1442" s="46"/>
    </row>
    <row r="1443">
      <c r="A1443" s="34"/>
      <c r="C1443" s="46"/>
    </row>
    <row r="1444">
      <c r="A1444" s="34"/>
      <c r="C1444" s="46"/>
    </row>
    <row r="1445">
      <c r="A1445" s="34"/>
      <c r="C1445" s="46"/>
    </row>
    <row r="1446">
      <c r="A1446" s="34"/>
      <c r="C1446" s="46"/>
    </row>
    <row r="1447">
      <c r="A1447" s="34"/>
      <c r="C1447" s="46"/>
    </row>
    <row r="1448">
      <c r="A1448" s="34"/>
      <c r="C1448" s="46"/>
    </row>
    <row r="1449">
      <c r="A1449" s="34"/>
      <c r="C1449" s="46"/>
    </row>
    <row r="1450">
      <c r="A1450" s="34"/>
      <c r="C1450" s="46"/>
    </row>
    <row r="1451">
      <c r="A1451" s="34"/>
      <c r="C1451" s="46"/>
    </row>
    <row r="1452">
      <c r="A1452" s="34"/>
      <c r="C1452" s="46"/>
    </row>
    <row r="1453">
      <c r="A1453" s="34"/>
      <c r="C1453" s="46"/>
    </row>
    <row r="1454">
      <c r="A1454" s="34"/>
      <c r="C1454" s="46"/>
    </row>
    <row r="1455">
      <c r="A1455" s="34"/>
      <c r="C1455" s="46"/>
    </row>
    <row r="1456">
      <c r="A1456" s="34"/>
      <c r="C1456" s="46"/>
    </row>
    <row r="1457">
      <c r="A1457" s="34"/>
      <c r="C1457" s="46"/>
    </row>
    <row r="1458">
      <c r="A1458" s="34"/>
      <c r="C1458" s="46"/>
    </row>
    <row r="1459">
      <c r="A1459" s="34"/>
      <c r="C1459" s="46"/>
    </row>
    <row r="1460">
      <c r="A1460" s="34"/>
      <c r="C1460" s="46"/>
    </row>
    <row r="1461">
      <c r="A1461" s="34"/>
      <c r="C1461" s="46"/>
    </row>
    <row r="1462">
      <c r="A1462" s="34"/>
      <c r="C1462" s="46"/>
    </row>
    <row r="1463">
      <c r="A1463" s="34"/>
      <c r="C1463" s="46"/>
    </row>
    <row r="1464">
      <c r="A1464" s="34"/>
      <c r="C1464" s="46"/>
    </row>
    <row r="1465">
      <c r="A1465" s="34"/>
      <c r="C1465" s="46"/>
    </row>
    <row r="1466">
      <c r="A1466" s="34"/>
      <c r="C1466" s="46"/>
    </row>
    <row r="1467">
      <c r="A1467" s="34"/>
      <c r="C1467" s="46"/>
    </row>
    <row r="1468">
      <c r="A1468" s="34"/>
      <c r="C1468" s="46"/>
    </row>
    <row r="1469">
      <c r="A1469" s="34"/>
      <c r="C1469" s="46"/>
    </row>
    <row r="1470">
      <c r="A1470" s="34"/>
      <c r="C1470" s="46"/>
    </row>
    <row r="1471">
      <c r="A1471" s="34"/>
      <c r="C1471" s="46"/>
    </row>
    <row r="1472">
      <c r="A1472" s="34"/>
      <c r="C1472" s="46"/>
    </row>
    <row r="1473">
      <c r="A1473" s="34"/>
      <c r="C1473" s="46"/>
    </row>
    <row r="1474">
      <c r="A1474" s="34"/>
      <c r="C1474" s="46"/>
    </row>
    <row r="1475">
      <c r="A1475" s="34"/>
      <c r="C1475" s="46"/>
    </row>
    <row r="1476">
      <c r="A1476" s="34"/>
      <c r="C1476" s="46"/>
    </row>
    <row r="1477">
      <c r="A1477" s="34"/>
      <c r="C1477" s="46"/>
    </row>
    <row r="1478">
      <c r="A1478" s="34"/>
      <c r="C1478" s="46"/>
    </row>
    <row r="1479">
      <c r="A1479" s="34"/>
      <c r="C1479" s="46"/>
    </row>
    <row r="1480">
      <c r="A1480" s="34"/>
      <c r="C1480" s="46"/>
    </row>
    <row r="1481">
      <c r="A1481" s="34"/>
      <c r="C1481" s="46"/>
    </row>
    <row r="1482">
      <c r="A1482" s="34"/>
      <c r="C1482" s="46"/>
    </row>
    <row r="1483">
      <c r="A1483" s="34"/>
      <c r="C1483" s="46"/>
    </row>
    <row r="1484">
      <c r="A1484" s="34"/>
      <c r="C1484" s="46"/>
    </row>
    <row r="1485">
      <c r="A1485" s="34"/>
      <c r="C1485" s="46"/>
    </row>
    <row r="1486">
      <c r="A1486" s="34"/>
      <c r="C1486" s="46"/>
    </row>
    <row r="1487">
      <c r="A1487" s="34"/>
      <c r="C1487" s="46"/>
    </row>
    <row r="1488">
      <c r="A1488" s="34"/>
      <c r="C1488" s="46"/>
    </row>
    <row r="1489">
      <c r="A1489" s="34"/>
      <c r="C1489" s="46"/>
    </row>
    <row r="1490">
      <c r="A1490" s="34"/>
      <c r="C1490" s="46"/>
    </row>
    <row r="1491">
      <c r="A1491" s="34"/>
      <c r="C1491" s="46"/>
    </row>
    <row r="1492">
      <c r="A1492" s="34"/>
      <c r="C1492" s="46"/>
    </row>
    <row r="1493">
      <c r="A1493" s="34"/>
      <c r="C1493" s="46"/>
    </row>
    <row r="1494">
      <c r="A1494" s="34"/>
      <c r="C1494" s="46"/>
    </row>
    <row r="1495">
      <c r="A1495" s="34"/>
      <c r="C1495" s="46"/>
    </row>
    <row r="1496">
      <c r="A1496" s="34"/>
      <c r="C1496" s="46"/>
    </row>
    <row r="1497">
      <c r="A1497" s="34"/>
      <c r="C1497" s="46"/>
    </row>
    <row r="1498">
      <c r="A1498" s="34"/>
      <c r="C1498" s="46"/>
    </row>
    <row r="1499">
      <c r="A1499" s="34"/>
      <c r="C1499" s="46"/>
    </row>
    <row r="1500">
      <c r="A1500" s="34"/>
      <c r="C1500" s="46"/>
    </row>
    <row r="1501">
      <c r="A1501" s="34"/>
      <c r="C1501" s="46"/>
    </row>
    <row r="1502">
      <c r="A1502" s="34"/>
      <c r="C1502" s="46"/>
    </row>
    <row r="1503">
      <c r="A1503" s="34"/>
      <c r="C1503" s="46"/>
    </row>
    <row r="1504">
      <c r="A1504" s="34"/>
      <c r="C1504" s="46"/>
    </row>
    <row r="1505">
      <c r="A1505" s="34"/>
      <c r="C1505" s="46"/>
    </row>
    <row r="1506">
      <c r="A1506" s="34"/>
      <c r="C1506" s="46"/>
    </row>
    <row r="1507">
      <c r="A1507" s="34"/>
      <c r="C1507" s="46"/>
    </row>
    <row r="1508">
      <c r="A1508" s="34"/>
      <c r="C1508" s="46"/>
    </row>
    <row r="1509">
      <c r="A1509" s="34"/>
      <c r="C1509" s="46"/>
    </row>
    <row r="1510">
      <c r="A1510" s="34"/>
      <c r="C1510" s="46"/>
    </row>
    <row r="1511">
      <c r="A1511" s="34"/>
      <c r="C1511" s="46"/>
    </row>
    <row r="1512">
      <c r="A1512" s="34"/>
      <c r="C1512" s="46"/>
    </row>
    <row r="1513">
      <c r="A1513" s="34"/>
      <c r="C1513" s="46"/>
    </row>
    <row r="1514">
      <c r="A1514" s="34"/>
      <c r="C1514" s="46"/>
    </row>
    <row r="1515">
      <c r="A1515" s="34"/>
      <c r="C1515" s="46"/>
    </row>
    <row r="1516">
      <c r="A1516" s="34"/>
      <c r="C1516" s="46"/>
    </row>
    <row r="1517">
      <c r="A1517" s="34"/>
      <c r="C1517" s="46"/>
    </row>
    <row r="1518">
      <c r="A1518" s="34"/>
      <c r="C1518" s="46"/>
    </row>
    <row r="1519">
      <c r="A1519" s="34"/>
      <c r="C1519" s="46"/>
    </row>
    <row r="1520">
      <c r="A1520" s="34"/>
      <c r="C1520" s="46"/>
    </row>
    <row r="1521">
      <c r="A1521" s="34"/>
      <c r="C1521" s="46"/>
    </row>
    <row r="1522">
      <c r="A1522" s="34"/>
      <c r="C1522" s="46"/>
    </row>
    <row r="1523">
      <c r="A1523" s="34"/>
      <c r="C1523" s="46"/>
    </row>
    <row r="1524">
      <c r="A1524" s="34"/>
      <c r="C1524" s="46"/>
    </row>
    <row r="1525">
      <c r="A1525" s="34"/>
      <c r="C1525" s="46"/>
    </row>
    <row r="1526">
      <c r="A1526" s="34"/>
      <c r="C1526" s="46"/>
    </row>
    <row r="1527">
      <c r="A1527" s="34"/>
      <c r="C1527" s="46"/>
    </row>
    <row r="1528">
      <c r="A1528" s="34"/>
      <c r="C1528" s="46"/>
    </row>
    <row r="1529">
      <c r="A1529" s="34"/>
      <c r="C1529" s="46"/>
    </row>
    <row r="1530">
      <c r="A1530" s="34"/>
      <c r="C1530" s="46"/>
    </row>
    <row r="1531">
      <c r="A1531" s="34"/>
      <c r="C1531" s="46"/>
    </row>
    <row r="1532">
      <c r="A1532" s="34"/>
      <c r="C1532" s="46"/>
    </row>
    <row r="1533">
      <c r="A1533" s="34"/>
      <c r="C1533" s="46"/>
    </row>
    <row r="1534">
      <c r="A1534" s="34"/>
      <c r="C1534" s="46"/>
    </row>
    <row r="1535">
      <c r="A1535" s="34"/>
      <c r="C1535" s="46"/>
    </row>
    <row r="1536">
      <c r="A1536" s="34"/>
      <c r="C1536" s="46"/>
    </row>
    <row r="1537">
      <c r="A1537" s="34"/>
      <c r="C1537" s="46"/>
    </row>
    <row r="1538">
      <c r="A1538" s="34"/>
      <c r="C1538" s="46"/>
    </row>
    <row r="1539">
      <c r="A1539" s="34"/>
      <c r="C1539" s="46"/>
    </row>
    <row r="1540">
      <c r="A1540" s="34"/>
      <c r="C1540" s="46"/>
    </row>
    <row r="1541">
      <c r="A1541" s="34"/>
      <c r="C1541" s="46"/>
    </row>
    <row r="1542">
      <c r="A1542" s="34"/>
      <c r="C1542" s="46"/>
    </row>
    <row r="1543">
      <c r="A1543" s="34"/>
      <c r="C1543" s="46"/>
    </row>
    <row r="1544">
      <c r="A1544" s="34"/>
      <c r="C1544" s="46"/>
    </row>
    <row r="1545">
      <c r="A1545" s="34"/>
      <c r="C1545" s="46"/>
    </row>
    <row r="1546">
      <c r="A1546" s="34"/>
      <c r="C1546" s="46"/>
    </row>
    <row r="1547">
      <c r="A1547" s="34"/>
      <c r="C1547" s="46"/>
    </row>
    <row r="1548">
      <c r="A1548" s="34"/>
      <c r="C1548" s="46"/>
    </row>
    <row r="1549">
      <c r="A1549" s="34"/>
      <c r="C1549" s="46"/>
    </row>
    <row r="1550">
      <c r="A1550" s="34"/>
      <c r="C1550" s="46"/>
    </row>
    <row r="1551">
      <c r="A1551" s="34"/>
      <c r="C1551" s="46"/>
    </row>
    <row r="1552">
      <c r="A1552" s="34"/>
      <c r="C1552" s="46"/>
    </row>
    <row r="1553">
      <c r="A1553" s="34"/>
      <c r="C1553" s="46"/>
    </row>
    <row r="1554">
      <c r="A1554" s="34"/>
      <c r="C1554" s="46"/>
    </row>
    <row r="1555">
      <c r="A1555" s="34"/>
      <c r="C1555" s="46"/>
    </row>
    <row r="1556">
      <c r="A1556" s="34"/>
      <c r="C1556" s="46"/>
    </row>
    <row r="1557">
      <c r="A1557" s="34"/>
      <c r="C1557" s="46"/>
    </row>
    <row r="1558">
      <c r="A1558" s="34"/>
      <c r="C1558" s="46"/>
    </row>
    <row r="1559">
      <c r="A1559" s="34"/>
      <c r="C1559" s="46"/>
    </row>
    <row r="1560">
      <c r="A1560" s="34"/>
      <c r="C1560" s="46"/>
    </row>
    <row r="1561">
      <c r="A1561" s="34"/>
      <c r="C1561" s="46"/>
    </row>
    <row r="1562">
      <c r="A1562" s="34"/>
      <c r="C1562" s="46"/>
    </row>
    <row r="1563">
      <c r="A1563" s="34"/>
      <c r="C1563" s="46"/>
    </row>
    <row r="1564">
      <c r="A1564" s="34"/>
      <c r="C1564" s="46"/>
    </row>
    <row r="1565">
      <c r="A1565" s="34"/>
      <c r="C1565" s="46"/>
    </row>
    <row r="1566">
      <c r="A1566" s="34"/>
      <c r="C1566" s="46"/>
    </row>
    <row r="1567">
      <c r="A1567" s="34"/>
      <c r="C1567" s="46"/>
    </row>
    <row r="1568">
      <c r="A1568" s="34"/>
      <c r="C1568" s="46"/>
    </row>
    <row r="1569">
      <c r="A1569" s="34"/>
      <c r="C1569" s="46"/>
    </row>
    <row r="1570">
      <c r="A1570" s="34"/>
      <c r="C1570" s="46"/>
    </row>
    <row r="1571">
      <c r="A1571" s="34"/>
      <c r="C1571" s="46"/>
    </row>
    <row r="1572">
      <c r="A1572" s="34"/>
      <c r="C1572" s="46"/>
    </row>
    <row r="1573">
      <c r="A1573" s="34"/>
      <c r="C1573" s="46"/>
    </row>
    <row r="1574">
      <c r="A1574" s="34"/>
      <c r="C1574" s="46"/>
    </row>
    <row r="1575">
      <c r="A1575" s="34"/>
      <c r="C1575" s="46"/>
    </row>
    <row r="1576">
      <c r="A1576" s="34"/>
      <c r="C1576" s="46"/>
    </row>
    <row r="1577">
      <c r="A1577" s="34"/>
      <c r="C1577" s="46"/>
    </row>
    <row r="1578">
      <c r="A1578" s="34"/>
      <c r="C1578" s="46"/>
    </row>
    <row r="1579">
      <c r="A1579" s="34"/>
      <c r="C1579" s="46"/>
    </row>
    <row r="1580">
      <c r="A1580" s="34"/>
      <c r="C1580" s="46"/>
    </row>
    <row r="1581">
      <c r="A1581" s="34"/>
      <c r="C1581" s="46"/>
    </row>
    <row r="1582">
      <c r="A1582" s="34"/>
      <c r="C1582" s="46"/>
    </row>
    <row r="1583">
      <c r="A1583" s="34"/>
      <c r="C1583" s="46"/>
    </row>
    <row r="1584">
      <c r="A1584" s="34"/>
      <c r="C1584" s="46"/>
    </row>
    <row r="1585">
      <c r="A1585" s="34"/>
      <c r="C1585" s="46"/>
    </row>
    <row r="1586">
      <c r="A1586" s="34"/>
      <c r="C1586" s="46"/>
    </row>
    <row r="1587">
      <c r="A1587" s="34"/>
      <c r="C1587" s="46"/>
    </row>
    <row r="1588">
      <c r="A1588" s="34"/>
      <c r="C1588" s="46"/>
    </row>
    <row r="1589">
      <c r="A1589" s="34"/>
      <c r="C1589" s="46"/>
    </row>
    <row r="1590">
      <c r="A1590" s="34"/>
      <c r="C1590" s="46"/>
    </row>
    <row r="1591">
      <c r="A1591" s="34"/>
      <c r="C1591" s="46"/>
    </row>
    <row r="1592">
      <c r="A1592" s="34"/>
      <c r="C1592" s="46"/>
    </row>
    <row r="1593">
      <c r="A1593" s="34"/>
      <c r="C1593" s="46"/>
    </row>
    <row r="1594">
      <c r="A1594" s="34"/>
      <c r="C1594" s="46"/>
    </row>
    <row r="1595">
      <c r="A1595" s="34"/>
      <c r="C1595" s="46"/>
    </row>
    <row r="1596">
      <c r="A1596" s="34"/>
      <c r="C1596" s="46"/>
    </row>
    <row r="1597">
      <c r="A1597" s="34"/>
      <c r="C1597" s="46"/>
    </row>
    <row r="1598">
      <c r="A1598" s="34"/>
      <c r="C1598" s="46"/>
    </row>
    <row r="1599">
      <c r="A1599" s="34"/>
      <c r="C1599" s="46"/>
    </row>
    <row r="1600">
      <c r="A1600" s="34"/>
      <c r="C1600" s="46"/>
    </row>
    <row r="1601">
      <c r="A1601" s="34"/>
      <c r="C1601" s="46"/>
    </row>
    <row r="1602">
      <c r="A1602" s="34"/>
      <c r="C1602" s="46"/>
    </row>
    <row r="1603">
      <c r="A1603" s="34"/>
      <c r="C1603" s="46"/>
    </row>
    <row r="1604">
      <c r="A1604" s="34"/>
      <c r="C1604" s="46"/>
    </row>
    <row r="1605">
      <c r="A1605" s="34"/>
      <c r="C1605" s="46"/>
    </row>
    <row r="1606">
      <c r="A1606" s="34"/>
      <c r="C1606" s="46"/>
    </row>
    <row r="1607">
      <c r="A1607" s="34"/>
      <c r="C1607" s="46"/>
    </row>
    <row r="1608">
      <c r="A1608" s="34"/>
      <c r="C1608" s="46"/>
    </row>
    <row r="1609">
      <c r="A1609" s="34"/>
      <c r="C1609" s="46"/>
    </row>
    <row r="1610">
      <c r="A1610" s="34"/>
      <c r="C1610" s="46"/>
    </row>
    <row r="1611">
      <c r="A1611" s="34"/>
      <c r="C1611" s="46"/>
    </row>
    <row r="1612">
      <c r="A1612" s="34"/>
      <c r="C1612" s="46"/>
    </row>
    <row r="1613">
      <c r="A1613" s="34"/>
      <c r="C1613" s="46"/>
    </row>
    <row r="1614">
      <c r="A1614" s="34"/>
      <c r="C1614" s="46"/>
    </row>
    <row r="1615">
      <c r="A1615" s="34"/>
      <c r="C1615" s="46"/>
    </row>
    <row r="1616">
      <c r="A1616" s="34"/>
      <c r="C1616" s="46"/>
    </row>
    <row r="1617">
      <c r="A1617" s="34"/>
      <c r="C1617" s="46"/>
    </row>
    <row r="1618">
      <c r="A1618" s="34"/>
      <c r="C1618" s="46"/>
    </row>
    <row r="1619">
      <c r="A1619" s="34"/>
      <c r="C1619" s="46"/>
    </row>
    <row r="1620">
      <c r="A1620" s="34"/>
      <c r="C1620" s="46"/>
    </row>
    <row r="1621">
      <c r="A1621" s="34"/>
      <c r="C1621" s="46"/>
    </row>
    <row r="1622">
      <c r="A1622" s="34"/>
      <c r="C1622" s="46"/>
    </row>
    <row r="1623">
      <c r="A1623" s="34"/>
      <c r="C1623" s="46"/>
    </row>
    <row r="1624">
      <c r="A1624" s="34"/>
      <c r="C1624" s="46"/>
    </row>
    <row r="1625">
      <c r="A1625" s="34"/>
      <c r="C1625" s="46"/>
    </row>
    <row r="1626">
      <c r="A1626" s="34"/>
      <c r="C1626" s="46"/>
    </row>
    <row r="1627">
      <c r="A1627" s="34"/>
      <c r="C1627" s="46"/>
    </row>
    <row r="1628">
      <c r="A1628" s="34"/>
      <c r="C1628" s="46"/>
    </row>
    <row r="1629">
      <c r="A1629" s="34"/>
      <c r="C1629" s="46"/>
    </row>
    <row r="1630">
      <c r="A1630" s="34"/>
      <c r="C1630" s="46"/>
    </row>
    <row r="1631">
      <c r="A1631" s="34"/>
      <c r="C1631" s="46"/>
    </row>
    <row r="1632">
      <c r="A1632" s="34"/>
      <c r="C1632" s="46"/>
    </row>
    <row r="1633">
      <c r="A1633" s="34"/>
      <c r="C1633" s="46"/>
    </row>
    <row r="1634">
      <c r="A1634" s="34"/>
      <c r="C1634" s="46"/>
    </row>
    <row r="1635">
      <c r="A1635" s="34"/>
      <c r="C1635" s="46"/>
    </row>
    <row r="1636">
      <c r="A1636" s="34"/>
      <c r="C1636" s="46"/>
    </row>
    <row r="1637">
      <c r="A1637" s="34"/>
      <c r="C1637" s="46"/>
    </row>
    <row r="1638">
      <c r="A1638" s="34"/>
      <c r="C1638" s="46"/>
    </row>
    <row r="1639">
      <c r="A1639" s="34"/>
      <c r="C1639" s="46"/>
    </row>
    <row r="1640">
      <c r="A1640" s="34"/>
      <c r="C1640" s="46"/>
    </row>
    <row r="1641">
      <c r="A1641" s="34"/>
      <c r="C1641" s="46"/>
    </row>
    <row r="1642">
      <c r="A1642" s="34"/>
      <c r="C1642" s="46"/>
    </row>
    <row r="1643">
      <c r="A1643" s="34"/>
      <c r="C1643" s="46"/>
    </row>
    <row r="1644">
      <c r="A1644" s="34"/>
      <c r="C1644" s="46"/>
    </row>
    <row r="1645">
      <c r="A1645" s="34"/>
      <c r="C1645" s="46"/>
    </row>
    <row r="1646">
      <c r="A1646" s="34"/>
      <c r="C1646" s="46"/>
    </row>
    <row r="1647">
      <c r="A1647" s="34"/>
      <c r="C1647" s="46"/>
    </row>
    <row r="1648">
      <c r="A1648" s="34"/>
      <c r="C1648" s="46"/>
    </row>
    <row r="1649">
      <c r="A1649" s="34"/>
      <c r="C1649" s="46"/>
    </row>
    <row r="1650">
      <c r="A1650" s="34"/>
      <c r="C1650" s="46"/>
    </row>
    <row r="1651">
      <c r="A1651" s="34"/>
      <c r="C1651" s="46"/>
    </row>
    <row r="1652">
      <c r="A1652" s="34"/>
      <c r="C1652" s="46"/>
    </row>
    <row r="1653">
      <c r="A1653" s="34"/>
      <c r="C1653" s="46"/>
    </row>
    <row r="1654">
      <c r="A1654" s="34"/>
      <c r="C1654" s="46"/>
    </row>
    <row r="1655">
      <c r="A1655" s="34"/>
      <c r="C1655" s="46"/>
    </row>
    <row r="1656">
      <c r="A1656" s="34"/>
      <c r="C1656" s="46"/>
    </row>
    <row r="1657">
      <c r="A1657" s="34"/>
      <c r="C1657" s="46"/>
    </row>
    <row r="1658">
      <c r="A1658" s="34"/>
      <c r="C1658" s="46"/>
    </row>
    <row r="1659">
      <c r="A1659" s="34"/>
      <c r="C1659" s="46"/>
    </row>
    <row r="1660">
      <c r="A1660" s="34"/>
      <c r="C1660" s="46"/>
    </row>
    <row r="1661">
      <c r="A1661" s="34"/>
      <c r="C1661" s="46"/>
    </row>
    <row r="1662">
      <c r="A1662" s="34"/>
      <c r="C1662" s="46"/>
    </row>
    <row r="1663">
      <c r="A1663" s="34"/>
      <c r="C1663" s="46"/>
    </row>
    <row r="1664">
      <c r="A1664" s="34"/>
      <c r="C1664" s="46"/>
    </row>
    <row r="1665">
      <c r="A1665" s="34"/>
      <c r="C1665" s="46"/>
    </row>
    <row r="1666">
      <c r="A1666" s="34"/>
      <c r="C1666" s="46"/>
    </row>
    <row r="1667">
      <c r="A1667" s="34"/>
      <c r="C1667" s="46"/>
    </row>
    <row r="1668">
      <c r="A1668" s="34"/>
      <c r="C1668" s="46"/>
    </row>
    <row r="1669">
      <c r="A1669" s="34"/>
      <c r="C1669" s="46"/>
    </row>
    <row r="1670">
      <c r="A1670" s="34"/>
      <c r="C1670" s="46"/>
    </row>
    <row r="1671">
      <c r="A1671" s="34"/>
      <c r="C1671" s="46"/>
    </row>
    <row r="1672">
      <c r="A1672" s="34"/>
      <c r="C1672" s="46"/>
    </row>
    <row r="1673">
      <c r="A1673" s="34"/>
      <c r="C1673" s="46"/>
    </row>
    <row r="1674">
      <c r="A1674" s="34"/>
      <c r="C1674" s="46"/>
    </row>
    <row r="1675">
      <c r="A1675" s="34"/>
      <c r="C1675" s="46"/>
    </row>
    <row r="1676">
      <c r="A1676" s="34"/>
      <c r="C1676" s="46"/>
    </row>
    <row r="1677">
      <c r="A1677" s="34"/>
      <c r="C1677" s="46"/>
    </row>
    <row r="1678">
      <c r="A1678" s="34"/>
      <c r="C1678" s="46"/>
    </row>
    <row r="1679">
      <c r="A1679" s="34"/>
      <c r="C1679" s="46"/>
    </row>
    <row r="1680">
      <c r="A1680" s="34"/>
      <c r="C1680" s="46"/>
    </row>
    <row r="1681">
      <c r="A1681" s="34"/>
      <c r="C1681" s="46"/>
    </row>
    <row r="1682">
      <c r="A1682" s="34"/>
      <c r="C1682" s="46"/>
    </row>
    <row r="1683">
      <c r="A1683" s="34"/>
      <c r="C1683" s="46"/>
    </row>
    <row r="1684">
      <c r="A1684" s="34"/>
      <c r="C1684" s="46"/>
    </row>
    <row r="1685">
      <c r="A1685" s="34"/>
      <c r="C1685" s="46"/>
    </row>
    <row r="1686">
      <c r="A1686" s="34"/>
      <c r="C1686" s="46"/>
    </row>
    <row r="1687">
      <c r="A1687" s="34"/>
      <c r="C1687" s="46"/>
    </row>
    <row r="1688">
      <c r="A1688" s="34"/>
      <c r="C1688" s="46"/>
    </row>
    <row r="1689">
      <c r="A1689" s="34"/>
      <c r="C1689" s="46"/>
    </row>
    <row r="1690">
      <c r="A1690" s="34"/>
      <c r="C1690" s="46"/>
    </row>
    <row r="1691">
      <c r="A1691" s="34"/>
      <c r="C1691" s="46"/>
    </row>
    <row r="1692">
      <c r="A1692" s="34"/>
      <c r="C1692" s="46"/>
    </row>
    <row r="1693">
      <c r="A1693" s="34"/>
      <c r="C1693" s="46"/>
    </row>
    <row r="1694">
      <c r="A1694" s="34"/>
      <c r="C1694" s="46"/>
    </row>
    <row r="1695">
      <c r="A1695" s="34"/>
      <c r="C1695" s="46"/>
    </row>
    <row r="1696">
      <c r="A1696" s="34"/>
      <c r="C1696" s="46"/>
    </row>
    <row r="1697">
      <c r="A1697" s="34"/>
      <c r="C1697" s="46"/>
    </row>
    <row r="1698">
      <c r="A1698" s="34"/>
      <c r="C1698" s="46"/>
    </row>
    <row r="1699">
      <c r="A1699" s="34"/>
      <c r="C1699" s="46"/>
    </row>
    <row r="1700">
      <c r="A1700" s="34"/>
      <c r="C1700" s="46"/>
    </row>
    <row r="1701">
      <c r="A1701" s="34"/>
      <c r="C1701" s="46"/>
    </row>
    <row r="1702">
      <c r="A1702" s="34"/>
      <c r="C1702" s="46"/>
    </row>
    <row r="1703">
      <c r="A1703" s="34"/>
      <c r="C1703" s="46"/>
    </row>
    <row r="1704">
      <c r="A1704" s="34"/>
      <c r="C1704" s="46"/>
    </row>
    <row r="1705">
      <c r="A1705" s="34"/>
      <c r="C1705" s="46"/>
    </row>
    <row r="1706">
      <c r="A1706" s="34"/>
      <c r="C1706" s="46"/>
    </row>
    <row r="1707">
      <c r="A1707" s="34"/>
      <c r="C1707" s="46"/>
    </row>
    <row r="1708">
      <c r="A1708" s="34"/>
      <c r="C1708" s="46"/>
    </row>
    <row r="1709">
      <c r="A1709" s="34"/>
      <c r="C1709" s="46"/>
    </row>
    <row r="1710">
      <c r="A1710" s="34"/>
      <c r="C1710" s="46"/>
    </row>
    <row r="1711">
      <c r="A1711" s="34"/>
      <c r="C1711" s="46"/>
    </row>
    <row r="1712">
      <c r="A1712" s="34"/>
      <c r="C1712" s="46"/>
    </row>
    <row r="1713">
      <c r="A1713" s="34"/>
      <c r="C1713" s="46"/>
    </row>
    <row r="1714">
      <c r="A1714" s="34"/>
      <c r="C1714" s="46"/>
    </row>
    <row r="1715">
      <c r="A1715" s="34"/>
      <c r="C1715" s="46"/>
    </row>
    <row r="1716">
      <c r="A1716" s="34"/>
      <c r="C1716" s="46"/>
    </row>
    <row r="1717">
      <c r="A1717" s="34"/>
      <c r="C1717" s="46"/>
    </row>
    <row r="1718">
      <c r="A1718" s="34"/>
      <c r="C1718" s="46"/>
    </row>
    <row r="1719">
      <c r="A1719" s="34"/>
      <c r="C1719" s="46"/>
    </row>
    <row r="1720">
      <c r="A1720" s="34"/>
      <c r="C1720" s="46"/>
    </row>
    <row r="1721">
      <c r="A1721" s="34"/>
      <c r="C1721" s="46"/>
    </row>
    <row r="1722">
      <c r="A1722" s="34"/>
      <c r="C1722" s="46"/>
    </row>
    <row r="1723">
      <c r="A1723" s="34"/>
      <c r="C1723" s="46"/>
    </row>
    <row r="1724">
      <c r="A1724" s="34"/>
      <c r="C1724" s="46"/>
    </row>
    <row r="1725">
      <c r="A1725" s="34"/>
      <c r="C1725" s="46"/>
    </row>
    <row r="1726">
      <c r="A1726" s="34"/>
      <c r="C1726" s="46"/>
    </row>
    <row r="1727">
      <c r="A1727" s="34"/>
      <c r="C1727" s="46"/>
    </row>
    <row r="1728">
      <c r="A1728" s="34"/>
      <c r="C1728" s="46"/>
    </row>
    <row r="1729">
      <c r="A1729" s="34"/>
      <c r="C1729" s="46"/>
    </row>
    <row r="1730">
      <c r="A1730" s="34"/>
      <c r="C1730" s="46"/>
    </row>
    <row r="1731">
      <c r="A1731" s="34"/>
      <c r="C1731" s="46"/>
    </row>
    <row r="1732">
      <c r="A1732" s="34"/>
      <c r="C1732" s="46"/>
    </row>
    <row r="1733">
      <c r="A1733" s="34"/>
      <c r="C1733" s="46"/>
    </row>
    <row r="1734">
      <c r="A1734" s="34"/>
      <c r="C1734" s="46"/>
    </row>
    <row r="1735">
      <c r="A1735" s="34"/>
      <c r="C1735" s="46"/>
    </row>
    <row r="1736">
      <c r="A1736" s="34"/>
      <c r="C1736" s="46"/>
    </row>
    <row r="1737">
      <c r="A1737" s="34"/>
      <c r="C1737" s="46"/>
    </row>
    <row r="1738">
      <c r="A1738" s="34"/>
      <c r="C1738" s="46"/>
    </row>
    <row r="1739">
      <c r="A1739" s="34"/>
      <c r="C1739" s="46"/>
    </row>
    <row r="1740">
      <c r="A1740" s="34"/>
      <c r="C1740" s="46"/>
    </row>
    <row r="1741">
      <c r="A1741" s="34"/>
      <c r="C1741" s="46"/>
    </row>
    <row r="1742">
      <c r="A1742" s="34"/>
      <c r="C1742" s="46"/>
    </row>
    <row r="1743">
      <c r="A1743" s="34"/>
      <c r="C1743" s="46"/>
    </row>
    <row r="1744">
      <c r="A1744" s="34"/>
      <c r="C1744" s="46"/>
    </row>
    <row r="1745">
      <c r="A1745" s="34"/>
      <c r="C1745" s="46"/>
    </row>
    <row r="1746">
      <c r="A1746" s="34"/>
      <c r="C1746" s="46"/>
    </row>
    <row r="1747">
      <c r="A1747" s="34"/>
      <c r="C1747" s="46"/>
    </row>
    <row r="1748">
      <c r="A1748" s="34"/>
      <c r="C1748" s="46"/>
    </row>
    <row r="1749">
      <c r="A1749" s="34"/>
      <c r="C1749" s="46"/>
    </row>
    <row r="1750">
      <c r="A1750" s="34"/>
      <c r="C1750" s="46"/>
    </row>
    <row r="1751">
      <c r="A1751" s="34"/>
      <c r="C1751" s="46"/>
    </row>
    <row r="1752">
      <c r="A1752" s="34"/>
      <c r="C1752" s="46"/>
    </row>
    <row r="1753">
      <c r="A1753" s="34"/>
      <c r="C1753" s="46"/>
    </row>
    <row r="1754">
      <c r="A1754" s="34"/>
      <c r="C1754" s="46"/>
    </row>
    <row r="1755">
      <c r="A1755" s="34"/>
      <c r="C1755" s="46"/>
    </row>
    <row r="1756">
      <c r="A1756" s="34"/>
      <c r="C1756" s="46"/>
    </row>
    <row r="1757">
      <c r="A1757" s="34"/>
      <c r="C1757" s="46"/>
    </row>
    <row r="1758">
      <c r="A1758" s="34"/>
      <c r="C1758" s="46"/>
    </row>
    <row r="1759">
      <c r="A1759" s="34"/>
      <c r="C1759" s="46"/>
    </row>
    <row r="1760">
      <c r="A1760" s="34"/>
      <c r="C1760" s="46"/>
    </row>
    <row r="1761">
      <c r="A1761" s="34"/>
      <c r="C1761" s="46"/>
    </row>
    <row r="1762">
      <c r="A1762" s="34"/>
      <c r="C1762" s="46"/>
    </row>
    <row r="1763">
      <c r="A1763" s="34"/>
      <c r="C1763" s="46"/>
    </row>
    <row r="1764">
      <c r="A1764" s="34"/>
      <c r="C1764" s="46"/>
    </row>
    <row r="1765">
      <c r="A1765" s="34"/>
      <c r="C1765" s="46"/>
    </row>
    <row r="1766">
      <c r="A1766" s="34"/>
      <c r="C1766" s="46"/>
    </row>
    <row r="1767">
      <c r="A1767" s="34"/>
      <c r="C1767" s="46"/>
    </row>
    <row r="1768">
      <c r="A1768" s="34"/>
      <c r="C1768" s="46"/>
    </row>
    <row r="1769">
      <c r="A1769" s="34"/>
      <c r="C1769" s="46"/>
    </row>
    <row r="1770">
      <c r="A1770" s="34"/>
      <c r="C1770" s="46"/>
    </row>
    <row r="1771">
      <c r="A1771" s="34"/>
      <c r="C1771" s="46"/>
    </row>
    <row r="1772">
      <c r="A1772" s="34"/>
      <c r="C1772" s="46"/>
    </row>
    <row r="1773">
      <c r="A1773" s="34"/>
      <c r="C1773" s="46"/>
    </row>
    <row r="1774">
      <c r="A1774" s="34"/>
      <c r="C1774" s="46"/>
    </row>
    <row r="1775">
      <c r="A1775" s="34"/>
      <c r="C1775" s="46"/>
    </row>
    <row r="1776">
      <c r="A1776" s="34"/>
      <c r="C1776" s="46"/>
    </row>
    <row r="1777">
      <c r="A1777" s="34"/>
      <c r="C1777" s="46"/>
    </row>
    <row r="1778">
      <c r="A1778" s="34"/>
      <c r="C1778" s="46"/>
    </row>
    <row r="1779">
      <c r="A1779" s="34"/>
      <c r="C1779" s="46"/>
    </row>
    <row r="1780">
      <c r="A1780" s="34"/>
      <c r="C1780" s="46"/>
    </row>
    <row r="1781">
      <c r="A1781" s="34"/>
      <c r="C1781" s="46"/>
    </row>
    <row r="1782">
      <c r="A1782" s="34"/>
      <c r="C1782" s="46"/>
    </row>
    <row r="1783">
      <c r="A1783" s="34"/>
      <c r="C1783" s="46"/>
    </row>
    <row r="1784">
      <c r="A1784" s="34"/>
      <c r="C1784" s="46"/>
    </row>
    <row r="1785">
      <c r="A1785" s="34"/>
      <c r="C1785" s="46"/>
    </row>
    <row r="1786">
      <c r="A1786" s="34"/>
      <c r="C1786" s="46"/>
    </row>
    <row r="1787">
      <c r="A1787" s="34"/>
      <c r="C1787" s="46"/>
    </row>
    <row r="1788">
      <c r="A1788" s="34"/>
      <c r="C1788" s="46"/>
    </row>
    <row r="1789">
      <c r="A1789" s="34"/>
      <c r="C1789" s="46"/>
    </row>
    <row r="1790">
      <c r="A1790" s="34"/>
      <c r="C1790" s="46"/>
    </row>
    <row r="1791">
      <c r="A1791" s="34"/>
      <c r="C1791" s="46"/>
    </row>
    <row r="1792">
      <c r="A1792" s="34"/>
      <c r="C1792" s="46"/>
    </row>
    <row r="1793">
      <c r="A1793" s="34"/>
      <c r="C1793" s="46"/>
    </row>
    <row r="1794">
      <c r="A1794" s="34"/>
      <c r="C1794" s="46"/>
    </row>
    <row r="1795">
      <c r="A1795" s="34"/>
      <c r="C1795" s="46"/>
    </row>
    <row r="1796">
      <c r="A1796" s="34"/>
      <c r="C1796" s="46"/>
    </row>
    <row r="1797">
      <c r="A1797" s="34"/>
      <c r="C1797" s="46"/>
    </row>
    <row r="1798">
      <c r="A1798" s="34"/>
      <c r="C1798" s="46"/>
    </row>
    <row r="1799">
      <c r="A1799" s="34"/>
      <c r="C1799" s="46"/>
    </row>
    <row r="1800">
      <c r="A1800" s="34"/>
      <c r="C1800" s="46"/>
    </row>
    <row r="1801">
      <c r="A1801" s="34"/>
      <c r="C1801" s="46"/>
    </row>
    <row r="1802">
      <c r="A1802" s="34"/>
      <c r="C1802" s="46"/>
    </row>
    <row r="1803">
      <c r="A1803" s="34"/>
      <c r="C1803" s="46"/>
    </row>
    <row r="1804">
      <c r="A1804" s="34"/>
      <c r="C1804" s="46"/>
    </row>
    <row r="1805">
      <c r="A1805" s="34"/>
      <c r="C1805" s="46"/>
    </row>
    <row r="1806">
      <c r="A1806" s="34"/>
      <c r="C1806" s="46"/>
    </row>
    <row r="1807">
      <c r="A1807" s="34"/>
      <c r="C1807" s="46"/>
    </row>
    <row r="1808">
      <c r="A1808" s="34"/>
      <c r="C1808" s="46"/>
    </row>
    <row r="1809">
      <c r="A1809" s="34"/>
      <c r="C1809" s="46"/>
    </row>
    <row r="1810">
      <c r="A1810" s="34"/>
      <c r="C1810" s="46"/>
    </row>
    <row r="1811">
      <c r="A1811" s="34"/>
      <c r="C1811" s="46"/>
    </row>
    <row r="1812">
      <c r="A1812" s="34"/>
      <c r="C1812" s="46"/>
    </row>
    <row r="1813">
      <c r="A1813" s="34"/>
      <c r="C1813" s="46"/>
    </row>
    <row r="1814">
      <c r="A1814" s="34"/>
      <c r="C1814" s="46"/>
    </row>
    <row r="1815">
      <c r="A1815" s="34"/>
      <c r="C1815" s="46"/>
    </row>
    <row r="1816">
      <c r="A1816" s="34"/>
      <c r="C1816" s="46"/>
    </row>
    <row r="1817">
      <c r="A1817" s="34"/>
      <c r="C1817" s="46"/>
    </row>
    <row r="1818">
      <c r="A1818" s="34"/>
      <c r="C1818" s="46"/>
    </row>
    <row r="1819">
      <c r="A1819" s="34"/>
      <c r="C1819" s="46"/>
    </row>
    <row r="1820">
      <c r="A1820" s="34"/>
      <c r="C1820" s="46"/>
    </row>
    <row r="1821">
      <c r="A1821" s="34"/>
      <c r="C1821" s="46"/>
    </row>
    <row r="1822">
      <c r="A1822" s="34"/>
      <c r="C1822" s="46"/>
    </row>
    <row r="1823">
      <c r="A1823" s="34"/>
      <c r="C1823" s="46"/>
    </row>
    <row r="1824">
      <c r="A1824" s="34"/>
      <c r="C1824" s="46"/>
    </row>
    <row r="1825">
      <c r="A1825" s="34"/>
      <c r="C1825" s="46"/>
    </row>
    <row r="1826">
      <c r="A1826" s="34"/>
      <c r="C1826" s="46"/>
    </row>
    <row r="1827">
      <c r="A1827" s="34"/>
      <c r="C1827" s="46"/>
    </row>
    <row r="1828">
      <c r="A1828" s="34"/>
      <c r="C1828" s="46"/>
    </row>
    <row r="1829">
      <c r="A1829" s="34"/>
      <c r="C1829" s="46"/>
    </row>
    <row r="1830">
      <c r="A1830" s="34"/>
      <c r="C1830" s="46"/>
    </row>
    <row r="1831">
      <c r="A1831" s="34"/>
      <c r="C1831" s="46"/>
    </row>
    <row r="1832">
      <c r="A1832" s="34"/>
      <c r="C1832" s="46"/>
    </row>
    <row r="1833">
      <c r="A1833" s="34"/>
      <c r="C1833" s="46"/>
    </row>
    <row r="1834">
      <c r="A1834" s="34"/>
      <c r="C1834" s="46"/>
    </row>
    <row r="1835">
      <c r="A1835" s="34"/>
      <c r="C1835" s="46"/>
    </row>
    <row r="1836">
      <c r="A1836" s="34"/>
      <c r="C1836" s="46"/>
    </row>
    <row r="1837">
      <c r="A1837" s="34"/>
      <c r="C1837" s="46"/>
    </row>
    <row r="1838">
      <c r="A1838" s="34"/>
      <c r="C1838" s="46"/>
    </row>
    <row r="1839">
      <c r="A1839" s="34"/>
      <c r="C1839" s="46"/>
    </row>
    <row r="1840">
      <c r="A1840" s="34"/>
      <c r="C1840" s="46"/>
    </row>
    <row r="1841">
      <c r="A1841" s="34"/>
      <c r="C1841" s="46"/>
    </row>
    <row r="1842">
      <c r="A1842" s="34"/>
      <c r="C1842" s="46"/>
    </row>
    <row r="1843">
      <c r="A1843" s="34"/>
      <c r="C1843" s="46"/>
    </row>
    <row r="1844">
      <c r="A1844" s="34"/>
      <c r="C1844" s="46"/>
    </row>
    <row r="1845">
      <c r="A1845" s="34"/>
      <c r="C1845" s="46"/>
    </row>
    <row r="1846">
      <c r="A1846" s="34"/>
      <c r="C1846" s="46"/>
    </row>
    <row r="1847">
      <c r="A1847" s="34"/>
      <c r="C1847" s="46"/>
    </row>
    <row r="1848">
      <c r="A1848" s="34"/>
      <c r="C1848" s="46"/>
    </row>
    <row r="1849">
      <c r="A1849" s="34"/>
      <c r="C1849" s="46"/>
    </row>
    <row r="1850">
      <c r="A1850" s="34"/>
      <c r="C1850" s="46"/>
    </row>
    <row r="1851">
      <c r="A1851" s="34"/>
      <c r="C1851" s="46"/>
    </row>
    <row r="1852">
      <c r="A1852" s="34"/>
      <c r="C1852" s="46"/>
    </row>
    <row r="1853">
      <c r="A1853" s="34"/>
      <c r="C1853" s="46"/>
    </row>
    <row r="1854">
      <c r="A1854" s="34"/>
      <c r="C1854" s="46"/>
    </row>
    <row r="1855">
      <c r="A1855" s="34"/>
      <c r="C1855" s="46"/>
    </row>
    <row r="1856">
      <c r="A1856" s="34"/>
      <c r="C1856" s="46"/>
    </row>
    <row r="1857">
      <c r="A1857" s="34"/>
      <c r="C1857" s="46"/>
    </row>
    <row r="1858">
      <c r="A1858" s="34"/>
      <c r="C1858" s="46"/>
    </row>
    <row r="1859">
      <c r="A1859" s="34"/>
      <c r="C1859" s="46"/>
    </row>
    <row r="1860">
      <c r="A1860" s="34"/>
      <c r="C1860" s="46"/>
    </row>
    <row r="1861">
      <c r="A1861" s="34"/>
      <c r="C1861" s="46"/>
    </row>
    <row r="1862">
      <c r="A1862" s="34"/>
      <c r="C1862" s="46"/>
    </row>
    <row r="1863">
      <c r="A1863" s="34"/>
      <c r="C1863" s="46"/>
    </row>
    <row r="1864">
      <c r="A1864" s="34"/>
      <c r="C1864" s="46"/>
    </row>
    <row r="1865">
      <c r="A1865" s="34"/>
      <c r="C1865" s="46"/>
    </row>
    <row r="1866">
      <c r="A1866" s="34"/>
      <c r="C1866" s="46"/>
    </row>
    <row r="1867">
      <c r="A1867" s="34"/>
      <c r="C1867" s="46"/>
    </row>
    <row r="1868">
      <c r="A1868" s="34"/>
      <c r="C1868" s="46"/>
    </row>
    <row r="1869">
      <c r="A1869" s="34"/>
      <c r="C1869" s="46"/>
    </row>
    <row r="1870">
      <c r="A1870" s="34"/>
      <c r="C1870" s="46"/>
    </row>
    <row r="1871">
      <c r="A1871" s="34"/>
      <c r="C1871" s="46"/>
    </row>
    <row r="1872">
      <c r="A1872" s="34"/>
      <c r="C1872" s="46"/>
    </row>
    <row r="1873">
      <c r="A1873" s="34"/>
      <c r="C1873" s="46"/>
    </row>
    <row r="1874">
      <c r="A1874" s="34"/>
      <c r="C1874" s="46"/>
    </row>
    <row r="1875">
      <c r="A1875" s="34"/>
      <c r="C1875" s="46"/>
    </row>
    <row r="1876">
      <c r="A1876" s="34"/>
      <c r="C1876" s="46"/>
    </row>
    <row r="1877">
      <c r="A1877" s="34"/>
      <c r="C1877" s="46"/>
    </row>
    <row r="1878">
      <c r="A1878" s="34"/>
      <c r="C1878" s="46"/>
    </row>
    <row r="1879">
      <c r="A1879" s="34"/>
      <c r="C1879" s="46"/>
    </row>
    <row r="1880">
      <c r="A1880" s="34"/>
      <c r="C1880" s="46"/>
    </row>
    <row r="1881">
      <c r="A1881" s="34"/>
      <c r="C1881" s="46"/>
    </row>
    <row r="1882">
      <c r="A1882" s="34"/>
      <c r="C1882" s="46"/>
    </row>
    <row r="1883">
      <c r="A1883" s="34"/>
      <c r="C1883" s="46"/>
    </row>
    <row r="1884">
      <c r="A1884" s="34"/>
      <c r="C1884" s="46"/>
    </row>
    <row r="1885">
      <c r="A1885" s="34"/>
      <c r="C1885" s="46"/>
    </row>
    <row r="1886">
      <c r="A1886" s="34"/>
      <c r="C1886" s="46"/>
    </row>
    <row r="1887">
      <c r="A1887" s="34"/>
      <c r="C1887" s="46"/>
    </row>
    <row r="1888">
      <c r="A1888" s="34"/>
      <c r="C1888" s="46"/>
    </row>
    <row r="1889">
      <c r="A1889" s="34"/>
      <c r="C1889" s="46"/>
    </row>
    <row r="1890">
      <c r="A1890" s="34"/>
      <c r="C1890" s="46"/>
    </row>
    <row r="1891">
      <c r="A1891" s="34"/>
      <c r="C1891" s="46"/>
    </row>
    <row r="1892">
      <c r="A1892" s="34"/>
      <c r="C1892" s="46"/>
    </row>
    <row r="1893">
      <c r="A1893" s="34"/>
      <c r="C1893" s="46"/>
    </row>
    <row r="1894">
      <c r="A1894" s="34"/>
      <c r="C1894" s="46"/>
    </row>
    <row r="1895">
      <c r="A1895" s="34"/>
      <c r="C1895" s="46"/>
    </row>
    <row r="1896">
      <c r="A1896" s="34"/>
      <c r="C1896" s="46"/>
    </row>
    <row r="1897">
      <c r="A1897" s="34"/>
      <c r="C1897" s="46"/>
    </row>
    <row r="1898">
      <c r="A1898" s="34"/>
      <c r="C1898" s="46"/>
    </row>
    <row r="1899">
      <c r="A1899" s="34"/>
      <c r="C1899" s="46"/>
    </row>
    <row r="1900">
      <c r="A1900" s="34"/>
      <c r="C1900" s="46"/>
    </row>
    <row r="1901">
      <c r="A1901" s="34"/>
      <c r="C1901" s="46"/>
    </row>
    <row r="1902">
      <c r="A1902" s="34"/>
      <c r="C1902" s="46"/>
    </row>
    <row r="1903">
      <c r="A1903" s="34"/>
      <c r="C1903" s="46"/>
    </row>
    <row r="1904">
      <c r="A1904" s="34"/>
      <c r="C1904" s="46"/>
    </row>
    <row r="1905">
      <c r="A1905" s="34"/>
      <c r="C1905" s="46"/>
    </row>
    <row r="1906">
      <c r="A1906" s="34"/>
      <c r="C1906" s="46"/>
    </row>
    <row r="1907">
      <c r="A1907" s="34"/>
      <c r="C1907" s="46"/>
    </row>
    <row r="1908">
      <c r="A1908" s="34"/>
      <c r="C1908" s="46"/>
    </row>
    <row r="1909">
      <c r="A1909" s="34"/>
      <c r="C1909" s="46"/>
    </row>
    <row r="1910">
      <c r="A1910" s="34"/>
      <c r="C1910" s="46"/>
    </row>
    <row r="1911">
      <c r="A1911" s="34"/>
      <c r="C1911" s="46"/>
    </row>
    <row r="1912">
      <c r="A1912" s="34"/>
      <c r="C1912" s="46"/>
    </row>
    <row r="1913">
      <c r="A1913" s="34"/>
      <c r="C1913" s="46"/>
    </row>
    <row r="1914">
      <c r="A1914" s="34"/>
      <c r="C1914" s="46"/>
    </row>
    <row r="1915">
      <c r="A1915" s="34"/>
      <c r="C1915" s="46"/>
    </row>
    <row r="1916">
      <c r="A1916" s="34"/>
      <c r="C1916" s="46"/>
    </row>
    <row r="1917">
      <c r="A1917" s="34"/>
      <c r="C1917" s="46"/>
    </row>
    <row r="1918">
      <c r="A1918" s="34"/>
      <c r="C1918" s="46"/>
    </row>
    <row r="1919">
      <c r="A1919" s="34"/>
      <c r="C1919" s="46"/>
    </row>
    <row r="1920">
      <c r="A1920" s="34"/>
      <c r="C1920" s="46"/>
    </row>
    <row r="1921">
      <c r="A1921" s="34"/>
      <c r="C1921" s="46"/>
    </row>
    <row r="1922">
      <c r="A1922" s="34"/>
      <c r="C1922" s="46"/>
    </row>
    <row r="1923">
      <c r="A1923" s="34"/>
      <c r="C1923" s="46"/>
    </row>
    <row r="1924">
      <c r="A1924" s="34"/>
      <c r="C1924" s="46"/>
    </row>
    <row r="1925">
      <c r="A1925" s="34"/>
      <c r="C1925" s="46"/>
    </row>
    <row r="1926">
      <c r="A1926" s="34"/>
      <c r="C1926" s="46"/>
    </row>
    <row r="1927">
      <c r="A1927" s="34"/>
      <c r="C1927" s="46"/>
    </row>
    <row r="1928">
      <c r="A1928" s="34"/>
      <c r="C1928" s="46"/>
    </row>
    <row r="1929">
      <c r="A1929" s="34"/>
      <c r="C1929" s="46"/>
    </row>
    <row r="1930">
      <c r="C1930" s="46"/>
    </row>
    <row r="1931">
      <c r="C1931" s="46"/>
    </row>
    <row r="1932">
      <c r="C1932" s="46"/>
    </row>
    <row r="1933">
      <c r="C1933" s="46"/>
    </row>
    <row r="1934">
      <c r="C1934" s="46"/>
    </row>
    <row r="1935">
      <c r="C1935" s="46"/>
    </row>
    <row r="1936">
      <c r="C1936" s="46"/>
    </row>
    <row r="1937">
      <c r="C1937" s="46"/>
    </row>
    <row r="1938">
      <c r="C1938" s="46"/>
    </row>
    <row r="1939">
      <c r="C1939" s="46"/>
    </row>
    <row r="1940">
      <c r="C1940" s="46"/>
    </row>
    <row r="1941">
      <c r="C1941" s="46"/>
    </row>
    <row r="1942">
      <c r="C1942" s="46"/>
    </row>
    <row r="1943">
      <c r="C1943" s="46"/>
    </row>
    <row r="1944">
      <c r="C1944" s="46"/>
    </row>
    <row r="1945">
      <c r="C1945" s="46"/>
    </row>
    <row r="1946">
      <c r="C1946" s="46"/>
    </row>
    <row r="1947">
      <c r="C1947" s="46"/>
    </row>
    <row r="1948">
      <c r="C1948" s="46"/>
    </row>
    <row r="1949">
      <c r="C1949" s="46"/>
    </row>
    <row r="1950">
      <c r="C1950" s="46"/>
    </row>
    <row r="1951">
      <c r="C1951" s="46"/>
    </row>
    <row r="1952">
      <c r="C1952" s="46"/>
    </row>
    <row r="1953">
      <c r="C1953" s="46"/>
    </row>
    <row r="1954">
      <c r="C1954" s="46"/>
    </row>
    <row r="1955">
      <c r="C1955" s="46"/>
    </row>
    <row r="1956">
      <c r="C1956" s="46"/>
    </row>
    <row r="1957">
      <c r="C1957" s="46"/>
    </row>
    <row r="1958">
      <c r="C1958" s="46"/>
    </row>
    <row r="1959">
      <c r="C1959" s="46"/>
    </row>
    <row r="1960">
      <c r="C1960" s="46"/>
    </row>
    <row r="1961">
      <c r="C1961" s="46"/>
    </row>
    <row r="1962">
      <c r="C1962" s="46"/>
    </row>
    <row r="1963">
      <c r="C1963" s="46"/>
    </row>
    <row r="1964">
      <c r="C1964" s="46"/>
    </row>
    <row r="1965">
      <c r="C1965" s="46"/>
    </row>
    <row r="1966">
      <c r="C1966" s="46"/>
    </row>
    <row r="1967">
      <c r="C1967" s="46"/>
    </row>
    <row r="1968">
      <c r="C1968" s="46"/>
    </row>
    <row r="1969">
      <c r="C1969" s="46"/>
    </row>
    <row r="1970">
      <c r="C1970" s="46"/>
    </row>
    <row r="1971">
      <c r="C1971" s="46"/>
    </row>
    <row r="1972">
      <c r="C1972" s="46"/>
    </row>
    <row r="1973">
      <c r="C1973" s="46"/>
    </row>
    <row r="1974">
      <c r="C1974" s="46"/>
    </row>
    <row r="1975">
      <c r="C1975" s="46"/>
    </row>
    <row r="1976">
      <c r="C1976" s="46"/>
    </row>
    <row r="1977">
      <c r="C1977" s="46"/>
    </row>
    <row r="1978">
      <c r="C1978" s="46"/>
    </row>
    <row r="1979">
      <c r="C1979" s="46"/>
    </row>
    <row r="1980">
      <c r="C1980" s="46"/>
    </row>
    <row r="1981">
      <c r="C1981" s="46"/>
    </row>
    <row r="1982">
      <c r="C1982" s="46"/>
    </row>
    <row r="1983">
      <c r="C1983" s="46"/>
    </row>
    <row r="1984">
      <c r="C1984" s="46"/>
    </row>
    <row r="1985">
      <c r="C1985" s="46"/>
    </row>
    <row r="1986">
      <c r="C1986" s="46"/>
    </row>
    <row r="1987">
      <c r="C1987" s="46"/>
    </row>
    <row r="1988">
      <c r="C1988" s="46"/>
    </row>
    <row r="1989">
      <c r="C1989" s="46"/>
    </row>
    <row r="1990">
      <c r="C1990" s="46"/>
    </row>
    <row r="1991">
      <c r="C1991" s="46"/>
    </row>
    <row r="1992">
      <c r="C1992" s="46"/>
    </row>
    <row r="1993">
      <c r="C1993" s="46"/>
    </row>
    <row r="1994">
      <c r="C1994" s="46"/>
    </row>
    <row r="1995">
      <c r="C1995" s="46"/>
    </row>
    <row r="1996">
      <c r="C1996" s="46"/>
    </row>
    <row r="1997">
      <c r="C1997" s="46"/>
    </row>
    <row r="1998">
      <c r="C1998" s="46"/>
    </row>
    <row r="1999">
      <c r="C1999" s="46"/>
    </row>
    <row r="2000">
      <c r="C2000" s="46"/>
    </row>
    <row r="2001">
      <c r="C2001" s="46"/>
    </row>
    <row r="2002">
      <c r="C2002" s="46"/>
    </row>
    <row r="2003">
      <c r="C2003" s="46"/>
    </row>
    <row r="2004">
      <c r="C2004" s="46"/>
    </row>
    <row r="2005">
      <c r="C2005" s="46"/>
    </row>
    <row r="2006">
      <c r="C2006" s="46"/>
    </row>
    <row r="2007">
      <c r="C2007" s="46"/>
    </row>
    <row r="2008">
      <c r="C2008" s="46"/>
    </row>
    <row r="2009">
      <c r="C2009" s="46"/>
    </row>
    <row r="2010">
      <c r="C2010" s="46"/>
    </row>
    <row r="2011">
      <c r="C2011" s="46"/>
    </row>
    <row r="2012">
      <c r="C2012" s="46"/>
    </row>
    <row r="2013">
      <c r="C2013" s="46"/>
    </row>
    <row r="2014">
      <c r="C2014" s="46"/>
    </row>
    <row r="2015">
      <c r="C2015" s="46"/>
    </row>
    <row r="2016">
      <c r="C2016" s="46"/>
    </row>
    <row r="2017">
      <c r="C2017" s="46"/>
    </row>
    <row r="2018">
      <c r="C2018" s="46"/>
    </row>
    <row r="2019">
      <c r="C2019" s="46"/>
    </row>
    <row r="2020">
      <c r="C2020" s="46"/>
    </row>
    <row r="2021">
      <c r="C2021" s="46"/>
    </row>
    <row r="2022">
      <c r="C2022" s="46"/>
    </row>
    <row r="2023">
      <c r="C2023" s="46"/>
    </row>
    <row r="2024">
      <c r="C2024" s="46"/>
    </row>
    <row r="2025">
      <c r="C2025" s="46"/>
    </row>
    <row r="2026">
      <c r="C2026" s="46"/>
    </row>
    <row r="2027">
      <c r="C2027" s="46"/>
    </row>
    <row r="2028">
      <c r="C2028" s="46"/>
    </row>
    <row r="2029">
      <c r="C2029" s="46"/>
    </row>
    <row r="2030">
      <c r="C2030" s="46"/>
    </row>
    <row r="2031">
      <c r="C2031" s="46"/>
    </row>
    <row r="2032">
      <c r="C2032" s="46"/>
    </row>
    <row r="2033">
      <c r="C2033" s="46"/>
    </row>
    <row r="2034">
      <c r="C2034" s="46"/>
    </row>
    <row r="2035">
      <c r="C2035" s="46"/>
    </row>
    <row r="2036">
      <c r="C2036" s="46"/>
    </row>
    <row r="2037">
      <c r="C2037" s="46"/>
    </row>
    <row r="2038">
      <c r="C2038" s="46"/>
    </row>
    <row r="2039">
      <c r="C2039" s="46"/>
    </row>
    <row r="2040">
      <c r="C2040" s="46"/>
    </row>
    <row r="2041">
      <c r="C2041" s="46"/>
    </row>
    <row r="2042">
      <c r="C2042" s="46"/>
    </row>
    <row r="2043">
      <c r="C2043" s="46"/>
    </row>
    <row r="2044">
      <c r="C2044" s="46"/>
    </row>
    <row r="2045">
      <c r="C2045" s="46"/>
    </row>
    <row r="2046">
      <c r="C2046" s="46"/>
    </row>
    <row r="2047">
      <c r="C2047" s="46"/>
    </row>
    <row r="2048">
      <c r="C2048" s="46"/>
    </row>
    <row r="2049">
      <c r="C2049" s="46"/>
    </row>
    <row r="2050">
      <c r="C2050" s="46"/>
    </row>
    <row r="2051">
      <c r="C2051" s="46"/>
    </row>
    <row r="2052">
      <c r="C2052" s="46"/>
    </row>
    <row r="2053">
      <c r="C2053" s="46"/>
    </row>
    <row r="2054">
      <c r="C2054" s="46"/>
    </row>
    <row r="2055">
      <c r="C2055" s="46"/>
    </row>
    <row r="2056">
      <c r="C2056" s="46"/>
    </row>
    <row r="2057">
      <c r="C2057" s="46"/>
    </row>
    <row r="2058">
      <c r="C2058" s="46"/>
    </row>
    <row r="2059">
      <c r="C2059" s="46"/>
    </row>
    <row r="2060">
      <c r="C2060" s="46"/>
    </row>
    <row r="2061">
      <c r="C2061" s="46"/>
    </row>
    <row r="2062">
      <c r="C2062" s="46"/>
    </row>
    <row r="2063">
      <c r="C2063" s="46"/>
    </row>
    <row r="2064">
      <c r="C2064" s="46"/>
    </row>
    <row r="2065">
      <c r="C2065" s="46"/>
    </row>
    <row r="2066">
      <c r="C2066" s="46"/>
    </row>
    <row r="2067">
      <c r="C2067" s="46"/>
    </row>
    <row r="2068">
      <c r="C2068" s="46"/>
    </row>
    <row r="2069">
      <c r="C2069" s="46"/>
    </row>
    <row r="2070">
      <c r="C2070" s="46"/>
    </row>
    <row r="2071">
      <c r="C2071" s="46"/>
    </row>
    <row r="2072">
      <c r="C2072" s="46"/>
    </row>
    <row r="2073">
      <c r="C2073" s="46"/>
    </row>
    <row r="2074">
      <c r="C2074" s="46"/>
    </row>
    <row r="2075">
      <c r="C2075" s="46"/>
    </row>
    <row r="2076">
      <c r="C2076" s="46"/>
    </row>
    <row r="2077">
      <c r="C2077" s="46"/>
    </row>
    <row r="2078">
      <c r="C2078" s="46"/>
    </row>
    <row r="2079">
      <c r="C2079" s="46"/>
    </row>
    <row r="2080">
      <c r="C2080" s="46"/>
    </row>
    <row r="2081">
      <c r="C2081" s="46"/>
    </row>
    <row r="2082">
      <c r="C2082" s="46"/>
    </row>
    <row r="2083">
      <c r="C2083" s="46"/>
    </row>
    <row r="2084">
      <c r="C2084" s="46"/>
    </row>
    <row r="2085">
      <c r="C2085" s="46"/>
    </row>
    <row r="2086">
      <c r="C2086" s="46"/>
    </row>
    <row r="2087">
      <c r="C2087" s="46"/>
    </row>
    <row r="2088">
      <c r="C2088" s="46"/>
    </row>
    <row r="2089">
      <c r="C2089" s="46"/>
    </row>
    <row r="2090">
      <c r="C2090" s="46"/>
    </row>
    <row r="2091">
      <c r="C2091" s="46"/>
    </row>
    <row r="2092">
      <c r="C2092" s="46"/>
    </row>
    <row r="2093">
      <c r="C2093" s="46"/>
    </row>
    <row r="2094">
      <c r="C2094" s="46"/>
    </row>
    <row r="2095">
      <c r="C2095" s="46"/>
    </row>
    <row r="2096">
      <c r="C2096" s="46"/>
    </row>
    <row r="2097">
      <c r="C2097" s="46"/>
    </row>
    <row r="2098">
      <c r="C2098" s="46"/>
    </row>
    <row r="2099">
      <c r="C2099" s="46"/>
    </row>
    <row r="2100">
      <c r="C2100" s="46"/>
    </row>
    <row r="2101">
      <c r="C2101" s="46"/>
    </row>
    <row r="2102">
      <c r="C2102" s="46"/>
    </row>
    <row r="2103">
      <c r="C2103" s="46"/>
    </row>
    <row r="2104">
      <c r="C2104" s="46"/>
    </row>
    <row r="2105">
      <c r="C2105" s="46"/>
    </row>
    <row r="2106">
      <c r="C2106" s="46"/>
    </row>
    <row r="2107">
      <c r="C2107" s="46"/>
    </row>
    <row r="2108">
      <c r="C2108" s="46"/>
    </row>
    <row r="2109">
      <c r="C2109" s="46"/>
    </row>
    <row r="2110">
      <c r="C2110" s="46"/>
    </row>
    <row r="2111">
      <c r="C2111" s="46"/>
    </row>
    <row r="2112">
      <c r="C2112" s="46"/>
    </row>
    <row r="2113">
      <c r="C2113" s="46"/>
    </row>
    <row r="2114">
      <c r="C2114" s="46"/>
    </row>
    <row r="2115">
      <c r="C2115" s="46"/>
    </row>
    <row r="2116">
      <c r="C2116" s="46"/>
    </row>
    <row r="2117">
      <c r="C2117" s="46"/>
    </row>
    <row r="2118">
      <c r="C2118" s="46"/>
    </row>
    <row r="2119">
      <c r="C2119" s="46"/>
    </row>
    <row r="2120">
      <c r="C2120" s="46"/>
    </row>
    <row r="2121">
      <c r="C2121" s="46"/>
    </row>
    <row r="2122">
      <c r="C2122" s="46"/>
    </row>
    <row r="2123">
      <c r="C2123" s="46"/>
    </row>
    <row r="2124">
      <c r="C2124" s="46"/>
    </row>
    <row r="2125">
      <c r="C2125" s="46"/>
    </row>
    <row r="2126">
      <c r="C2126" s="46"/>
    </row>
    <row r="2127">
      <c r="C2127" s="46"/>
    </row>
    <row r="2128">
      <c r="C2128" s="46"/>
    </row>
    <row r="2129">
      <c r="C2129" s="46"/>
    </row>
    <row r="2130">
      <c r="C2130" s="46"/>
    </row>
    <row r="2131">
      <c r="C2131" s="46"/>
    </row>
    <row r="2132">
      <c r="C2132" s="46"/>
    </row>
    <row r="2133">
      <c r="C2133" s="46"/>
    </row>
    <row r="2134">
      <c r="C2134" s="46"/>
    </row>
    <row r="2135">
      <c r="C2135" s="46"/>
    </row>
    <row r="2136">
      <c r="C2136" s="46"/>
    </row>
    <row r="2137">
      <c r="C2137" s="46"/>
    </row>
    <row r="2138">
      <c r="C2138" s="46"/>
    </row>
    <row r="2139">
      <c r="C2139" s="46"/>
    </row>
    <row r="2140">
      <c r="C2140" s="46"/>
    </row>
    <row r="2141">
      <c r="C2141" s="46"/>
    </row>
    <row r="2142">
      <c r="C2142" s="46"/>
    </row>
    <row r="2143">
      <c r="C2143" s="46"/>
    </row>
    <row r="2144">
      <c r="C2144" s="46"/>
    </row>
    <row r="2145">
      <c r="C2145" s="46"/>
    </row>
    <row r="2146">
      <c r="C2146" s="46"/>
    </row>
    <row r="2147">
      <c r="C2147" s="46"/>
    </row>
    <row r="2148">
      <c r="C2148" s="46"/>
    </row>
    <row r="2149">
      <c r="C2149" s="46"/>
    </row>
    <row r="2150">
      <c r="C2150" s="46"/>
    </row>
    <row r="2151">
      <c r="C2151" s="46"/>
    </row>
    <row r="2152">
      <c r="C2152" s="46"/>
    </row>
    <row r="2153">
      <c r="C2153" s="46"/>
    </row>
    <row r="2154">
      <c r="C2154" s="46"/>
    </row>
    <row r="2155">
      <c r="C2155" s="46"/>
    </row>
    <row r="2156">
      <c r="C2156" s="46"/>
    </row>
    <row r="2157">
      <c r="C2157" s="46"/>
    </row>
    <row r="2158">
      <c r="C2158" s="46"/>
    </row>
    <row r="2159">
      <c r="C2159" s="46"/>
    </row>
    <row r="2160">
      <c r="C2160" s="46"/>
    </row>
    <row r="2161">
      <c r="C2161" s="46"/>
    </row>
    <row r="2162">
      <c r="C2162" s="46"/>
    </row>
    <row r="2163">
      <c r="C2163" s="46"/>
    </row>
    <row r="2164">
      <c r="C2164" s="46"/>
    </row>
    <row r="2165">
      <c r="C2165" s="46"/>
    </row>
    <row r="2166">
      <c r="C2166" s="46"/>
    </row>
    <row r="2167">
      <c r="C2167" s="46"/>
    </row>
    <row r="2168">
      <c r="C2168" s="46"/>
    </row>
    <row r="2169">
      <c r="C2169" s="46"/>
    </row>
    <row r="2170">
      <c r="C2170" s="46"/>
    </row>
    <row r="2171">
      <c r="C2171" s="46"/>
    </row>
    <row r="2172">
      <c r="C2172" s="46"/>
    </row>
    <row r="2173">
      <c r="C2173" s="46"/>
    </row>
    <row r="2174">
      <c r="C2174" s="46"/>
    </row>
    <row r="2175">
      <c r="C2175" s="46"/>
    </row>
    <row r="2176">
      <c r="C2176" s="46"/>
    </row>
    <row r="2177">
      <c r="C2177" s="46"/>
    </row>
    <row r="2178">
      <c r="C2178" s="46"/>
    </row>
    <row r="2179">
      <c r="C2179" s="46"/>
    </row>
    <row r="2180">
      <c r="C2180" s="46"/>
    </row>
    <row r="2181">
      <c r="C2181" s="46"/>
    </row>
    <row r="2182">
      <c r="C2182" s="46"/>
    </row>
    <row r="2183">
      <c r="C2183" s="46"/>
    </row>
    <row r="2184">
      <c r="C2184" s="46"/>
    </row>
    <row r="2185">
      <c r="C2185" s="46"/>
    </row>
    <row r="2186">
      <c r="C2186" s="46"/>
    </row>
    <row r="2187">
      <c r="C2187" s="46"/>
    </row>
    <row r="2188">
      <c r="C2188" s="46"/>
    </row>
    <row r="2189">
      <c r="C2189" s="46"/>
    </row>
    <row r="2190">
      <c r="C2190" s="46"/>
    </row>
    <row r="2191">
      <c r="C2191" s="46"/>
    </row>
    <row r="2192">
      <c r="C2192" s="46"/>
    </row>
    <row r="2193">
      <c r="C2193" s="46"/>
    </row>
    <row r="2194">
      <c r="C2194" s="46"/>
    </row>
    <row r="2195">
      <c r="C2195" s="46"/>
    </row>
    <row r="2196">
      <c r="C2196" s="46"/>
    </row>
    <row r="2197">
      <c r="C2197" s="46"/>
    </row>
    <row r="2198">
      <c r="C2198" s="46"/>
    </row>
    <row r="2199">
      <c r="C2199" s="46"/>
    </row>
    <row r="2200">
      <c r="C2200" s="46"/>
    </row>
    <row r="2201">
      <c r="C2201" s="46"/>
    </row>
    <row r="2202">
      <c r="C2202" s="46"/>
    </row>
    <row r="2203">
      <c r="C2203" s="46"/>
    </row>
    <row r="2204">
      <c r="C2204" s="46"/>
    </row>
    <row r="2205">
      <c r="C2205" s="46"/>
    </row>
    <row r="2206">
      <c r="C2206" s="46"/>
    </row>
    <row r="2207">
      <c r="C2207" s="46"/>
    </row>
    <row r="2208">
      <c r="C2208" s="46"/>
    </row>
    <row r="2209">
      <c r="C2209" s="46"/>
    </row>
    <row r="2210">
      <c r="C2210" s="46"/>
    </row>
    <row r="2211">
      <c r="C2211" s="46"/>
    </row>
    <row r="2212">
      <c r="C2212" s="46"/>
    </row>
    <row r="2213">
      <c r="C2213" s="46"/>
    </row>
    <row r="2214">
      <c r="C2214" s="46"/>
    </row>
    <row r="2215">
      <c r="C2215" s="46"/>
    </row>
    <row r="2216">
      <c r="C2216" s="46"/>
    </row>
    <row r="2217">
      <c r="C2217" s="46"/>
    </row>
    <row r="2218">
      <c r="C2218" s="46"/>
    </row>
    <row r="2219">
      <c r="C2219" s="46"/>
    </row>
    <row r="2220">
      <c r="C2220" s="46"/>
    </row>
    <row r="2221">
      <c r="C2221" s="46"/>
    </row>
    <row r="2222">
      <c r="C2222" s="46"/>
    </row>
    <row r="2223">
      <c r="C2223" s="46"/>
    </row>
    <row r="2224">
      <c r="C2224" s="46"/>
    </row>
    <row r="2225">
      <c r="C2225" s="46"/>
    </row>
    <row r="2226">
      <c r="C2226" s="46"/>
    </row>
    <row r="2227">
      <c r="C2227" s="46"/>
    </row>
    <row r="2228">
      <c r="C2228" s="46"/>
    </row>
    <row r="2229">
      <c r="C2229" s="46"/>
    </row>
    <row r="2230">
      <c r="C2230" s="46"/>
    </row>
    <row r="2231">
      <c r="C2231" s="46"/>
    </row>
    <row r="2232">
      <c r="C2232" s="46"/>
    </row>
    <row r="2233">
      <c r="C2233" s="46"/>
    </row>
    <row r="2234">
      <c r="C2234" s="46"/>
    </row>
    <row r="2235">
      <c r="C2235" s="46"/>
    </row>
    <row r="2236">
      <c r="C2236" s="46"/>
    </row>
    <row r="2237">
      <c r="C2237" s="46"/>
    </row>
    <row r="2238">
      <c r="C2238" s="46"/>
    </row>
    <row r="2239">
      <c r="C2239" s="46"/>
    </row>
    <row r="2240">
      <c r="C2240" s="46"/>
    </row>
    <row r="2241">
      <c r="C2241" s="46"/>
    </row>
    <row r="2242">
      <c r="C2242" s="46"/>
    </row>
    <row r="2243">
      <c r="C2243" s="46"/>
    </row>
    <row r="2244">
      <c r="C2244" s="46"/>
    </row>
    <row r="2245">
      <c r="C2245" s="46"/>
    </row>
    <row r="2246">
      <c r="C2246" s="46"/>
    </row>
    <row r="2247">
      <c r="C2247" s="46"/>
    </row>
    <row r="2248">
      <c r="C2248" s="46"/>
    </row>
    <row r="2249">
      <c r="C2249" s="46"/>
    </row>
    <row r="2250">
      <c r="C2250" s="46"/>
    </row>
    <row r="2251">
      <c r="C2251" s="46"/>
    </row>
    <row r="2252">
      <c r="C2252" s="46"/>
    </row>
    <row r="2253">
      <c r="C2253" s="46"/>
    </row>
    <row r="2254">
      <c r="C2254" s="46"/>
    </row>
    <row r="2255">
      <c r="C2255" s="46"/>
    </row>
    <row r="2256">
      <c r="C2256" s="46"/>
    </row>
    <row r="2257">
      <c r="C2257" s="46"/>
    </row>
    <row r="2258">
      <c r="C2258" s="46"/>
    </row>
    <row r="2259">
      <c r="C2259" s="46"/>
    </row>
    <row r="2260">
      <c r="C2260" s="46"/>
    </row>
    <row r="2261">
      <c r="C2261" s="46"/>
    </row>
    <row r="2262">
      <c r="C2262" s="46"/>
    </row>
    <row r="2263">
      <c r="C2263" s="46"/>
    </row>
    <row r="2264">
      <c r="C2264" s="46"/>
    </row>
    <row r="2265">
      <c r="C2265" s="46"/>
    </row>
    <row r="2266">
      <c r="C2266" s="46"/>
    </row>
    <row r="2267">
      <c r="C2267" s="46"/>
    </row>
    <row r="2268">
      <c r="C2268" s="46"/>
    </row>
    <row r="2269">
      <c r="C2269" s="46"/>
    </row>
    <row r="2270">
      <c r="C2270" s="46"/>
    </row>
    <row r="2271">
      <c r="C2271" s="46"/>
    </row>
    <row r="2272">
      <c r="C2272" s="46"/>
    </row>
    <row r="2273">
      <c r="C2273" s="46"/>
    </row>
    <row r="2274">
      <c r="C2274" s="46"/>
    </row>
    <row r="2275">
      <c r="C2275" s="46"/>
    </row>
    <row r="2276">
      <c r="C2276" s="46"/>
    </row>
    <row r="2277">
      <c r="C2277" s="46"/>
    </row>
    <row r="2278">
      <c r="C2278" s="46"/>
    </row>
    <row r="2279">
      <c r="C2279" s="46"/>
    </row>
    <row r="2280">
      <c r="C2280" s="46"/>
    </row>
    <row r="2281">
      <c r="C2281" s="46"/>
    </row>
    <row r="2282">
      <c r="C2282" s="46"/>
    </row>
    <row r="2283">
      <c r="C2283" s="46"/>
    </row>
    <row r="2284">
      <c r="C2284" s="46"/>
    </row>
    <row r="2285">
      <c r="C2285" s="46"/>
    </row>
    <row r="2286">
      <c r="C2286" s="46"/>
    </row>
    <row r="2287">
      <c r="C2287" s="46"/>
    </row>
    <row r="2288">
      <c r="C2288" s="46"/>
    </row>
    <row r="2289">
      <c r="C2289" s="46"/>
    </row>
    <row r="2290">
      <c r="C2290" s="46"/>
    </row>
    <row r="2291">
      <c r="C2291" s="46"/>
    </row>
    <row r="2292">
      <c r="C2292" s="46"/>
    </row>
    <row r="2293">
      <c r="C2293" s="46"/>
    </row>
    <row r="2294">
      <c r="C2294" s="46"/>
    </row>
    <row r="2295">
      <c r="C2295" s="46"/>
    </row>
    <row r="2296">
      <c r="C2296" s="46"/>
    </row>
    <row r="2297">
      <c r="C2297" s="46"/>
    </row>
    <row r="2298">
      <c r="C2298" s="46"/>
    </row>
    <row r="2299">
      <c r="C2299" s="46"/>
    </row>
    <row r="2300">
      <c r="C2300" s="46"/>
    </row>
    <row r="2301">
      <c r="C2301" s="46"/>
    </row>
    <row r="2302">
      <c r="C2302" s="46"/>
    </row>
    <row r="2303">
      <c r="C2303" s="46"/>
    </row>
    <row r="2304">
      <c r="C2304" s="46"/>
    </row>
    <row r="2305">
      <c r="C2305" s="46"/>
    </row>
    <row r="2306">
      <c r="C2306" s="46"/>
    </row>
    <row r="2307">
      <c r="C2307" s="46"/>
    </row>
    <row r="2308">
      <c r="C2308" s="46"/>
    </row>
    <row r="2309">
      <c r="C2309" s="46"/>
    </row>
    <row r="2310">
      <c r="C2310" s="46"/>
    </row>
    <row r="2311">
      <c r="C2311" s="46"/>
    </row>
    <row r="2312">
      <c r="C2312" s="46"/>
    </row>
    <row r="2313">
      <c r="C2313" s="46"/>
    </row>
    <row r="2314">
      <c r="C2314" s="46"/>
    </row>
    <row r="2315">
      <c r="C2315" s="46"/>
    </row>
    <row r="2316">
      <c r="C2316" s="46"/>
    </row>
    <row r="2317">
      <c r="C2317" s="46"/>
    </row>
    <row r="2318">
      <c r="C2318" s="46"/>
    </row>
    <row r="2319">
      <c r="C2319" s="46"/>
    </row>
    <row r="2320">
      <c r="C2320" s="46"/>
    </row>
    <row r="2321">
      <c r="C2321" s="46"/>
    </row>
    <row r="2322">
      <c r="C2322" s="46"/>
    </row>
    <row r="2323">
      <c r="C2323" s="46"/>
    </row>
    <row r="2324">
      <c r="C2324" s="46"/>
    </row>
    <row r="2325">
      <c r="C2325" s="46"/>
    </row>
    <row r="2326">
      <c r="C2326" s="46"/>
    </row>
    <row r="2327">
      <c r="C2327" s="46"/>
    </row>
    <row r="2328">
      <c r="C2328" s="46"/>
    </row>
    <row r="2329">
      <c r="C2329" s="46"/>
    </row>
    <row r="2330">
      <c r="C2330" s="46"/>
    </row>
    <row r="2331">
      <c r="C2331" s="46"/>
    </row>
    <row r="2332">
      <c r="C2332" s="46"/>
    </row>
    <row r="2333">
      <c r="C2333" s="46"/>
    </row>
    <row r="2334">
      <c r="C2334" s="46"/>
    </row>
    <row r="2335">
      <c r="C2335" s="46"/>
    </row>
    <row r="2336">
      <c r="C2336" s="46"/>
    </row>
    <row r="2337">
      <c r="C2337" s="46"/>
    </row>
    <row r="2338">
      <c r="C2338" s="46"/>
    </row>
    <row r="2339">
      <c r="C2339" s="46"/>
    </row>
    <row r="2340">
      <c r="C2340" s="46"/>
    </row>
    <row r="2341">
      <c r="C2341" s="46"/>
    </row>
    <row r="2342">
      <c r="C2342" s="46"/>
    </row>
    <row r="2343">
      <c r="C2343" s="46"/>
    </row>
    <row r="2344">
      <c r="C2344" s="46"/>
    </row>
    <row r="2345">
      <c r="C2345" s="46"/>
    </row>
    <row r="2346">
      <c r="C2346" s="46"/>
    </row>
    <row r="2347">
      <c r="C2347" s="46"/>
    </row>
    <row r="2348">
      <c r="C2348" s="46"/>
    </row>
    <row r="2349">
      <c r="C2349" s="46"/>
    </row>
    <row r="2350">
      <c r="C2350" s="46"/>
    </row>
    <row r="2351">
      <c r="C2351" s="46"/>
    </row>
    <row r="2352">
      <c r="C2352" s="46"/>
    </row>
    <row r="2353">
      <c r="C2353" s="46"/>
    </row>
    <row r="2354">
      <c r="C2354" s="46"/>
    </row>
    <row r="2355">
      <c r="C2355" s="46"/>
    </row>
    <row r="2356">
      <c r="C2356" s="46"/>
    </row>
    <row r="2357">
      <c r="C2357" s="46"/>
    </row>
    <row r="2358">
      <c r="C2358" s="46"/>
    </row>
    <row r="2359">
      <c r="C2359" s="46"/>
    </row>
    <row r="2360">
      <c r="C2360" s="46"/>
    </row>
    <row r="2361">
      <c r="C2361" s="46"/>
    </row>
    <row r="2362">
      <c r="C2362" s="46"/>
    </row>
    <row r="2363">
      <c r="C2363" s="46"/>
    </row>
    <row r="2364">
      <c r="C2364" s="46"/>
    </row>
    <row r="2365">
      <c r="C2365" s="46"/>
    </row>
    <row r="2366">
      <c r="C2366" s="46"/>
    </row>
    <row r="2367">
      <c r="C2367" s="46"/>
    </row>
    <row r="2368">
      <c r="C2368" s="46"/>
    </row>
    <row r="2369">
      <c r="C2369" s="46"/>
    </row>
    <row r="2370">
      <c r="C2370" s="46"/>
    </row>
    <row r="2371">
      <c r="C2371" s="46"/>
    </row>
    <row r="2372">
      <c r="C2372" s="46"/>
    </row>
    <row r="2373">
      <c r="C2373" s="46"/>
    </row>
    <row r="2374">
      <c r="C2374" s="46"/>
    </row>
    <row r="2375">
      <c r="C2375" s="46"/>
    </row>
    <row r="2376">
      <c r="C2376" s="46"/>
    </row>
    <row r="2377">
      <c r="C2377" s="46"/>
    </row>
    <row r="2378">
      <c r="C2378" s="46"/>
    </row>
    <row r="2379">
      <c r="C2379" s="46"/>
    </row>
    <row r="2380">
      <c r="C2380" s="46"/>
    </row>
    <row r="2381">
      <c r="C2381" s="46"/>
    </row>
    <row r="2382">
      <c r="C2382" s="46"/>
    </row>
    <row r="2383">
      <c r="C2383" s="46"/>
    </row>
    <row r="2384">
      <c r="C2384" s="46"/>
    </row>
    <row r="2385">
      <c r="C2385" s="46"/>
    </row>
    <row r="2386">
      <c r="C2386" s="46"/>
    </row>
    <row r="2387">
      <c r="C2387" s="46"/>
    </row>
    <row r="2388">
      <c r="C2388" s="46"/>
    </row>
    <row r="2389">
      <c r="C2389" s="46"/>
    </row>
    <row r="2390">
      <c r="C2390" s="46"/>
    </row>
    <row r="2391">
      <c r="C2391" s="46"/>
    </row>
    <row r="2392">
      <c r="C2392" s="46"/>
    </row>
    <row r="2393">
      <c r="C2393" s="46"/>
    </row>
    <row r="2394">
      <c r="C2394" s="46"/>
    </row>
    <row r="2395">
      <c r="C2395" s="46"/>
    </row>
    <row r="2396">
      <c r="C2396" s="46"/>
    </row>
    <row r="2397">
      <c r="C2397" s="46"/>
    </row>
    <row r="2398">
      <c r="C2398" s="46"/>
    </row>
    <row r="2399">
      <c r="C2399" s="46"/>
    </row>
    <row r="2400">
      <c r="C2400" s="46"/>
    </row>
    <row r="2401">
      <c r="C2401" s="46"/>
    </row>
    <row r="2402">
      <c r="C2402" s="46"/>
    </row>
    <row r="2403">
      <c r="C2403" s="46"/>
    </row>
    <row r="2404">
      <c r="C2404" s="46"/>
    </row>
    <row r="2405">
      <c r="C2405" s="46"/>
    </row>
    <row r="2406">
      <c r="C2406" s="46"/>
    </row>
    <row r="2407">
      <c r="C2407" s="46"/>
    </row>
    <row r="2408">
      <c r="C2408" s="46"/>
    </row>
    <row r="2409">
      <c r="C2409" s="46"/>
    </row>
    <row r="2410">
      <c r="C2410" s="46"/>
    </row>
    <row r="2411">
      <c r="C2411" s="46"/>
    </row>
    <row r="2412">
      <c r="C2412" s="46"/>
    </row>
    <row r="2413">
      <c r="C2413" s="46"/>
    </row>
    <row r="2414">
      <c r="C2414" s="46"/>
    </row>
    <row r="2415">
      <c r="C2415" s="46"/>
    </row>
    <row r="2416">
      <c r="C2416" s="46"/>
    </row>
    <row r="2417">
      <c r="C2417" s="46"/>
    </row>
    <row r="2418">
      <c r="C2418" s="46"/>
    </row>
    <row r="2419">
      <c r="C2419" s="46"/>
    </row>
    <row r="2420">
      <c r="C2420" s="46"/>
    </row>
    <row r="2421">
      <c r="C2421" s="46"/>
    </row>
    <row r="2422">
      <c r="C2422" s="46"/>
    </row>
    <row r="2423">
      <c r="C2423" s="46"/>
    </row>
    <row r="2424">
      <c r="C2424" s="46"/>
    </row>
    <row r="2425">
      <c r="C2425" s="46"/>
    </row>
    <row r="2426">
      <c r="C2426" s="46"/>
    </row>
    <row r="2427">
      <c r="C2427" s="46"/>
    </row>
    <row r="2428">
      <c r="C2428" s="46"/>
    </row>
    <row r="2429">
      <c r="C2429" s="46"/>
    </row>
    <row r="2430">
      <c r="C2430" s="46"/>
    </row>
    <row r="2431">
      <c r="C2431" s="46"/>
    </row>
    <row r="2432">
      <c r="C2432" s="46"/>
    </row>
    <row r="2433">
      <c r="C2433" s="46"/>
    </row>
    <row r="2434">
      <c r="C2434" s="46"/>
    </row>
    <row r="2435">
      <c r="C2435" s="46"/>
    </row>
    <row r="2436">
      <c r="C2436" s="46"/>
    </row>
    <row r="2437">
      <c r="C2437" s="46"/>
    </row>
    <row r="2438">
      <c r="C2438" s="46"/>
    </row>
    <row r="2439">
      <c r="C2439" s="46"/>
    </row>
    <row r="2440">
      <c r="C2440" s="46"/>
    </row>
    <row r="2441">
      <c r="C2441" s="46"/>
    </row>
    <row r="2442">
      <c r="C2442" s="46"/>
    </row>
    <row r="2443">
      <c r="C2443" s="46"/>
    </row>
    <row r="2444">
      <c r="C2444" s="46"/>
    </row>
    <row r="2445">
      <c r="C2445" s="46"/>
    </row>
    <row r="2446">
      <c r="C2446" s="46"/>
    </row>
    <row r="2447">
      <c r="C2447" s="46"/>
    </row>
    <row r="2448">
      <c r="C2448" s="46"/>
    </row>
    <row r="2449">
      <c r="C2449" s="46"/>
    </row>
    <row r="2450">
      <c r="C2450" s="46"/>
    </row>
    <row r="2451">
      <c r="C2451" s="46"/>
    </row>
    <row r="2452">
      <c r="C2452" s="46"/>
    </row>
    <row r="2453">
      <c r="C2453" s="46"/>
    </row>
    <row r="2454">
      <c r="C2454" s="46"/>
    </row>
    <row r="2455">
      <c r="C2455" s="46"/>
    </row>
    <row r="2456">
      <c r="C2456" s="46"/>
    </row>
    <row r="2457">
      <c r="C2457" s="46"/>
    </row>
    <row r="2458">
      <c r="C2458" s="46"/>
    </row>
    <row r="2459">
      <c r="C2459" s="46"/>
    </row>
    <row r="2460">
      <c r="C2460" s="46"/>
    </row>
    <row r="2461">
      <c r="C2461" s="46"/>
    </row>
    <row r="2462">
      <c r="C2462" s="46"/>
    </row>
    <row r="2463">
      <c r="C2463" s="46"/>
    </row>
    <row r="2464">
      <c r="C2464" s="46"/>
    </row>
    <row r="2465">
      <c r="C2465" s="46"/>
    </row>
    <row r="2466">
      <c r="C2466" s="46"/>
    </row>
    <row r="2467">
      <c r="C2467" s="46"/>
    </row>
    <row r="2468">
      <c r="C2468" s="46"/>
    </row>
    <row r="2469">
      <c r="C2469" s="46"/>
    </row>
    <row r="2470">
      <c r="C2470" s="46"/>
    </row>
    <row r="2471">
      <c r="C2471" s="46"/>
    </row>
    <row r="2472">
      <c r="C2472" s="46"/>
    </row>
    <row r="2473">
      <c r="C2473" s="46"/>
    </row>
    <row r="2474">
      <c r="C2474" s="46"/>
    </row>
    <row r="2475">
      <c r="C2475" s="46"/>
    </row>
    <row r="2476">
      <c r="C2476" s="46"/>
    </row>
    <row r="2477">
      <c r="C2477" s="46"/>
    </row>
    <row r="2478">
      <c r="C2478" s="46"/>
    </row>
    <row r="2479">
      <c r="C2479" s="46"/>
    </row>
    <row r="2480">
      <c r="C2480" s="46"/>
    </row>
    <row r="2481">
      <c r="C2481" s="46"/>
    </row>
    <row r="2482">
      <c r="C2482" s="46"/>
    </row>
    <row r="2483">
      <c r="C2483" s="46"/>
    </row>
    <row r="2484">
      <c r="C2484" s="46"/>
    </row>
    <row r="2485">
      <c r="C2485" s="46"/>
    </row>
    <row r="2486">
      <c r="C2486" s="46"/>
    </row>
    <row r="2487">
      <c r="C2487" s="46"/>
    </row>
    <row r="2488">
      <c r="C2488" s="46"/>
    </row>
    <row r="2489">
      <c r="C2489" s="46"/>
    </row>
    <row r="2490">
      <c r="C2490" s="46"/>
    </row>
    <row r="2491">
      <c r="C2491" s="46"/>
    </row>
    <row r="2492">
      <c r="C2492" s="46"/>
    </row>
    <row r="2493">
      <c r="C2493" s="46"/>
    </row>
    <row r="2494">
      <c r="C2494" s="46"/>
    </row>
    <row r="2495">
      <c r="C2495" s="46"/>
    </row>
    <row r="2496">
      <c r="C2496" s="46"/>
    </row>
    <row r="2497">
      <c r="C2497" s="46"/>
    </row>
    <row r="2498">
      <c r="C2498" s="46"/>
    </row>
    <row r="2499">
      <c r="C2499" s="46"/>
    </row>
    <row r="2500">
      <c r="C2500" s="46"/>
    </row>
    <row r="2501">
      <c r="C2501" s="46"/>
    </row>
    <row r="2502">
      <c r="C2502" s="46"/>
    </row>
    <row r="2503">
      <c r="C2503" s="46"/>
    </row>
    <row r="2504">
      <c r="C2504" s="46"/>
    </row>
    <row r="2505">
      <c r="C2505" s="46"/>
    </row>
    <row r="2506">
      <c r="C2506" s="46"/>
    </row>
    <row r="2507">
      <c r="C2507" s="46"/>
    </row>
    <row r="2508">
      <c r="C2508" s="46"/>
    </row>
    <row r="2509">
      <c r="C2509" s="46"/>
    </row>
    <row r="2510">
      <c r="C2510" s="46"/>
    </row>
    <row r="2511">
      <c r="C2511" s="46"/>
    </row>
    <row r="2512">
      <c r="C2512" s="46"/>
    </row>
    <row r="2513">
      <c r="C2513" s="46"/>
    </row>
    <row r="2514">
      <c r="C2514" s="46"/>
    </row>
    <row r="2515">
      <c r="C2515" s="46"/>
    </row>
    <row r="2516">
      <c r="C2516" s="46"/>
    </row>
    <row r="2517">
      <c r="C2517" s="46"/>
    </row>
    <row r="2518">
      <c r="C2518" s="46"/>
    </row>
    <row r="2519">
      <c r="C2519" s="46"/>
    </row>
    <row r="2520">
      <c r="C2520" s="46"/>
    </row>
    <row r="2521">
      <c r="C2521" s="46"/>
    </row>
    <row r="2522">
      <c r="C2522" s="46"/>
    </row>
    <row r="2523">
      <c r="C2523" s="46"/>
    </row>
    <row r="2524">
      <c r="C2524" s="46"/>
    </row>
    <row r="2525">
      <c r="C2525" s="46"/>
    </row>
    <row r="2526">
      <c r="C2526" s="46"/>
    </row>
    <row r="2527">
      <c r="C2527" s="46"/>
    </row>
    <row r="2528">
      <c r="C2528" s="46"/>
    </row>
    <row r="2529">
      <c r="C2529" s="46"/>
    </row>
    <row r="2530">
      <c r="C2530" s="46"/>
    </row>
    <row r="2531">
      <c r="C2531" s="46"/>
    </row>
    <row r="2532">
      <c r="C2532" s="46"/>
    </row>
    <row r="2533">
      <c r="C2533" s="46"/>
    </row>
    <row r="2534">
      <c r="C2534" s="46"/>
    </row>
    <row r="2535">
      <c r="C2535" s="46"/>
    </row>
    <row r="2536">
      <c r="C2536" s="46"/>
    </row>
    <row r="2537">
      <c r="C2537" s="46"/>
    </row>
    <row r="2538">
      <c r="C2538" s="46"/>
    </row>
    <row r="2539">
      <c r="C2539" s="46"/>
    </row>
    <row r="2540">
      <c r="C2540" s="46"/>
    </row>
    <row r="2541">
      <c r="C2541" s="46"/>
    </row>
    <row r="2542">
      <c r="C2542" s="46"/>
    </row>
    <row r="2543">
      <c r="C2543" s="46"/>
    </row>
    <row r="2544">
      <c r="C2544" s="46"/>
    </row>
    <row r="2545">
      <c r="C2545" s="46"/>
    </row>
    <row r="2546">
      <c r="C2546" s="46"/>
    </row>
    <row r="2547">
      <c r="C2547" s="46"/>
    </row>
    <row r="2548">
      <c r="C2548" s="46"/>
    </row>
    <row r="2549">
      <c r="C2549" s="46"/>
    </row>
    <row r="2550">
      <c r="C2550" s="46"/>
    </row>
    <row r="2551">
      <c r="C2551" s="46"/>
    </row>
    <row r="2552">
      <c r="C2552" s="46"/>
    </row>
    <row r="2553">
      <c r="C2553" s="46"/>
    </row>
    <row r="2554">
      <c r="C2554" s="46"/>
    </row>
    <row r="2555">
      <c r="C2555" s="46"/>
    </row>
    <row r="2556">
      <c r="C2556" s="46"/>
    </row>
    <row r="2557">
      <c r="C2557" s="46"/>
    </row>
    <row r="2558">
      <c r="C2558" s="46"/>
    </row>
    <row r="2559">
      <c r="C2559" s="46"/>
    </row>
    <row r="2560">
      <c r="C2560" s="46"/>
    </row>
    <row r="2561">
      <c r="C2561" s="46"/>
    </row>
    <row r="2562">
      <c r="C2562" s="46"/>
    </row>
    <row r="2563">
      <c r="C2563" s="46"/>
    </row>
    <row r="2564">
      <c r="C2564" s="46"/>
    </row>
    <row r="2565">
      <c r="C2565" s="46"/>
    </row>
    <row r="2566">
      <c r="C2566" s="46"/>
    </row>
    <row r="2567">
      <c r="C2567" s="46"/>
    </row>
    <row r="2568">
      <c r="C2568" s="46"/>
    </row>
    <row r="2569">
      <c r="C2569" s="46"/>
    </row>
    <row r="2570">
      <c r="C2570" s="46"/>
    </row>
    <row r="2571">
      <c r="C2571" s="46"/>
    </row>
    <row r="2572">
      <c r="C2572" s="46"/>
    </row>
    <row r="2573">
      <c r="C2573" s="46"/>
    </row>
    <row r="2574">
      <c r="C2574" s="46"/>
    </row>
    <row r="2575">
      <c r="C2575" s="46"/>
    </row>
    <row r="2576">
      <c r="C2576" s="46"/>
    </row>
    <row r="2577">
      <c r="C2577" s="46"/>
    </row>
    <row r="2578">
      <c r="C2578" s="46"/>
    </row>
    <row r="2579">
      <c r="C2579" s="46"/>
    </row>
    <row r="2580">
      <c r="C2580" s="46"/>
    </row>
    <row r="2581">
      <c r="C2581" s="46"/>
    </row>
    <row r="2582">
      <c r="C2582" s="46"/>
    </row>
    <row r="2583">
      <c r="C2583" s="46"/>
    </row>
    <row r="2584">
      <c r="C2584" s="46"/>
    </row>
    <row r="2585">
      <c r="C2585" s="46"/>
    </row>
    <row r="2586">
      <c r="C2586" s="46"/>
    </row>
    <row r="2587">
      <c r="C2587" s="46"/>
    </row>
    <row r="2588">
      <c r="C2588" s="46"/>
    </row>
    <row r="2589">
      <c r="C2589" s="46"/>
    </row>
    <row r="2590">
      <c r="C2590" s="46"/>
    </row>
    <row r="2591">
      <c r="C2591" s="46"/>
    </row>
    <row r="2592">
      <c r="C2592" s="46"/>
    </row>
    <row r="2593">
      <c r="C2593" s="46"/>
    </row>
    <row r="2594">
      <c r="C2594" s="46"/>
    </row>
    <row r="2595">
      <c r="C2595" s="46"/>
    </row>
    <row r="2596">
      <c r="C2596" s="46"/>
    </row>
    <row r="2597">
      <c r="C2597" s="46"/>
    </row>
    <row r="2598">
      <c r="C2598" s="46"/>
    </row>
    <row r="2599">
      <c r="C2599" s="46"/>
    </row>
    <row r="2600">
      <c r="C2600" s="46"/>
    </row>
    <row r="2601">
      <c r="C2601" s="46"/>
    </row>
    <row r="2602">
      <c r="C2602" s="46"/>
    </row>
    <row r="2603">
      <c r="C2603" s="46"/>
    </row>
    <row r="2604">
      <c r="C2604" s="46"/>
    </row>
    <row r="2605">
      <c r="C2605" s="46"/>
    </row>
    <row r="2606">
      <c r="C2606" s="46"/>
    </row>
    <row r="2607">
      <c r="C2607" s="46"/>
    </row>
    <row r="2608">
      <c r="C2608" s="46"/>
    </row>
    <row r="2609">
      <c r="C2609" s="46"/>
    </row>
    <row r="2610">
      <c r="C2610" s="46"/>
    </row>
    <row r="2611">
      <c r="C2611" s="46"/>
    </row>
    <row r="2612">
      <c r="C2612" s="46"/>
    </row>
    <row r="2613">
      <c r="C2613" s="46"/>
    </row>
    <row r="2614">
      <c r="C2614" s="46"/>
    </row>
    <row r="2615">
      <c r="C2615" s="46"/>
    </row>
    <row r="2616">
      <c r="C2616" s="46"/>
    </row>
    <row r="2617">
      <c r="C2617" s="46"/>
    </row>
    <row r="2618">
      <c r="C2618" s="46"/>
    </row>
    <row r="2619">
      <c r="C2619" s="46"/>
    </row>
    <row r="2620">
      <c r="C2620" s="46"/>
    </row>
    <row r="2621">
      <c r="C2621" s="46"/>
    </row>
    <row r="2622">
      <c r="C2622" s="46"/>
    </row>
    <row r="2623">
      <c r="C2623" s="46"/>
    </row>
    <row r="2624">
      <c r="C2624" s="46"/>
    </row>
    <row r="2625">
      <c r="C2625" s="46"/>
    </row>
    <row r="2626">
      <c r="C2626" s="46"/>
    </row>
    <row r="2627">
      <c r="C2627" s="46"/>
    </row>
    <row r="2628">
      <c r="C2628" s="46"/>
    </row>
    <row r="2629">
      <c r="C2629" s="46"/>
    </row>
    <row r="2630">
      <c r="C2630" s="46"/>
    </row>
    <row r="2631">
      <c r="C2631" s="46"/>
    </row>
    <row r="2632">
      <c r="C2632" s="46"/>
    </row>
    <row r="2633">
      <c r="C2633" s="46"/>
    </row>
    <row r="2634">
      <c r="C2634" s="46"/>
    </row>
    <row r="2635">
      <c r="C2635" s="46"/>
    </row>
    <row r="2636">
      <c r="C2636" s="46"/>
    </row>
    <row r="2637">
      <c r="C2637" s="46"/>
    </row>
    <row r="2638">
      <c r="C2638" s="46"/>
    </row>
    <row r="2639">
      <c r="C2639" s="46"/>
    </row>
    <row r="2640">
      <c r="C2640" s="46"/>
    </row>
    <row r="2641">
      <c r="C2641" s="46"/>
    </row>
    <row r="2642">
      <c r="C2642" s="46"/>
    </row>
    <row r="2643">
      <c r="C2643" s="46"/>
    </row>
    <row r="2644">
      <c r="C2644" s="46"/>
    </row>
    <row r="2645">
      <c r="C2645" s="46"/>
    </row>
    <row r="2646">
      <c r="C2646" s="46"/>
    </row>
    <row r="2647">
      <c r="C2647" s="46"/>
    </row>
    <row r="2648">
      <c r="C2648" s="46"/>
    </row>
    <row r="2649">
      <c r="C2649" s="46"/>
    </row>
    <row r="2650">
      <c r="C2650" s="46"/>
    </row>
    <row r="2651">
      <c r="C2651" s="46"/>
    </row>
    <row r="2652">
      <c r="C2652" s="46"/>
    </row>
    <row r="2653">
      <c r="C2653" s="46"/>
    </row>
    <row r="2654">
      <c r="C2654" s="46"/>
    </row>
    <row r="2655">
      <c r="C2655" s="46"/>
    </row>
    <row r="2656">
      <c r="C2656" s="46"/>
    </row>
    <row r="2657">
      <c r="C2657" s="46"/>
    </row>
    <row r="2658">
      <c r="C2658" s="46"/>
    </row>
    <row r="2659">
      <c r="C2659" s="46"/>
    </row>
    <row r="2660">
      <c r="C2660" s="46"/>
    </row>
    <row r="2661">
      <c r="C2661" s="46"/>
    </row>
    <row r="2662">
      <c r="C2662" s="46"/>
    </row>
    <row r="2663">
      <c r="C2663" s="46"/>
    </row>
    <row r="2664">
      <c r="C2664" s="46"/>
    </row>
    <row r="2665">
      <c r="C2665" s="46"/>
    </row>
    <row r="2666">
      <c r="C2666" s="46"/>
    </row>
    <row r="2667">
      <c r="C2667" s="46"/>
    </row>
    <row r="2668">
      <c r="C2668" s="46"/>
    </row>
    <row r="2669">
      <c r="C2669" s="46"/>
    </row>
    <row r="2670">
      <c r="C2670" s="46"/>
    </row>
    <row r="2671">
      <c r="C2671" s="46"/>
    </row>
    <row r="2672">
      <c r="C2672" s="46"/>
    </row>
    <row r="2673">
      <c r="C2673" s="46"/>
    </row>
    <row r="2674">
      <c r="C2674" s="46"/>
    </row>
    <row r="2675">
      <c r="C2675" s="46"/>
    </row>
    <row r="2676">
      <c r="C2676" s="46"/>
    </row>
    <row r="2677">
      <c r="C2677" s="46"/>
    </row>
    <row r="2678">
      <c r="C2678" s="46"/>
    </row>
    <row r="2679">
      <c r="C2679" s="46"/>
    </row>
    <row r="2680">
      <c r="C2680" s="46"/>
    </row>
    <row r="2681">
      <c r="C2681" s="46"/>
    </row>
    <row r="2682">
      <c r="C2682" s="46"/>
    </row>
    <row r="2683">
      <c r="C2683" s="46"/>
    </row>
    <row r="2684">
      <c r="C2684" s="46"/>
    </row>
    <row r="2685">
      <c r="C2685" s="46"/>
    </row>
    <row r="2686">
      <c r="C2686" s="46"/>
    </row>
    <row r="2687">
      <c r="C2687" s="46"/>
    </row>
    <row r="2688">
      <c r="C2688" s="46"/>
    </row>
    <row r="2689">
      <c r="C2689" s="46"/>
    </row>
    <row r="2690">
      <c r="C2690" s="46"/>
    </row>
    <row r="2691">
      <c r="C2691" s="46"/>
    </row>
    <row r="2692">
      <c r="C2692" s="46"/>
    </row>
    <row r="2693">
      <c r="C2693" s="46"/>
    </row>
    <row r="2694">
      <c r="C2694" s="46"/>
    </row>
    <row r="2695">
      <c r="C2695" s="46"/>
    </row>
    <row r="2696">
      <c r="C2696" s="46"/>
    </row>
    <row r="2697">
      <c r="C2697" s="46"/>
    </row>
    <row r="2698">
      <c r="C2698" s="46"/>
    </row>
    <row r="2699">
      <c r="C2699" s="46"/>
    </row>
    <row r="2700">
      <c r="C2700" s="46"/>
    </row>
    <row r="2701">
      <c r="C2701" s="46"/>
    </row>
    <row r="2702">
      <c r="C2702" s="46"/>
    </row>
    <row r="2703">
      <c r="C2703" s="46"/>
    </row>
    <row r="2704">
      <c r="C2704" s="46"/>
    </row>
    <row r="2705">
      <c r="C2705" s="46"/>
    </row>
    <row r="2706">
      <c r="C2706" s="46"/>
    </row>
    <row r="2707">
      <c r="C2707" s="46"/>
    </row>
    <row r="2708">
      <c r="C2708" s="46"/>
    </row>
    <row r="2709">
      <c r="C2709" s="46"/>
    </row>
    <row r="2710">
      <c r="C2710" s="46"/>
    </row>
    <row r="2711">
      <c r="C2711" s="46"/>
    </row>
    <row r="2712">
      <c r="C2712" s="46"/>
    </row>
    <row r="2713">
      <c r="C2713" s="46"/>
    </row>
    <row r="2714">
      <c r="C2714" s="46"/>
    </row>
    <row r="2715">
      <c r="C2715" s="46"/>
    </row>
    <row r="2716">
      <c r="C2716" s="46"/>
    </row>
    <row r="2717">
      <c r="C2717" s="46"/>
    </row>
    <row r="2718">
      <c r="C2718" s="46"/>
    </row>
    <row r="2719">
      <c r="C2719" s="46"/>
    </row>
    <row r="2720">
      <c r="C2720" s="46"/>
    </row>
    <row r="2721">
      <c r="C2721" s="46"/>
    </row>
    <row r="2722">
      <c r="C2722" s="46"/>
    </row>
    <row r="2723">
      <c r="C2723" s="46"/>
    </row>
    <row r="2724">
      <c r="C2724" s="46"/>
    </row>
    <row r="2725">
      <c r="C2725" s="46"/>
    </row>
    <row r="2726">
      <c r="C2726" s="46"/>
    </row>
    <row r="2727">
      <c r="C2727" s="46"/>
    </row>
    <row r="2728">
      <c r="C2728" s="46"/>
    </row>
    <row r="2729">
      <c r="C2729" s="46"/>
    </row>
    <row r="2730">
      <c r="C2730" s="46"/>
    </row>
    <row r="2731">
      <c r="C2731" s="46"/>
    </row>
    <row r="2732">
      <c r="C2732" s="46"/>
    </row>
    <row r="2733">
      <c r="C2733" s="46"/>
    </row>
    <row r="2734">
      <c r="C2734" s="46"/>
    </row>
    <row r="2735">
      <c r="C2735" s="46"/>
    </row>
    <row r="2736">
      <c r="C2736" s="46"/>
    </row>
    <row r="2737">
      <c r="C2737" s="46"/>
    </row>
    <row r="2738">
      <c r="C2738" s="46"/>
    </row>
    <row r="2739">
      <c r="C2739" s="46"/>
    </row>
    <row r="2740">
      <c r="C2740" s="46"/>
    </row>
    <row r="2741">
      <c r="C2741" s="46"/>
    </row>
    <row r="2742">
      <c r="C2742" s="46"/>
    </row>
    <row r="2743">
      <c r="C2743" s="46"/>
    </row>
    <row r="2744">
      <c r="C2744" s="46"/>
    </row>
    <row r="2745">
      <c r="C2745" s="46"/>
    </row>
    <row r="2746">
      <c r="C2746" s="46"/>
    </row>
    <row r="2747">
      <c r="C2747" s="46"/>
    </row>
    <row r="2748">
      <c r="C2748" s="46"/>
    </row>
    <row r="2749">
      <c r="C2749" s="46"/>
    </row>
    <row r="2750">
      <c r="C2750" s="46"/>
    </row>
    <row r="2751">
      <c r="C2751" s="46"/>
    </row>
    <row r="2752">
      <c r="C2752" s="46"/>
    </row>
    <row r="2753">
      <c r="C2753" s="46"/>
    </row>
    <row r="2754">
      <c r="C2754" s="46"/>
    </row>
    <row r="2755">
      <c r="C2755" s="46"/>
    </row>
    <row r="2756">
      <c r="C2756" s="46"/>
    </row>
    <row r="2757">
      <c r="C2757" s="46"/>
    </row>
    <row r="2758">
      <c r="C2758" s="46"/>
    </row>
    <row r="2759">
      <c r="C2759" s="46"/>
    </row>
    <row r="2760">
      <c r="C2760" s="46"/>
    </row>
    <row r="2761">
      <c r="C2761" s="46"/>
    </row>
    <row r="2762">
      <c r="C2762" s="46"/>
    </row>
    <row r="2763">
      <c r="C2763" s="46"/>
    </row>
    <row r="2764">
      <c r="C2764" s="46"/>
    </row>
    <row r="2765">
      <c r="C2765" s="46"/>
    </row>
    <row r="2766">
      <c r="C2766" s="46"/>
    </row>
    <row r="2767">
      <c r="C2767" s="46"/>
    </row>
    <row r="2768">
      <c r="C2768" s="46"/>
    </row>
    <row r="2769">
      <c r="C2769" s="46"/>
    </row>
    <row r="2770">
      <c r="C2770" s="46"/>
    </row>
    <row r="2771">
      <c r="C2771" s="46"/>
    </row>
    <row r="2772">
      <c r="C2772" s="46"/>
    </row>
    <row r="2773">
      <c r="C2773" s="46"/>
    </row>
    <row r="2774">
      <c r="C2774" s="46"/>
    </row>
    <row r="2775">
      <c r="C2775" s="46"/>
    </row>
    <row r="2776">
      <c r="C2776" s="46"/>
    </row>
    <row r="2777">
      <c r="C2777" s="46"/>
    </row>
    <row r="2778">
      <c r="C2778" s="46"/>
    </row>
    <row r="2779">
      <c r="C2779" s="46"/>
    </row>
    <row r="2780">
      <c r="C2780" s="46"/>
    </row>
    <row r="2781">
      <c r="C2781" s="46"/>
    </row>
    <row r="2782">
      <c r="C2782" s="46"/>
    </row>
    <row r="2783">
      <c r="C2783" s="46"/>
    </row>
    <row r="2784">
      <c r="C2784" s="46"/>
    </row>
    <row r="2785">
      <c r="C2785" s="46"/>
    </row>
    <row r="2786">
      <c r="C2786" s="46"/>
    </row>
    <row r="2787">
      <c r="C2787" s="46"/>
    </row>
    <row r="2788">
      <c r="C2788" s="46"/>
    </row>
    <row r="2789">
      <c r="C2789" s="46"/>
    </row>
    <row r="2790">
      <c r="C2790" s="46"/>
    </row>
    <row r="2791">
      <c r="C2791" s="46"/>
    </row>
    <row r="2792">
      <c r="C2792" s="46"/>
    </row>
    <row r="2793">
      <c r="C2793" s="46"/>
    </row>
    <row r="2794">
      <c r="C2794" s="46"/>
    </row>
    <row r="2795">
      <c r="C2795" s="46"/>
    </row>
    <row r="2796">
      <c r="C2796" s="46"/>
    </row>
    <row r="2797">
      <c r="C2797" s="46"/>
    </row>
    <row r="2798">
      <c r="C2798" s="46"/>
    </row>
    <row r="2799">
      <c r="C2799" s="46"/>
    </row>
    <row r="2800">
      <c r="C2800" s="46"/>
    </row>
    <row r="2801">
      <c r="C2801" s="46"/>
    </row>
    <row r="2802">
      <c r="C2802" s="46"/>
    </row>
    <row r="2803">
      <c r="C2803" s="46"/>
    </row>
    <row r="2804">
      <c r="C2804" s="46"/>
    </row>
    <row r="2805">
      <c r="C2805" s="46"/>
    </row>
    <row r="2806">
      <c r="C2806" s="46"/>
    </row>
    <row r="2807">
      <c r="C2807" s="46"/>
    </row>
    <row r="2808">
      <c r="C2808" s="46"/>
    </row>
    <row r="2809">
      <c r="C2809" s="46"/>
    </row>
    <row r="2810">
      <c r="C2810" s="46"/>
    </row>
    <row r="2811">
      <c r="C2811" s="46"/>
    </row>
    <row r="2812">
      <c r="C2812" s="46"/>
    </row>
    <row r="2813">
      <c r="C2813" s="46"/>
    </row>
    <row r="2814">
      <c r="C2814" s="46"/>
    </row>
    <row r="2815">
      <c r="C2815" s="46"/>
    </row>
    <row r="2816">
      <c r="C2816" s="46"/>
    </row>
    <row r="2817">
      <c r="C2817" s="46"/>
    </row>
    <row r="2818">
      <c r="C2818" s="46"/>
    </row>
    <row r="2819">
      <c r="C2819" s="46"/>
    </row>
    <row r="2820">
      <c r="C2820" s="46"/>
    </row>
    <row r="2821">
      <c r="C2821" s="46"/>
    </row>
    <row r="2822">
      <c r="C2822" s="46"/>
    </row>
    <row r="2823">
      <c r="C2823" s="46"/>
    </row>
    <row r="2824">
      <c r="C2824" s="46"/>
    </row>
    <row r="2825">
      <c r="C2825" s="46"/>
    </row>
    <row r="2826">
      <c r="C2826" s="46"/>
    </row>
    <row r="2827">
      <c r="C2827" s="46"/>
    </row>
    <row r="2828">
      <c r="C2828" s="46"/>
    </row>
    <row r="2829">
      <c r="C2829" s="46"/>
    </row>
    <row r="2830">
      <c r="C2830" s="46"/>
    </row>
    <row r="2831">
      <c r="C2831" s="46"/>
    </row>
    <row r="2832">
      <c r="C2832" s="46"/>
    </row>
    <row r="2833">
      <c r="C2833" s="46"/>
    </row>
    <row r="2834">
      <c r="C2834" s="46"/>
    </row>
    <row r="2835">
      <c r="C2835" s="46"/>
    </row>
    <row r="2836">
      <c r="C2836" s="46"/>
    </row>
    <row r="2837">
      <c r="C2837" s="46"/>
    </row>
    <row r="2838">
      <c r="C2838" s="46"/>
    </row>
    <row r="2839">
      <c r="C2839" s="46"/>
    </row>
    <row r="2840">
      <c r="C2840" s="46"/>
    </row>
    <row r="2841">
      <c r="C2841" s="46"/>
    </row>
    <row r="2842">
      <c r="C2842" s="46"/>
    </row>
    <row r="2843">
      <c r="C2843" s="46"/>
    </row>
    <row r="2844">
      <c r="C2844" s="46"/>
    </row>
    <row r="2845">
      <c r="C2845" s="46"/>
    </row>
    <row r="2846">
      <c r="C2846" s="46"/>
    </row>
    <row r="2847">
      <c r="C2847" s="46"/>
    </row>
    <row r="2848">
      <c r="C2848" s="46"/>
    </row>
    <row r="2849">
      <c r="C2849" s="46"/>
    </row>
    <row r="2850">
      <c r="C2850" s="46"/>
    </row>
    <row r="2851">
      <c r="C2851" s="46"/>
    </row>
    <row r="2852">
      <c r="C2852" s="46"/>
    </row>
    <row r="2853">
      <c r="C2853" s="46"/>
    </row>
    <row r="2854">
      <c r="C2854" s="46"/>
    </row>
    <row r="2855">
      <c r="C2855" s="46"/>
    </row>
    <row r="2856">
      <c r="C2856" s="46"/>
    </row>
    <row r="2857">
      <c r="C2857" s="46"/>
    </row>
    <row r="2858">
      <c r="C2858" s="46"/>
    </row>
    <row r="2859">
      <c r="C2859" s="46"/>
    </row>
    <row r="2860">
      <c r="C2860" s="46"/>
    </row>
    <row r="2861">
      <c r="C2861" s="46"/>
    </row>
    <row r="2862">
      <c r="C2862" s="46"/>
    </row>
    <row r="2863">
      <c r="C2863" s="46"/>
    </row>
    <row r="2864">
      <c r="C2864" s="46"/>
    </row>
    <row r="2865">
      <c r="C2865" s="46"/>
    </row>
    <row r="2866">
      <c r="C2866" s="46"/>
    </row>
    <row r="2867">
      <c r="C2867" s="46"/>
    </row>
    <row r="2868">
      <c r="C2868" s="46"/>
    </row>
    <row r="2869">
      <c r="C2869" s="46"/>
    </row>
    <row r="2870">
      <c r="C2870" s="46"/>
    </row>
    <row r="2871">
      <c r="C2871" s="46"/>
    </row>
    <row r="2872">
      <c r="C2872" s="46"/>
    </row>
    <row r="2873">
      <c r="C2873" s="46"/>
    </row>
    <row r="2874">
      <c r="C2874" s="46"/>
    </row>
    <row r="2875">
      <c r="C2875" s="46"/>
    </row>
    <row r="2876">
      <c r="C2876" s="46"/>
    </row>
    <row r="2877">
      <c r="C2877" s="46"/>
    </row>
    <row r="2878">
      <c r="C2878" s="46"/>
    </row>
    <row r="2879">
      <c r="C2879" s="46"/>
    </row>
    <row r="2880">
      <c r="C2880" s="46"/>
    </row>
    <row r="2881">
      <c r="C2881" s="46"/>
    </row>
    <row r="2882">
      <c r="C2882" s="46"/>
    </row>
    <row r="2883">
      <c r="C2883" s="46"/>
    </row>
    <row r="2884">
      <c r="C2884" s="46"/>
    </row>
    <row r="2885">
      <c r="C2885" s="46"/>
    </row>
    <row r="2886">
      <c r="C2886" s="46"/>
    </row>
    <row r="2887">
      <c r="C2887" s="46"/>
    </row>
    <row r="2888">
      <c r="C2888" s="46"/>
    </row>
    <row r="2889">
      <c r="C2889" s="46"/>
    </row>
    <row r="2890">
      <c r="C2890" s="46"/>
    </row>
    <row r="2891">
      <c r="C2891" s="46"/>
    </row>
    <row r="2892">
      <c r="C2892" s="46"/>
    </row>
    <row r="2893">
      <c r="C2893" s="46"/>
    </row>
    <row r="2894">
      <c r="C2894" s="46"/>
    </row>
    <row r="2895">
      <c r="C2895" s="46"/>
    </row>
    <row r="2896">
      <c r="C2896" s="46"/>
    </row>
    <row r="2897">
      <c r="C2897" s="46"/>
    </row>
    <row r="2898">
      <c r="C2898" s="46"/>
    </row>
    <row r="2899">
      <c r="C2899" s="46"/>
    </row>
    <row r="2900">
      <c r="C2900" s="46"/>
    </row>
    <row r="2901">
      <c r="C2901" s="46"/>
    </row>
    <row r="2902">
      <c r="C2902" s="46"/>
    </row>
    <row r="2903">
      <c r="C2903" s="46"/>
    </row>
    <row r="2904">
      <c r="C2904" s="46"/>
    </row>
    <row r="2905">
      <c r="C2905" s="46"/>
    </row>
    <row r="2906">
      <c r="C2906" s="46"/>
    </row>
    <row r="2907">
      <c r="C2907" s="46"/>
    </row>
    <row r="2908">
      <c r="C2908" s="46"/>
    </row>
    <row r="2909">
      <c r="C2909" s="46"/>
    </row>
    <row r="2910">
      <c r="C2910" s="46"/>
    </row>
    <row r="2911">
      <c r="C2911" s="46"/>
    </row>
    <row r="2912">
      <c r="C2912" s="46"/>
    </row>
    <row r="2913">
      <c r="C2913" s="46"/>
    </row>
    <row r="2914">
      <c r="C2914" s="46"/>
    </row>
    <row r="2915">
      <c r="C2915" s="46"/>
    </row>
    <row r="2916">
      <c r="C2916" s="46"/>
    </row>
    <row r="2917">
      <c r="C2917" s="46"/>
    </row>
    <row r="2918">
      <c r="C2918" s="46"/>
    </row>
    <row r="2919">
      <c r="C2919" s="46"/>
    </row>
    <row r="2920">
      <c r="C2920" s="46"/>
    </row>
    <row r="2921">
      <c r="C2921" s="46"/>
    </row>
    <row r="2922">
      <c r="C2922" s="46"/>
    </row>
    <row r="2923">
      <c r="C2923" s="46"/>
    </row>
    <row r="2924">
      <c r="C2924" s="46"/>
    </row>
    <row r="2925">
      <c r="C2925" s="46"/>
    </row>
    <row r="2926">
      <c r="C2926" s="46"/>
    </row>
    <row r="2927">
      <c r="C2927" s="46"/>
    </row>
    <row r="2928">
      <c r="C2928" s="46"/>
    </row>
    <row r="2929">
      <c r="C2929" s="46"/>
    </row>
    <row r="2930">
      <c r="C2930" s="46"/>
    </row>
    <row r="2931">
      <c r="C2931" s="46"/>
    </row>
    <row r="2932">
      <c r="C2932" s="46"/>
    </row>
    <row r="2933">
      <c r="C2933" s="46"/>
    </row>
    <row r="2934">
      <c r="C2934" s="46"/>
    </row>
    <row r="2935">
      <c r="C2935" s="46"/>
    </row>
    <row r="2936">
      <c r="C2936" s="46"/>
    </row>
    <row r="2937">
      <c r="C2937" s="46"/>
    </row>
    <row r="2938">
      <c r="C2938" s="46"/>
    </row>
    <row r="2939">
      <c r="C2939" s="46"/>
    </row>
    <row r="2940">
      <c r="C2940" s="46"/>
    </row>
    <row r="2941">
      <c r="C2941" s="46"/>
    </row>
    <row r="2942">
      <c r="C2942" s="46"/>
    </row>
    <row r="2943">
      <c r="C2943" s="46"/>
    </row>
    <row r="2944">
      <c r="C2944" s="46"/>
    </row>
    <row r="2945">
      <c r="C2945" s="46"/>
    </row>
    <row r="2946">
      <c r="C2946" s="46"/>
    </row>
    <row r="2947">
      <c r="C2947" s="46"/>
    </row>
    <row r="2948">
      <c r="C2948" s="46"/>
    </row>
    <row r="2949">
      <c r="C2949" s="46"/>
    </row>
    <row r="2950">
      <c r="C2950" s="46"/>
    </row>
    <row r="2951">
      <c r="C2951" s="46"/>
    </row>
    <row r="2952">
      <c r="C2952" s="46"/>
    </row>
    <row r="2953">
      <c r="C2953" s="46"/>
    </row>
    <row r="2954">
      <c r="C2954" s="46"/>
    </row>
    <row r="2955">
      <c r="C2955" s="46"/>
    </row>
    <row r="2956">
      <c r="C2956" s="46"/>
    </row>
    <row r="2957">
      <c r="C2957" s="46"/>
    </row>
    <row r="2958">
      <c r="C2958" s="46"/>
    </row>
    <row r="2959">
      <c r="C2959" s="46"/>
    </row>
    <row r="2960">
      <c r="C2960" s="46"/>
    </row>
    <row r="2961">
      <c r="C2961" s="46"/>
    </row>
    <row r="2962">
      <c r="C2962" s="46"/>
    </row>
    <row r="2963">
      <c r="C2963" s="46"/>
    </row>
    <row r="2964">
      <c r="C2964" s="46"/>
    </row>
    <row r="2965">
      <c r="C2965" s="46"/>
    </row>
    <row r="2966">
      <c r="C2966" s="46"/>
    </row>
    <row r="2967">
      <c r="C2967" s="46"/>
    </row>
    <row r="2968">
      <c r="C2968" s="46"/>
    </row>
    <row r="2969">
      <c r="C2969" s="46"/>
    </row>
    <row r="2970">
      <c r="C2970" s="46"/>
    </row>
    <row r="2971">
      <c r="C2971" s="46"/>
    </row>
    <row r="2972">
      <c r="C2972" s="46"/>
    </row>
    <row r="2973">
      <c r="C2973" s="46"/>
    </row>
    <row r="2974">
      <c r="C2974" s="46"/>
    </row>
    <row r="2975">
      <c r="C2975" s="46"/>
    </row>
    <row r="2976">
      <c r="C2976" s="46"/>
    </row>
    <row r="2977">
      <c r="C2977" s="46"/>
    </row>
    <row r="2978">
      <c r="C2978" s="46"/>
    </row>
    <row r="2979">
      <c r="C2979" s="46"/>
    </row>
    <row r="2980">
      <c r="C2980" s="46"/>
    </row>
    <row r="2981">
      <c r="C2981" s="46"/>
    </row>
    <row r="2982">
      <c r="C2982" s="46"/>
    </row>
    <row r="2983">
      <c r="C2983" s="46"/>
    </row>
    <row r="2984">
      <c r="C2984" s="46"/>
    </row>
    <row r="2985">
      <c r="C2985" s="46"/>
    </row>
    <row r="2986">
      <c r="C2986" s="46"/>
    </row>
    <row r="2987">
      <c r="C2987" s="46"/>
    </row>
    <row r="2988">
      <c r="C2988" s="46"/>
    </row>
    <row r="2989">
      <c r="C2989" s="46"/>
    </row>
    <row r="2990">
      <c r="C2990" s="46"/>
    </row>
    <row r="2991">
      <c r="C2991" s="46"/>
    </row>
    <row r="2992">
      <c r="C2992" s="46"/>
    </row>
    <row r="2993">
      <c r="C2993" s="46"/>
    </row>
    <row r="2994">
      <c r="C2994" s="46"/>
    </row>
    <row r="2995">
      <c r="C2995" s="46"/>
    </row>
    <row r="2996">
      <c r="C2996" s="46"/>
    </row>
    <row r="2997">
      <c r="C2997" s="46"/>
    </row>
    <row r="2998">
      <c r="C2998" s="46"/>
    </row>
    <row r="2999">
      <c r="C2999" s="46"/>
    </row>
  </sheetData>
  <mergeCells count="3">
    <mergeCell ref="F3:G3"/>
    <mergeCell ref="F5:G5"/>
    <mergeCell ref="F12:H1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s>
  <sheetData>
    <row r="1">
      <c r="A1" s="1" t="s">
        <v>0</v>
      </c>
      <c r="B1" s="47" t="s">
        <v>18</v>
      </c>
      <c r="C1" s="47" t="s">
        <v>19</v>
      </c>
    </row>
    <row r="2">
      <c r="A2" s="16">
        <v>46090.0</v>
      </c>
      <c r="B2" s="44">
        <f>VLOOKUP(A2,'Data preparation'!A:G,7,0)</f>
        <v>-0.01779448622</v>
      </c>
      <c r="C2" s="44">
        <f>VLOOKUP(A2,'Data preparation'!A:I,8,0)</f>
        <v>-0.0147864184</v>
      </c>
      <c r="E2" s="53" t="s">
        <v>105</v>
      </c>
      <c r="F2" s="42">
        <f>_xlfn.COVARIANCE.P(B:B,C:C)</f>
        <v>0.001582945566</v>
      </c>
    </row>
    <row r="3">
      <c r="A3" s="16">
        <v>46083.0</v>
      </c>
      <c r="B3" s="44">
        <f>VLOOKUP(A3,'Data preparation'!A:G,7,0)</f>
        <v>-0.1079812207</v>
      </c>
      <c r="C3" s="44">
        <f>VLOOKUP(A3,'Data preparation'!A:I,8,0)</f>
        <v>-0.07152542373</v>
      </c>
      <c r="E3" s="53" t="s">
        <v>106</v>
      </c>
      <c r="F3" s="42">
        <f>CORREL(B:B,C:C)</f>
        <v>0.7413453529</v>
      </c>
    </row>
    <row r="4">
      <c r="A4" s="16">
        <v>46076.0</v>
      </c>
      <c r="B4" s="44">
        <f>VLOOKUP(A4,'Data preparation'!A:G,7,0)</f>
        <v>-0.00952170062</v>
      </c>
      <c r="C4" s="44">
        <f>VLOOKUP(A4,'Data preparation'!A:I,8,0)</f>
        <v>-0.004051316678</v>
      </c>
      <c r="E4" s="53" t="s">
        <v>107</v>
      </c>
      <c r="F4" s="50">
        <f>F3^2</f>
        <v>0.5495929323</v>
      </c>
    </row>
    <row r="5">
      <c r="A5" s="16">
        <v>46069.0</v>
      </c>
      <c r="B5" s="44">
        <f>VLOOKUP(A5,'Data preparation'!A:G,7,0)</f>
        <v>0.01597300337</v>
      </c>
      <c r="C5" s="44">
        <f>VLOOKUP(A5,'Data preparation'!A:I,8,0)</f>
        <v>0.02811523776</v>
      </c>
    </row>
    <row r="6">
      <c r="A6" s="16">
        <v>46062.0</v>
      </c>
      <c r="B6" s="44">
        <f>VLOOKUP(A6,'Data preparation'!A:G,7,0)</f>
        <v>0.005201266395</v>
      </c>
      <c r="C6" s="44">
        <f>VLOOKUP(A6,'Data preparation'!A:I,8,0)</f>
        <v>-0.01973460361</v>
      </c>
    </row>
    <row r="7">
      <c r="A7" s="16">
        <v>46055.0</v>
      </c>
      <c r="B7" s="44">
        <f>VLOOKUP(A7,'Data preparation'!A:G,7,0)</f>
        <v>0.01166781057</v>
      </c>
      <c r="C7" s="44">
        <f>VLOOKUP(A7,'Data preparation'!A:I,8,0)</f>
        <v>0.01713099152</v>
      </c>
    </row>
    <row r="8">
      <c r="A8" s="16">
        <v>46048.0</v>
      </c>
      <c r="B8" s="44">
        <f>VLOOKUP(A8,'Data preparation'!A:G,7,0)</f>
        <v>-0.002282583885</v>
      </c>
      <c r="C8" s="44">
        <f>VLOOKUP(A8,'Data preparation'!A:I,8,0)</f>
        <v>-0.008747855918</v>
      </c>
    </row>
    <row r="9">
      <c r="A9" s="16">
        <v>46041.0</v>
      </c>
      <c r="B9" s="44">
        <f>VLOOKUP(A9,'Data preparation'!A:G,7,0)</f>
        <v>-0.01239855726</v>
      </c>
      <c r="C9" s="44">
        <f>VLOOKUP(A9,'Data preparation'!A:I,8,0)</f>
        <v>-0.008840530432</v>
      </c>
    </row>
    <row r="10">
      <c r="A10" s="16">
        <v>46034.0</v>
      </c>
      <c r="B10" s="44">
        <f>VLOOKUP(A10,'Data preparation'!A:G,7,0)</f>
        <v>-0.03586176918</v>
      </c>
      <c r="C10" s="44">
        <f>VLOOKUP(A10,'Data preparation'!A:I,8,0)</f>
        <v>-0.02567500414</v>
      </c>
    </row>
    <row r="11">
      <c r="A11" s="16">
        <v>46027.0</v>
      </c>
      <c r="B11" s="44">
        <f>VLOOKUP(A11,'Data preparation'!A:G,7,0)</f>
        <v>-0.04464285714</v>
      </c>
      <c r="C11" s="44">
        <f>VLOOKUP(A11,'Data preparation'!A:I,8,0)</f>
        <v>-0.02518973034</v>
      </c>
    </row>
    <row r="12">
      <c r="A12" s="16">
        <v>46020.0</v>
      </c>
      <c r="B12" s="44">
        <f>VLOOKUP(A12,'Data preparation'!A:G,7,0)</f>
        <v>0.03949924455</v>
      </c>
      <c r="C12" s="44">
        <f>VLOOKUP(A12,'Data preparation'!A:I,8,0)</f>
        <v>0.04435075885</v>
      </c>
    </row>
    <row r="13">
      <c r="A13" s="16">
        <v>46013.0</v>
      </c>
      <c r="B13" s="44">
        <f>VLOOKUP(A13,'Data preparation'!A:G,7,0)</f>
        <v>-0.01025421918</v>
      </c>
      <c r="C13" s="44">
        <f>VLOOKUP(A13,'Data preparation'!A:I,8,0)</f>
        <v>-0.009024064171</v>
      </c>
    </row>
    <row r="14">
      <c r="A14" s="16">
        <v>46006.0</v>
      </c>
      <c r="B14" s="44">
        <f>VLOOKUP(A14,'Data preparation'!A:G,7,0)</f>
        <v>-0.0262117745</v>
      </c>
      <c r="C14" s="44">
        <f>VLOOKUP(A14,'Data preparation'!A:I,8,0)</f>
        <v>-0.02998865294</v>
      </c>
    </row>
    <row r="15">
      <c r="A15" s="16">
        <v>45999.0</v>
      </c>
      <c r="B15" s="44">
        <f>VLOOKUP(A15,'Data preparation'!A:G,7,0)</f>
        <v>-0.00331743728</v>
      </c>
      <c r="C15" s="44">
        <f>VLOOKUP(A15,'Data preparation'!A:I,8,0)</f>
        <v>0.001461038961</v>
      </c>
    </row>
    <row r="16">
      <c r="A16" s="16">
        <v>45992.0</v>
      </c>
      <c r="B16" s="44">
        <f>VLOOKUP(A16,'Data preparation'!A:G,7,0)</f>
        <v>0.09563834621</v>
      </c>
      <c r="C16" s="44">
        <f>VLOOKUP(A16,'Data preparation'!A:I,8,0)</f>
        <v>0.05914718019</v>
      </c>
    </row>
    <row r="17">
      <c r="A17" s="16">
        <v>45985.0</v>
      </c>
      <c r="B17" s="44">
        <f>VLOOKUP(A17,'Data preparation'!A:G,7,0)</f>
        <v>0.03479078514</v>
      </c>
      <c r="C17" s="44">
        <f>VLOOKUP(A17,'Data preparation'!A:I,8,0)</f>
        <v>0.01999298492</v>
      </c>
    </row>
    <row r="18">
      <c r="A18" s="16">
        <v>45978.0</v>
      </c>
      <c r="B18" s="44">
        <f>VLOOKUP(A18,'Data preparation'!A:G,7,0)</f>
        <v>-0.04124408384</v>
      </c>
      <c r="C18" s="44">
        <f>VLOOKUP(A18,'Data preparation'!A:I,8,0)</f>
        <v>-0.04264607119</v>
      </c>
    </row>
    <row r="19">
      <c r="A19" s="16">
        <v>45971.0</v>
      </c>
      <c r="B19" s="44">
        <f>VLOOKUP(A19,'Data preparation'!A:G,7,0)</f>
        <v>0.05266903915</v>
      </c>
      <c r="C19" s="44">
        <f>VLOOKUP(A19,'Data preparation'!A:I,8,0)</f>
        <v>0.02354356419</v>
      </c>
    </row>
    <row r="20">
      <c r="A20" s="16">
        <v>45964.0</v>
      </c>
      <c r="B20" s="44">
        <f>VLOOKUP(A20,'Data preparation'!A:G,7,0)</f>
        <v>0.04435084242</v>
      </c>
      <c r="C20" s="44">
        <f>VLOOKUP(A20,'Data preparation'!A:I,8,0)</f>
        <v>0.03522504892</v>
      </c>
    </row>
    <row r="21">
      <c r="A21" s="16">
        <v>45957.0</v>
      </c>
      <c r="B21" s="44">
        <f>VLOOKUP(A21,'Data preparation'!A:G,7,0)</f>
        <v>-0.005421389847</v>
      </c>
      <c r="C21" s="44">
        <f>VLOOKUP(A21,'Data preparation'!A:I,8,0)</f>
        <v>0.04576744186</v>
      </c>
    </row>
    <row r="22">
      <c r="A22" s="16">
        <v>45950.0</v>
      </c>
      <c r="B22" s="44">
        <f>VLOOKUP(A22,'Data preparation'!A:G,7,0)</f>
        <v>0.01171777612</v>
      </c>
      <c r="C22" s="44">
        <f>VLOOKUP(A22,'Data preparation'!A:I,8,0)</f>
        <v>0.007120104928</v>
      </c>
    </row>
    <row r="23">
      <c r="A23" s="16">
        <v>45943.0</v>
      </c>
      <c r="B23" s="44">
        <f>VLOOKUP(A23,'Data preparation'!A:G,7,0)</f>
        <v>0.02217125382</v>
      </c>
      <c r="C23" s="44">
        <f>VLOOKUP(A23,'Data preparation'!A:I,8,0)</f>
        <v>0.003195488722</v>
      </c>
    </row>
    <row r="24">
      <c r="A24" s="16">
        <v>45936.0</v>
      </c>
      <c r="B24" s="44">
        <f>VLOOKUP(A24,'Data preparation'!A:G,7,0)</f>
        <v>-0.09187688035</v>
      </c>
      <c r="C24" s="44">
        <f>VLOOKUP(A24,'Data preparation'!A:I,8,0)</f>
        <v>-0.03988449738</v>
      </c>
    </row>
    <row r="25">
      <c r="A25" s="16">
        <v>45929.0</v>
      </c>
      <c r="B25" s="44">
        <f>VLOOKUP(A25,'Data preparation'!A:G,7,0)</f>
        <v>0.007930954047</v>
      </c>
      <c r="C25" s="44">
        <f>VLOOKUP(A25,'Data preparation'!A:I,8,0)</f>
        <v>0.03919729932</v>
      </c>
    </row>
    <row r="26">
      <c r="A26" s="16">
        <v>45922.0</v>
      </c>
      <c r="B26" s="44">
        <f>VLOOKUP(A26,'Data preparation'!A:G,7,0)</f>
        <v>0.02978621187</v>
      </c>
      <c r="C26" s="44">
        <f>VLOOKUP(A26,'Data preparation'!A:I,8,0)</f>
        <v>0.03574203574</v>
      </c>
    </row>
    <row r="27">
      <c r="A27" s="16">
        <v>45915.0</v>
      </c>
      <c r="B27" s="44">
        <f>VLOOKUP(A27,'Data preparation'!A:G,7,0)</f>
        <v>-0.006680983059</v>
      </c>
      <c r="C27" s="44">
        <f>VLOOKUP(A27,'Data preparation'!A:I,8,0)</f>
        <v>-0.00406268137</v>
      </c>
    </row>
    <row r="28">
      <c r="A28" s="16">
        <v>45908.0</v>
      </c>
      <c r="B28" s="44">
        <f>VLOOKUP(A28,'Data preparation'!A:G,7,0)</f>
        <v>-0.05223880597</v>
      </c>
      <c r="C28" s="44">
        <f>VLOOKUP(A28,'Data preparation'!A:I,8,0)</f>
        <v>-0.02324263039</v>
      </c>
    </row>
    <row r="29">
      <c r="A29" s="16">
        <v>45901.0</v>
      </c>
      <c r="B29" s="44">
        <f>VLOOKUP(A29,'Data preparation'!A:G,7,0)</f>
        <v>-0.0114017438</v>
      </c>
      <c r="C29" s="44">
        <f>VLOOKUP(A29,'Data preparation'!A:I,8,0)</f>
        <v>-0.008059981256</v>
      </c>
    </row>
    <row r="30">
      <c r="A30" s="16">
        <v>45894.0</v>
      </c>
      <c r="B30" s="44">
        <f>VLOOKUP(A30,'Data preparation'!A:G,7,0)</f>
        <v>-0.02143950995</v>
      </c>
      <c r="C30" s="44">
        <f>VLOOKUP(A30,'Data preparation'!A:I,8,0)</f>
        <v>-0.03246282191</v>
      </c>
    </row>
    <row r="31">
      <c r="A31" s="16">
        <v>45887.0</v>
      </c>
      <c r="B31" s="44">
        <f>VLOOKUP(A31,'Data preparation'!A:G,7,0)</f>
        <v>0.01420013313</v>
      </c>
      <c r="C31" s="44">
        <f>VLOOKUP(A31,'Data preparation'!A:I,8,0)</f>
        <v>0.03046159596</v>
      </c>
    </row>
    <row r="32">
      <c r="A32" s="16">
        <v>45880.0</v>
      </c>
      <c r="B32" s="44">
        <f>VLOOKUP(A32,'Data preparation'!A:G,7,0)</f>
        <v>0.03087831656</v>
      </c>
      <c r="C32" s="44">
        <f>VLOOKUP(A32,'Data preparation'!A:I,8,0)</f>
        <v>0.02666922487</v>
      </c>
    </row>
    <row r="33">
      <c r="A33" s="16">
        <v>45873.0</v>
      </c>
      <c r="B33" s="44">
        <f>VLOOKUP(A33,'Data preparation'!A:G,7,0)</f>
        <v>0.06504263094</v>
      </c>
      <c r="C33" s="44">
        <f>VLOOKUP(A33,'Data preparation'!A:I,8,0)</f>
        <v>0.06150712831</v>
      </c>
    </row>
    <row r="34">
      <c r="A34" s="16">
        <v>45866.0</v>
      </c>
      <c r="B34" s="44">
        <f>VLOOKUP(A34,'Data preparation'!A:G,7,0)</f>
        <v>-0.07773534037</v>
      </c>
      <c r="C34" s="44">
        <f>VLOOKUP(A34,'Data preparation'!A:I,8,0)</f>
        <v>-0.1151558839</v>
      </c>
    </row>
    <row r="35">
      <c r="A35" s="16">
        <v>45859.0</v>
      </c>
      <c r="B35" s="44">
        <f>VLOOKUP(A35,'Data preparation'!A:G,7,0)</f>
        <v>0.06585249042</v>
      </c>
      <c r="C35" s="44">
        <f>VLOOKUP(A35,'Data preparation'!A:I,8,0)</f>
        <v>0.08104422365</v>
      </c>
    </row>
    <row r="36">
      <c r="A36" s="16">
        <v>45852.0</v>
      </c>
      <c r="B36" s="44">
        <f>VLOOKUP(A36,'Data preparation'!A:G,7,0)</f>
        <v>-0.02407104464</v>
      </c>
      <c r="C36" s="44">
        <f>VLOOKUP(A36,'Data preparation'!A:I,8,0)</f>
        <v>-0.03351534551</v>
      </c>
    </row>
    <row r="37">
      <c r="A37" s="16">
        <v>45845.0</v>
      </c>
      <c r="B37" s="44">
        <f>VLOOKUP(A37,'Data preparation'!A:G,7,0)</f>
        <v>0.09943473792</v>
      </c>
      <c r="C37" s="44">
        <f>VLOOKUP(A37,'Data preparation'!A:I,8,0)</f>
        <v>0.06050319489</v>
      </c>
    </row>
    <row r="38">
      <c r="A38" s="16">
        <v>45838.0</v>
      </c>
      <c r="B38" s="44">
        <f>VLOOKUP(A38,'Data preparation'!A:G,7,0)</f>
        <v>0.01301405518</v>
      </c>
      <c r="C38" s="44">
        <f>VLOOKUP(A38,'Data preparation'!A:I,8,0)</f>
        <v>-0.008120419885</v>
      </c>
    </row>
    <row r="39">
      <c r="A39" s="16">
        <v>45831.0</v>
      </c>
      <c r="B39" s="44">
        <f>VLOOKUP(A39,'Data preparation'!A:G,7,0)</f>
        <v>0.06722222222</v>
      </c>
      <c r="C39" s="44">
        <f>VLOOKUP(A39,'Data preparation'!A:I,8,0)</f>
        <v>0.03824799506</v>
      </c>
    </row>
    <row r="40">
      <c r="A40" s="16">
        <v>45824.0</v>
      </c>
      <c r="B40" s="44">
        <f>VLOOKUP(A40,'Data preparation'!A:G,7,0)</f>
        <v>-0.0438247012</v>
      </c>
      <c r="C40" s="44">
        <f>VLOOKUP(A40,'Data preparation'!A:I,8,0)</f>
        <v>-0.04309327037</v>
      </c>
    </row>
    <row r="41">
      <c r="A41" s="16">
        <v>45817.0</v>
      </c>
      <c r="B41" s="44">
        <f>VLOOKUP(A41,'Data preparation'!A:G,7,0)</f>
        <v>-0.01799687011</v>
      </c>
      <c r="C41" s="44">
        <f>VLOOKUP(A41,'Data preparation'!A:I,8,0)</f>
        <v>-0.01032132425</v>
      </c>
    </row>
    <row r="42">
      <c r="A42" s="16">
        <v>45810.0</v>
      </c>
      <c r="B42" s="44">
        <f>VLOOKUP(A42,'Data preparation'!A:G,7,0)</f>
        <v>-0.01818181818</v>
      </c>
      <c r="C42" s="44">
        <f>VLOOKUP(A42,'Data preparation'!A:I,8,0)</f>
        <v>-0.02357862712</v>
      </c>
    </row>
    <row r="43">
      <c r="A43" s="16">
        <v>45803.0</v>
      </c>
      <c r="B43" s="44">
        <f>VLOOKUP(A43,'Data preparation'!A:G,7,0)</f>
        <v>0.03773584906</v>
      </c>
      <c r="C43" s="44">
        <f>VLOOKUP(A43,'Data preparation'!A:I,8,0)</f>
        <v>0.04056193114</v>
      </c>
    </row>
    <row r="44">
      <c r="A44" s="16">
        <v>45796.0</v>
      </c>
      <c r="B44" s="44">
        <f>VLOOKUP(A44,'Data preparation'!A:G,7,0)</f>
        <v>0.03124143601</v>
      </c>
      <c r="C44" s="44">
        <f>VLOOKUP(A44,'Data preparation'!A:I,8,0)</f>
        <v>-0.03733333333</v>
      </c>
    </row>
    <row r="45">
      <c r="A45" s="16">
        <v>45789.0</v>
      </c>
      <c r="B45" s="44">
        <f>VLOOKUP(A45,'Data preparation'!A:G,7,0)</f>
        <v>-0.03465608466</v>
      </c>
      <c r="C45" s="44">
        <f>VLOOKUP(A45,'Data preparation'!A:I,8,0)</f>
        <v>0.1170212766</v>
      </c>
    </row>
    <row r="46">
      <c r="A46" s="16">
        <v>45782.0</v>
      </c>
      <c r="B46" s="44">
        <f>VLOOKUP(A46,'Data preparation'!A:G,7,0)</f>
        <v>0.06493872376</v>
      </c>
      <c r="C46" s="44">
        <f>VLOOKUP(A46,'Data preparation'!A:I,8,0)</f>
        <v>-0.04179408767</v>
      </c>
    </row>
    <row r="47">
      <c r="A47" s="16">
        <v>45775.0</v>
      </c>
      <c r="B47" s="44">
        <f>VLOOKUP(A47,'Data preparation'!A:G,7,0)</f>
        <v>-0.01961055103</v>
      </c>
      <c r="C47" s="44">
        <f>VLOOKUP(A47,'Data preparation'!A:I,8,0)</f>
        <v>-0.02368630573</v>
      </c>
    </row>
    <row r="48">
      <c r="A48" s="16">
        <v>45768.0</v>
      </c>
      <c r="B48" s="44">
        <f>VLOOKUP(A48,'Data preparation'!A:G,7,0)</f>
        <v>0.08625862586</v>
      </c>
      <c r="C48" s="44">
        <f>VLOOKUP(A48,'Data preparation'!A:I,8,0)</f>
        <v>0.08674021198</v>
      </c>
    </row>
    <row r="49">
      <c r="A49" s="16">
        <v>45761.0</v>
      </c>
      <c r="B49" s="44">
        <f>VLOOKUP(A49,'Data preparation'!A:G,7,0)</f>
        <v>0.05876747141</v>
      </c>
      <c r="C49" s="44">
        <f>VLOOKUP(A49,'Data preparation'!A:I,8,0)</f>
        <v>0.04215509468</v>
      </c>
    </row>
    <row r="50">
      <c r="A50" s="16">
        <v>45754.0</v>
      </c>
      <c r="B50" s="44">
        <f>VLOOKUP(A50,'Data preparation'!A:G,7,0)</f>
        <v>-0.02417854929</v>
      </c>
      <c r="C50" s="44">
        <f>VLOOKUP(A50,'Data preparation'!A:I,8,0)</f>
        <v>-0.01771479185</v>
      </c>
    </row>
    <row r="51">
      <c r="A51" s="16">
        <v>45747.0</v>
      </c>
      <c r="B51" s="44">
        <f>VLOOKUP(A51,'Data preparation'!A:G,7,0)</f>
        <v>-0.1045107564</v>
      </c>
      <c r="C51" s="44">
        <f>VLOOKUP(A51,'Data preparation'!A:I,8,0)</f>
        <v>-0.1198596765</v>
      </c>
    </row>
    <row r="52">
      <c r="A52" s="16">
        <v>45740.0</v>
      </c>
      <c r="B52" s="44">
        <f>VLOOKUP(A52,'Data preparation'!A:G,7,0)</f>
        <v>-0.04074024764</v>
      </c>
      <c r="C52" s="44">
        <f>VLOOKUP(A52,'Data preparation'!A:I,8,0)</f>
        <v>-0.04468441631</v>
      </c>
    </row>
    <row r="53">
      <c r="A53" s="16">
        <v>45733.0</v>
      </c>
      <c r="B53" s="44">
        <f>VLOOKUP(A53,'Data preparation'!A:G,7,0)</f>
        <v>-0.03581514763</v>
      </c>
      <c r="C53" s="44">
        <f>VLOOKUP(A53,'Data preparation'!A:I,8,0)</f>
        <v>-0.02681645226</v>
      </c>
    </row>
    <row r="54">
      <c r="A54" s="16">
        <v>45726.0</v>
      </c>
      <c r="B54" s="44" t="str">
        <f>VLOOKUP(A54,'Data preparation'!A:G,7,0)</f>
        <v/>
      </c>
      <c r="C54" s="44" t="str">
        <f>VLOOKUP(A54,'Data preparation'!A:I,8,0)</f>
        <v/>
      </c>
    </row>
    <row r="55">
      <c r="A55" s="30"/>
    </row>
    <row r="56">
      <c r="A56" s="30"/>
    </row>
    <row r="57">
      <c r="A57" s="30"/>
    </row>
    <row r="58">
      <c r="A58" s="30"/>
    </row>
    <row r="59">
      <c r="A59" s="34"/>
    </row>
    <row r="60">
      <c r="A60" s="34"/>
    </row>
    <row r="61">
      <c r="A61" s="34"/>
    </row>
    <row r="62">
      <c r="A62" s="34"/>
    </row>
    <row r="63">
      <c r="A63" s="34"/>
    </row>
    <row r="64">
      <c r="A64" s="34"/>
    </row>
    <row r="65">
      <c r="A65" s="34"/>
    </row>
    <row r="66">
      <c r="A66" s="34"/>
    </row>
    <row r="67">
      <c r="A67" s="34"/>
    </row>
    <row r="68">
      <c r="A68" s="34"/>
    </row>
    <row r="69">
      <c r="A69" s="34"/>
    </row>
    <row r="70">
      <c r="A70" s="34"/>
    </row>
    <row r="71">
      <c r="A71" s="34"/>
    </row>
    <row r="72">
      <c r="A72" s="34"/>
    </row>
    <row r="73">
      <c r="A73" s="34"/>
    </row>
    <row r="74">
      <c r="A74" s="34"/>
    </row>
    <row r="75">
      <c r="A75" s="34"/>
    </row>
    <row r="76">
      <c r="A76" s="34"/>
    </row>
    <row r="77">
      <c r="A77" s="34"/>
    </row>
    <row r="78">
      <c r="A78" s="34"/>
    </row>
    <row r="79">
      <c r="A79" s="34"/>
    </row>
    <row r="80">
      <c r="A80" s="34"/>
    </row>
    <row r="81">
      <c r="A81" s="34"/>
    </row>
    <row r="82">
      <c r="A82" s="34"/>
    </row>
    <row r="83">
      <c r="A83" s="34"/>
    </row>
    <row r="84">
      <c r="A84" s="34"/>
    </row>
    <row r="85">
      <c r="A85" s="34"/>
    </row>
    <row r="86">
      <c r="A86" s="34"/>
    </row>
    <row r="87">
      <c r="A87" s="34"/>
    </row>
    <row r="88">
      <c r="A88" s="34"/>
    </row>
    <row r="89">
      <c r="A89" s="34"/>
    </row>
    <row r="90">
      <c r="A90" s="34"/>
    </row>
    <row r="91">
      <c r="A91" s="34"/>
    </row>
    <row r="92">
      <c r="A92" s="34"/>
    </row>
    <row r="93">
      <c r="A93" s="34"/>
    </row>
    <row r="94">
      <c r="A94" s="34"/>
    </row>
    <row r="95">
      <c r="A95" s="34"/>
    </row>
    <row r="96">
      <c r="A96" s="34"/>
    </row>
    <row r="97">
      <c r="A97" s="34"/>
    </row>
    <row r="98">
      <c r="A98" s="34"/>
    </row>
    <row r="99">
      <c r="A99" s="34"/>
    </row>
    <row r="100">
      <c r="A100" s="34"/>
    </row>
    <row r="101">
      <c r="A101" s="34"/>
    </row>
    <row r="102">
      <c r="A102" s="34"/>
    </row>
    <row r="103">
      <c r="A103" s="34"/>
    </row>
    <row r="104">
      <c r="A104" s="34"/>
    </row>
    <row r="105">
      <c r="A105" s="34"/>
    </row>
    <row r="106">
      <c r="A106" s="34"/>
    </row>
    <row r="107">
      <c r="A107" s="34"/>
    </row>
    <row r="108">
      <c r="A108" s="34"/>
    </row>
    <row r="109">
      <c r="A109" s="34"/>
    </row>
    <row r="110">
      <c r="A110" s="34"/>
    </row>
    <row r="111">
      <c r="A111" s="34"/>
    </row>
    <row r="112">
      <c r="A112" s="34"/>
    </row>
    <row r="113">
      <c r="A113" s="34"/>
    </row>
    <row r="114">
      <c r="A114" s="34"/>
    </row>
    <row r="115">
      <c r="A115" s="34"/>
    </row>
    <row r="116">
      <c r="A116" s="34"/>
    </row>
    <row r="117">
      <c r="A117" s="34"/>
    </row>
    <row r="118">
      <c r="A118" s="34"/>
    </row>
    <row r="119">
      <c r="A119" s="34"/>
    </row>
    <row r="120">
      <c r="A120" s="34"/>
    </row>
    <row r="121">
      <c r="A121" s="34"/>
    </row>
    <row r="122">
      <c r="A122" s="34"/>
    </row>
    <row r="123">
      <c r="A123" s="34"/>
    </row>
    <row r="124">
      <c r="A124" s="34"/>
    </row>
    <row r="125">
      <c r="A125" s="34"/>
    </row>
    <row r="126">
      <c r="A126" s="34"/>
    </row>
    <row r="127">
      <c r="A127" s="34"/>
    </row>
    <row r="128">
      <c r="A128" s="34"/>
    </row>
    <row r="129">
      <c r="A129" s="34"/>
    </row>
    <row r="130">
      <c r="A130" s="34"/>
    </row>
    <row r="131">
      <c r="A131" s="34"/>
    </row>
    <row r="132">
      <c r="A132" s="34"/>
    </row>
    <row r="133">
      <c r="A133" s="34"/>
    </row>
    <row r="134">
      <c r="A134" s="34"/>
    </row>
    <row r="135">
      <c r="A135" s="34"/>
    </row>
    <row r="136">
      <c r="A136" s="34"/>
    </row>
    <row r="137">
      <c r="A137" s="34"/>
    </row>
    <row r="138">
      <c r="A138" s="34"/>
    </row>
    <row r="139">
      <c r="A139" s="34"/>
    </row>
    <row r="140">
      <c r="A140" s="34"/>
    </row>
    <row r="141">
      <c r="A141" s="34"/>
    </row>
    <row r="142">
      <c r="A142" s="34"/>
    </row>
    <row r="143">
      <c r="A143" s="34"/>
    </row>
    <row r="144">
      <c r="A144" s="34"/>
    </row>
    <row r="145">
      <c r="A145" s="34"/>
    </row>
    <row r="146">
      <c r="A146" s="34"/>
    </row>
    <row r="147">
      <c r="A147" s="34"/>
    </row>
    <row r="148">
      <c r="A148" s="34"/>
    </row>
    <row r="149">
      <c r="A149" s="34"/>
    </row>
    <row r="150">
      <c r="A150" s="34"/>
    </row>
    <row r="151">
      <c r="A151" s="34"/>
    </row>
    <row r="152">
      <c r="A152" s="34"/>
    </row>
    <row r="153">
      <c r="A153" s="34"/>
    </row>
    <row r="154">
      <c r="A154" s="34"/>
    </row>
    <row r="155">
      <c r="A155" s="34"/>
    </row>
    <row r="156">
      <c r="A156" s="34"/>
    </row>
    <row r="157">
      <c r="A157" s="34"/>
    </row>
    <row r="158">
      <c r="A158" s="34"/>
    </row>
    <row r="159">
      <c r="A159" s="34"/>
    </row>
    <row r="160">
      <c r="A160" s="34"/>
    </row>
    <row r="161">
      <c r="A161" s="34"/>
    </row>
    <row r="162">
      <c r="A162" s="34"/>
    </row>
    <row r="163">
      <c r="A163" s="34"/>
    </row>
    <row r="164">
      <c r="A164" s="34"/>
    </row>
    <row r="165">
      <c r="A165" s="34"/>
    </row>
    <row r="166">
      <c r="A166" s="34"/>
    </row>
    <row r="167">
      <c r="A167" s="34"/>
    </row>
    <row r="168">
      <c r="A168" s="34"/>
    </row>
    <row r="169">
      <c r="A169" s="34"/>
    </row>
    <row r="170">
      <c r="A170" s="34"/>
    </row>
    <row r="171">
      <c r="A171" s="34"/>
    </row>
    <row r="172">
      <c r="A172" s="34"/>
    </row>
    <row r="173">
      <c r="A173" s="34"/>
    </row>
    <row r="174">
      <c r="A174" s="34"/>
    </row>
    <row r="175">
      <c r="A175" s="34"/>
    </row>
    <row r="176">
      <c r="A176" s="34"/>
    </row>
    <row r="177">
      <c r="A177" s="34"/>
    </row>
    <row r="178">
      <c r="A178" s="34"/>
    </row>
    <row r="179">
      <c r="A179" s="34"/>
    </row>
    <row r="180">
      <c r="A180" s="34"/>
    </row>
    <row r="181">
      <c r="A181" s="34"/>
    </row>
    <row r="182">
      <c r="A182" s="34"/>
    </row>
    <row r="183">
      <c r="A183" s="34"/>
    </row>
    <row r="184">
      <c r="A184" s="34"/>
    </row>
    <row r="185">
      <c r="A185" s="34"/>
    </row>
    <row r="186">
      <c r="A186" s="34"/>
    </row>
    <row r="187">
      <c r="A187" s="34"/>
    </row>
    <row r="188">
      <c r="A188" s="34"/>
    </row>
    <row r="189">
      <c r="A189" s="34"/>
    </row>
    <row r="190">
      <c r="A190" s="34"/>
    </row>
    <row r="191">
      <c r="A191" s="34"/>
    </row>
    <row r="192">
      <c r="A192" s="34"/>
    </row>
    <row r="193">
      <c r="A193" s="34"/>
    </row>
    <row r="194">
      <c r="A194" s="34"/>
    </row>
    <row r="195">
      <c r="A195" s="34"/>
    </row>
    <row r="196">
      <c r="A196" s="34"/>
    </row>
    <row r="197">
      <c r="A197" s="34"/>
    </row>
    <row r="198">
      <c r="A198" s="34"/>
    </row>
    <row r="199">
      <c r="A199" s="34"/>
    </row>
    <row r="200">
      <c r="A200" s="34"/>
    </row>
    <row r="201">
      <c r="A201" s="34"/>
    </row>
    <row r="202">
      <c r="A202" s="34"/>
    </row>
    <row r="203">
      <c r="A203" s="34"/>
    </row>
    <row r="204">
      <c r="A204" s="34"/>
    </row>
    <row r="205">
      <c r="A205" s="34"/>
    </row>
    <row r="206">
      <c r="A206" s="34"/>
    </row>
    <row r="207">
      <c r="A207" s="34"/>
    </row>
    <row r="208">
      <c r="A208" s="34"/>
    </row>
    <row r="209">
      <c r="A209" s="34"/>
    </row>
    <row r="210">
      <c r="A210" s="34"/>
    </row>
    <row r="211">
      <c r="A211" s="34"/>
    </row>
    <row r="212">
      <c r="A212" s="34"/>
    </row>
    <row r="213">
      <c r="A213" s="34"/>
    </row>
    <row r="214">
      <c r="A214" s="34"/>
    </row>
    <row r="215">
      <c r="A215" s="34"/>
    </row>
    <row r="216">
      <c r="A216" s="34"/>
    </row>
    <row r="217">
      <c r="A217" s="34"/>
    </row>
    <row r="218">
      <c r="A218" s="34"/>
    </row>
    <row r="219">
      <c r="A219" s="34"/>
    </row>
    <row r="220">
      <c r="A220" s="34"/>
    </row>
    <row r="221">
      <c r="A221" s="34"/>
    </row>
    <row r="222">
      <c r="A222" s="34"/>
    </row>
    <row r="223">
      <c r="A223" s="34"/>
    </row>
    <row r="224">
      <c r="A224" s="34"/>
    </row>
    <row r="225">
      <c r="A225" s="34"/>
    </row>
    <row r="226">
      <c r="A226" s="34"/>
    </row>
    <row r="227">
      <c r="A227" s="34"/>
    </row>
    <row r="228">
      <c r="A228" s="34"/>
    </row>
    <row r="229">
      <c r="A229" s="34"/>
    </row>
    <row r="230">
      <c r="A230" s="34"/>
    </row>
    <row r="231">
      <c r="A231" s="34"/>
    </row>
    <row r="232">
      <c r="A232" s="34"/>
    </row>
    <row r="233">
      <c r="A233" s="34"/>
    </row>
    <row r="234">
      <c r="A234" s="34"/>
    </row>
    <row r="235">
      <c r="A235" s="34"/>
    </row>
    <row r="236">
      <c r="A236" s="34"/>
    </row>
    <row r="237">
      <c r="A237" s="34"/>
    </row>
    <row r="238">
      <c r="A238" s="34"/>
    </row>
    <row r="239">
      <c r="A239" s="34"/>
    </row>
    <row r="240">
      <c r="A240" s="34"/>
    </row>
    <row r="241">
      <c r="A241" s="34"/>
    </row>
    <row r="242">
      <c r="A242" s="34"/>
    </row>
    <row r="243">
      <c r="A243" s="34"/>
    </row>
    <row r="244">
      <c r="A244" s="34"/>
    </row>
    <row r="245">
      <c r="A245" s="34"/>
    </row>
    <row r="246">
      <c r="A246" s="34"/>
    </row>
    <row r="247">
      <c r="A247" s="34"/>
    </row>
    <row r="248">
      <c r="A248" s="34"/>
    </row>
    <row r="249">
      <c r="A249" s="34"/>
    </row>
    <row r="250">
      <c r="A250" s="34"/>
    </row>
    <row r="251">
      <c r="A251" s="34"/>
    </row>
    <row r="252">
      <c r="A252" s="34"/>
    </row>
    <row r="253">
      <c r="A253" s="34"/>
    </row>
    <row r="254">
      <c r="A254" s="34"/>
    </row>
    <row r="255">
      <c r="A255" s="34"/>
    </row>
    <row r="256">
      <c r="A256" s="34"/>
    </row>
    <row r="257">
      <c r="A257" s="34"/>
    </row>
    <row r="258">
      <c r="A258" s="34"/>
    </row>
    <row r="259">
      <c r="A259" s="34"/>
    </row>
    <row r="260">
      <c r="A260" s="34"/>
    </row>
    <row r="261">
      <c r="A261" s="34"/>
    </row>
    <row r="262">
      <c r="A262" s="34"/>
    </row>
    <row r="263">
      <c r="A263" s="34"/>
    </row>
    <row r="264">
      <c r="A264" s="34"/>
    </row>
    <row r="265">
      <c r="A265" s="34"/>
    </row>
    <row r="266">
      <c r="A266" s="34"/>
    </row>
    <row r="267">
      <c r="A267" s="34"/>
    </row>
    <row r="268">
      <c r="A268" s="34"/>
    </row>
    <row r="269">
      <c r="A269" s="34"/>
    </row>
    <row r="270">
      <c r="A270" s="34"/>
    </row>
    <row r="271">
      <c r="A271" s="34"/>
    </row>
    <row r="272">
      <c r="A272" s="34"/>
    </row>
    <row r="273">
      <c r="A273" s="34"/>
    </row>
    <row r="274">
      <c r="A274" s="34"/>
    </row>
    <row r="275">
      <c r="A275" s="34"/>
    </row>
    <row r="276">
      <c r="A276" s="34"/>
    </row>
    <row r="277">
      <c r="A277" s="34"/>
    </row>
    <row r="278">
      <c r="A278" s="34"/>
    </row>
    <row r="279">
      <c r="A279" s="34"/>
    </row>
    <row r="280">
      <c r="A280" s="34"/>
    </row>
    <row r="281">
      <c r="A281" s="34"/>
    </row>
    <row r="282">
      <c r="A282" s="34"/>
    </row>
    <row r="283">
      <c r="A283" s="34"/>
    </row>
    <row r="284">
      <c r="A284" s="34"/>
    </row>
    <row r="285">
      <c r="A285" s="34"/>
    </row>
    <row r="286">
      <c r="A286" s="34"/>
    </row>
    <row r="287">
      <c r="A287" s="34"/>
    </row>
    <row r="288">
      <c r="A288" s="34"/>
    </row>
    <row r="289">
      <c r="A289" s="34"/>
    </row>
    <row r="290">
      <c r="A290" s="34"/>
    </row>
    <row r="291">
      <c r="A291" s="34"/>
    </row>
    <row r="292">
      <c r="A292" s="34"/>
    </row>
    <row r="293">
      <c r="A293" s="34"/>
    </row>
    <row r="294">
      <c r="A294" s="34"/>
    </row>
    <row r="295">
      <c r="A295" s="34"/>
    </row>
    <row r="296">
      <c r="A296" s="34"/>
    </row>
    <row r="297">
      <c r="A297" s="34"/>
    </row>
    <row r="298">
      <c r="A298" s="34"/>
    </row>
    <row r="299">
      <c r="A299" s="34"/>
    </row>
    <row r="300">
      <c r="A300" s="34"/>
    </row>
    <row r="301">
      <c r="A301" s="34"/>
    </row>
    <row r="302">
      <c r="A302" s="34"/>
    </row>
    <row r="303">
      <c r="A303" s="34"/>
    </row>
    <row r="304">
      <c r="A304" s="34"/>
    </row>
    <row r="305">
      <c r="A305" s="34"/>
    </row>
    <row r="306">
      <c r="A306" s="34"/>
    </row>
    <row r="307">
      <c r="A307" s="34"/>
    </row>
    <row r="308">
      <c r="A308" s="34"/>
    </row>
    <row r="309">
      <c r="A309" s="34"/>
    </row>
    <row r="310">
      <c r="A310" s="34"/>
    </row>
    <row r="311">
      <c r="A311" s="34"/>
    </row>
    <row r="312">
      <c r="A312" s="34"/>
    </row>
    <row r="313">
      <c r="A313" s="34"/>
    </row>
    <row r="314">
      <c r="A314" s="34"/>
    </row>
    <row r="315">
      <c r="A315" s="34"/>
    </row>
    <row r="316">
      <c r="A316" s="34"/>
    </row>
    <row r="317">
      <c r="A317" s="34"/>
    </row>
    <row r="318">
      <c r="A318" s="34"/>
    </row>
    <row r="319">
      <c r="A319" s="34"/>
    </row>
    <row r="320">
      <c r="A320" s="34"/>
    </row>
    <row r="321">
      <c r="A321" s="34"/>
    </row>
    <row r="322">
      <c r="A322" s="34"/>
    </row>
    <row r="323">
      <c r="A323" s="34"/>
    </row>
    <row r="324">
      <c r="A324" s="34"/>
    </row>
    <row r="325">
      <c r="A325" s="34"/>
    </row>
    <row r="326">
      <c r="A326" s="34"/>
    </row>
    <row r="327">
      <c r="A327" s="34"/>
    </row>
    <row r="328">
      <c r="A328" s="34"/>
    </row>
    <row r="329">
      <c r="A329" s="34"/>
    </row>
    <row r="330">
      <c r="A330" s="34"/>
    </row>
    <row r="331">
      <c r="A331" s="34"/>
    </row>
    <row r="332">
      <c r="A332" s="34"/>
    </row>
    <row r="333">
      <c r="A333" s="34"/>
    </row>
    <row r="334">
      <c r="A334" s="34"/>
    </row>
    <row r="335">
      <c r="A335" s="34"/>
    </row>
    <row r="336">
      <c r="A336" s="34"/>
    </row>
    <row r="337">
      <c r="A337" s="34"/>
    </row>
    <row r="338">
      <c r="A338" s="34"/>
    </row>
    <row r="339">
      <c r="A339" s="34"/>
    </row>
    <row r="340">
      <c r="A340" s="34"/>
    </row>
    <row r="341">
      <c r="A341" s="34"/>
    </row>
    <row r="342">
      <c r="A342" s="34"/>
    </row>
    <row r="343">
      <c r="A343" s="34"/>
    </row>
    <row r="344">
      <c r="A344" s="34"/>
    </row>
    <row r="345">
      <c r="A345" s="34"/>
    </row>
    <row r="346">
      <c r="A346" s="34"/>
    </row>
    <row r="347">
      <c r="A347" s="34"/>
    </row>
    <row r="348">
      <c r="A348" s="34"/>
    </row>
    <row r="349">
      <c r="A349" s="34"/>
    </row>
    <row r="350">
      <c r="A350" s="34"/>
    </row>
    <row r="351">
      <c r="A351" s="34"/>
    </row>
    <row r="352">
      <c r="A352" s="34"/>
    </row>
    <row r="353">
      <c r="A353" s="34"/>
    </row>
    <row r="354">
      <c r="A354" s="34"/>
    </row>
    <row r="355">
      <c r="A355" s="34"/>
    </row>
    <row r="356">
      <c r="A356" s="34"/>
    </row>
    <row r="357">
      <c r="A357" s="34"/>
    </row>
    <row r="358">
      <c r="A358" s="34"/>
    </row>
    <row r="359">
      <c r="A359" s="34"/>
    </row>
    <row r="360">
      <c r="A360" s="34"/>
    </row>
    <row r="361">
      <c r="A361" s="34"/>
    </row>
    <row r="362">
      <c r="A362" s="34"/>
    </row>
    <row r="363">
      <c r="A363" s="34"/>
    </row>
    <row r="364">
      <c r="A364" s="34"/>
    </row>
    <row r="365">
      <c r="A365" s="34"/>
    </row>
    <row r="366">
      <c r="A366" s="34"/>
    </row>
    <row r="367">
      <c r="A367" s="34"/>
    </row>
    <row r="368">
      <c r="A368" s="34"/>
    </row>
    <row r="369">
      <c r="A369" s="34"/>
    </row>
    <row r="370">
      <c r="A370" s="34"/>
    </row>
    <row r="371">
      <c r="A371" s="34"/>
    </row>
    <row r="372">
      <c r="A372" s="34"/>
    </row>
    <row r="373">
      <c r="A373" s="34"/>
    </row>
    <row r="374">
      <c r="A374" s="34"/>
    </row>
    <row r="375">
      <c r="A375" s="34"/>
    </row>
    <row r="376">
      <c r="A376" s="34"/>
    </row>
    <row r="377">
      <c r="A377" s="34"/>
    </row>
    <row r="378">
      <c r="A378" s="34"/>
    </row>
    <row r="379">
      <c r="A379" s="34"/>
    </row>
    <row r="380">
      <c r="A380" s="34"/>
    </row>
    <row r="381">
      <c r="A381" s="34"/>
    </row>
    <row r="382">
      <c r="A382" s="34"/>
    </row>
    <row r="383">
      <c r="A383" s="34"/>
    </row>
    <row r="384">
      <c r="A384" s="34"/>
    </row>
    <row r="385">
      <c r="A385" s="34"/>
    </row>
    <row r="386">
      <c r="A386" s="34"/>
    </row>
    <row r="387">
      <c r="A387" s="34"/>
    </row>
    <row r="388">
      <c r="A388" s="34"/>
    </row>
    <row r="389">
      <c r="A389" s="34"/>
    </row>
    <row r="390">
      <c r="A390" s="34"/>
    </row>
    <row r="391">
      <c r="A391" s="34"/>
    </row>
    <row r="392">
      <c r="A392" s="34"/>
    </row>
    <row r="393">
      <c r="A393" s="34"/>
    </row>
    <row r="394">
      <c r="A394" s="34"/>
    </row>
    <row r="395">
      <c r="A395" s="34"/>
    </row>
    <row r="396">
      <c r="A396" s="34"/>
    </row>
    <row r="397">
      <c r="A397" s="34"/>
    </row>
    <row r="398">
      <c r="A398" s="34"/>
    </row>
    <row r="399">
      <c r="A399" s="34"/>
    </row>
    <row r="400">
      <c r="A400" s="34"/>
    </row>
    <row r="401">
      <c r="A401" s="34"/>
    </row>
    <row r="402">
      <c r="A402" s="34"/>
    </row>
    <row r="403">
      <c r="A403" s="34"/>
    </row>
    <row r="404">
      <c r="A404" s="34"/>
    </row>
    <row r="405">
      <c r="A405" s="34"/>
    </row>
    <row r="406">
      <c r="A406" s="34"/>
    </row>
    <row r="407">
      <c r="A407" s="34"/>
    </row>
    <row r="408">
      <c r="A408" s="34"/>
    </row>
    <row r="409">
      <c r="A409" s="34"/>
    </row>
    <row r="410">
      <c r="A410" s="34"/>
    </row>
    <row r="411">
      <c r="A411" s="34"/>
    </row>
    <row r="412">
      <c r="A412" s="34"/>
    </row>
    <row r="413">
      <c r="A413" s="34"/>
    </row>
    <row r="414">
      <c r="A414" s="34"/>
    </row>
    <row r="415">
      <c r="A415" s="34"/>
    </row>
    <row r="416">
      <c r="A416" s="34"/>
    </row>
    <row r="417">
      <c r="A417" s="34"/>
    </row>
    <row r="418">
      <c r="A418" s="34"/>
    </row>
    <row r="419">
      <c r="A419" s="34"/>
    </row>
    <row r="420">
      <c r="A420" s="34"/>
    </row>
    <row r="421">
      <c r="A421" s="34"/>
    </row>
    <row r="422">
      <c r="A422" s="34"/>
    </row>
    <row r="423">
      <c r="A423" s="34"/>
    </row>
    <row r="424">
      <c r="A424" s="34"/>
    </row>
    <row r="425">
      <c r="A425" s="34"/>
    </row>
    <row r="426">
      <c r="A426" s="34"/>
    </row>
    <row r="427">
      <c r="A427" s="34"/>
    </row>
    <row r="428">
      <c r="A428" s="34"/>
    </row>
    <row r="429">
      <c r="A429" s="34"/>
    </row>
    <row r="430">
      <c r="A430" s="34"/>
    </row>
    <row r="431">
      <c r="A431" s="34"/>
    </row>
    <row r="432">
      <c r="A432" s="34"/>
    </row>
    <row r="433">
      <c r="A433" s="34"/>
    </row>
    <row r="434">
      <c r="A434" s="34"/>
    </row>
    <row r="435">
      <c r="A435" s="34"/>
    </row>
    <row r="436">
      <c r="A436" s="34"/>
    </row>
    <row r="437">
      <c r="A437" s="34"/>
    </row>
    <row r="438">
      <c r="A438" s="34"/>
    </row>
    <row r="439">
      <c r="A439" s="34"/>
    </row>
    <row r="440">
      <c r="A440" s="34"/>
    </row>
    <row r="441">
      <c r="A441" s="34"/>
    </row>
    <row r="442">
      <c r="A442" s="34"/>
    </row>
    <row r="443">
      <c r="A443" s="34"/>
    </row>
    <row r="444">
      <c r="A444" s="34"/>
    </row>
    <row r="445">
      <c r="A445" s="34"/>
    </row>
    <row r="446">
      <c r="A446" s="34"/>
    </row>
    <row r="447">
      <c r="A447" s="34"/>
    </row>
    <row r="448">
      <c r="A448" s="34"/>
    </row>
    <row r="449">
      <c r="A449" s="34"/>
    </row>
    <row r="450">
      <c r="A450" s="34"/>
    </row>
    <row r="451">
      <c r="A451" s="34"/>
    </row>
    <row r="452">
      <c r="A452" s="34"/>
    </row>
    <row r="453">
      <c r="A453" s="34"/>
    </row>
    <row r="454">
      <c r="A454" s="34"/>
    </row>
    <row r="455">
      <c r="A455" s="34"/>
    </row>
    <row r="456">
      <c r="A456" s="34"/>
    </row>
    <row r="457">
      <c r="A457" s="34"/>
    </row>
    <row r="458">
      <c r="A458" s="34"/>
    </row>
    <row r="459">
      <c r="A459" s="34"/>
    </row>
    <row r="460">
      <c r="A460" s="34"/>
    </row>
    <row r="461">
      <c r="A461" s="34"/>
    </row>
    <row r="462">
      <c r="A462" s="34"/>
    </row>
    <row r="463">
      <c r="A463" s="34"/>
    </row>
    <row r="464">
      <c r="A464" s="34"/>
    </row>
    <row r="465">
      <c r="A465" s="34"/>
    </row>
    <row r="466">
      <c r="A466" s="34"/>
    </row>
    <row r="467">
      <c r="A467" s="34"/>
    </row>
    <row r="468">
      <c r="A468" s="34"/>
    </row>
    <row r="469">
      <c r="A469" s="34"/>
    </row>
    <row r="470">
      <c r="A470" s="34"/>
    </row>
    <row r="471">
      <c r="A471" s="34"/>
    </row>
    <row r="472">
      <c r="A472" s="34"/>
    </row>
    <row r="473">
      <c r="A473" s="34"/>
    </row>
    <row r="474">
      <c r="A474" s="34"/>
    </row>
    <row r="475">
      <c r="A475" s="34"/>
    </row>
    <row r="476">
      <c r="A476" s="34"/>
    </row>
    <row r="477">
      <c r="A477" s="34"/>
    </row>
    <row r="478">
      <c r="A478" s="34"/>
    </row>
    <row r="479">
      <c r="A479" s="34"/>
    </row>
    <row r="480">
      <c r="A480" s="34"/>
    </row>
    <row r="481">
      <c r="A481" s="34"/>
    </row>
    <row r="482">
      <c r="A482" s="34"/>
    </row>
    <row r="483">
      <c r="A483" s="34"/>
    </row>
    <row r="484">
      <c r="A484" s="34"/>
    </row>
    <row r="485">
      <c r="A485" s="34"/>
    </row>
    <row r="486">
      <c r="A486" s="34"/>
    </row>
    <row r="487">
      <c r="A487" s="34"/>
    </row>
    <row r="488">
      <c r="A488" s="34"/>
    </row>
    <row r="489">
      <c r="A489" s="34"/>
    </row>
    <row r="490">
      <c r="A490" s="34"/>
    </row>
    <row r="491">
      <c r="A491" s="34"/>
    </row>
    <row r="492">
      <c r="A492" s="34"/>
    </row>
    <row r="493">
      <c r="A493" s="34"/>
    </row>
    <row r="494">
      <c r="A494" s="34"/>
    </row>
    <row r="495">
      <c r="A495" s="34"/>
    </row>
    <row r="496">
      <c r="A496" s="34"/>
    </row>
    <row r="497">
      <c r="A497" s="34"/>
    </row>
    <row r="498">
      <c r="A498" s="34"/>
    </row>
    <row r="499">
      <c r="A499" s="34"/>
    </row>
    <row r="500">
      <c r="A500" s="34"/>
    </row>
    <row r="501">
      <c r="A501" s="34"/>
    </row>
    <row r="502">
      <c r="A502" s="34"/>
    </row>
    <row r="503">
      <c r="A503" s="34"/>
    </row>
    <row r="504">
      <c r="A504" s="34"/>
    </row>
    <row r="505">
      <c r="A505" s="34"/>
    </row>
    <row r="506">
      <c r="A506" s="34"/>
    </row>
    <row r="507">
      <c r="A507" s="34"/>
    </row>
    <row r="508">
      <c r="A508" s="34"/>
    </row>
    <row r="509">
      <c r="A509" s="34"/>
    </row>
    <row r="510">
      <c r="A510" s="34"/>
    </row>
    <row r="511">
      <c r="A511" s="34"/>
    </row>
    <row r="512">
      <c r="A512" s="34"/>
    </row>
    <row r="513">
      <c r="A513" s="34"/>
    </row>
    <row r="514">
      <c r="A514" s="34"/>
    </row>
    <row r="515">
      <c r="A515" s="34"/>
    </row>
    <row r="516">
      <c r="A516" s="34"/>
    </row>
    <row r="517">
      <c r="A517" s="34"/>
    </row>
    <row r="518">
      <c r="A518" s="34"/>
    </row>
    <row r="519">
      <c r="A519" s="34"/>
    </row>
    <row r="520">
      <c r="A520" s="34"/>
    </row>
    <row r="521">
      <c r="A521" s="34"/>
    </row>
    <row r="522">
      <c r="A522" s="34"/>
    </row>
    <row r="523">
      <c r="A523" s="34"/>
    </row>
    <row r="524">
      <c r="A524" s="34"/>
    </row>
    <row r="525">
      <c r="A525" s="34"/>
    </row>
    <row r="526">
      <c r="A526" s="34"/>
    </row>
    <row r="527">
      <c r="A527" s="34"/>
    </row>
    <row r="528">
      <c r="A528" s="34"/>
    </row>
    <row r="529">
      <c r="A529" s="34"/>
    </row>
    <row r="530">
      <c r="A530" s="34"/>
    </row>
    <row r="531">
      <c r="A531" s="34"/>
    </row>
    <row r="532">
      <c r="A532" s="34"/>
    </row>
    <row r="533">
      <c r="A533" s="34"/>
    </row>
    <row r="534">
      <c r="A534" s="34"/>
    </row>
    <row r="535">
      <c r="A535" s="34"/>
    </row>
    <row r="536">
      <c r="A536" s="34"/>
    </row>
    <row r="537">
      <c r="A537" s="34"/>
    </row>
    <row r="538">
      <c r="A538" s="34"/>
    </row>
    <row r="539">
      <c r="A539" s="34"/>
    </row>
    <row r="540">
      <c r="A540" s="34"/>
    </row>
    <row r="541">
      <c r="A541" s="34"/>
    </row>
    <row r="542">
      <c r="A542" s="34"/>
    </row>
    <row r="543">
      <c r="A543" s="34"/>
    </row>
    <row r="544">
      <c r="A544" s="34"/>
    </row>
    <row r="545">
      <c r="A545" s="34"/>
    </row>
    <row r="546">
      <c r="A546" s="34"/>
    </row>
    <row r="547">
      <c r="A547" s="34"/>
    </row>
    <row r="548">
      <c r="A548" s="34"/>
    </row>
    <row r="549">
      <c r="A549" s="34"/>
    </row>
    <row r="550">
      <c r="A550" s="34"/>
    </row>
    <row r="551">
      <c r="A551" s="34"/>
    </row>
    <row r="552">
      <c r="A552" s="34"/>
    </row>
    <row r="553">
      <c r="A553" s="34"/>
    </row>
    <row r="554">
      <c r="A554" s="34"/>
    </row>
    <row r="555">
      <c r="A555" s="34"/>
    </row>
    <row r="556">
      <c r="A556" s="34"/>
    </row>
    <row r="557">
      <c r="A557" s="34"/>
    </row>
    <row r="558">
      <c r="A558" s="34"/>
    </row>
    <row r="559">
      <c r="A559" s="34"/>
    </row>
    <row r="560">
      <c r="A560" s="34"/>
    </row>
    <row r="561">
      <c r="A561" s="34"/>
    </row>
    <row r="562">
      <c r="A562" s="34"/>
    </row>
    <row r="563">
      <c r="A563" s="34"/>
    </row>
    <row r="564">
      <c r="A564" s="34"/>
    </row>
    <row r="565">
      <c r="A565" s="34"/>
    </row>
    <row r="566">
      <c r="A566" s="34"/>
    </row>
    <row r="567">
      <c r="A567" s="34"/>
    </row>
    <row r="568">
      <c r="A568" s="34"/>
    </row>
    <row r="569">
      <c r="A569" s="34"/>
    </row>
    <row r="570">
      <c r="A570" s="34"/>
    </row>
    <row r="571">
      <c r="A571" s="34"/>
    </row>
    <row r="572">
      <c r="A572" s="34"/>
    </row>
    <row r="573">
      <c r="A573" s="34"/>
    </row>
    <row r="574">
      <c r="A574" s="34"/>
    </row>
    <row r="575">
      <c r="A575" s="34"/>
    </row>
    <row r="576">
      <c r="A576" s="34"/>
    </row>
    <row r="577">
      <c r="A577" s="34"/>
    </row>
    <row r="578">
      <c r="A578" s="34"/>
    </row>
    <row r="579">
      <c r="A579" s="34"/>
    </row>
    <row r="580">
      <c r="A580" s="34"/>
    </row>
    <row r="581">
      <c r="A581" s="34"/>
    </row>
    <row r="582">
      <c r="A582" s="34"/>
    </row>
    <row r="583">
      <c r="A583" s="34"/>
    </row>
    <row r="584">
      <c r="A584" s="34"/>
    </row>
    <row r="585">
      <c r="A585" s="34"/>
    </row>
    <row r="586">
      <c r="A586" s="34"/>
    </row>
    <row r="587">
      <c r="A587" s="34"/>
    </row>
    <row r="588">
      <c r="A588" s="34"/>
    </row>
    <row r="589">
      <c r="A589" s="34"/>
    </row>
    <row r="590">
      <c r="A590" s="34"/>
    </row>
    <row r="591">
      <c r="A591" s="34"/>
    </row>
    <row r="592">
      <c r="A592" s="34"/>
    </row>
    <row r="593">
      <c r="A593" s="34"/>
    </row>
    <row r="594">
      <c r="A594" s="34"/>
    </row>
    <row r="595">
      <c r="A595" s="34"/>
    </row>
    <row r="596">
      <c r="A596" s="34"/>
    </row>
    <row r="597">
      <c r="A597" s="34"/>
    </row>
    <row r="598">
      <c r="A598" s="34"/>
    </row>
    <row r="599">
      <c r="A599" s="34"/>
    </row>
    <row r="600">
      <c r="A600" s="34"/>
    </row>
    <row r="601">
      <c r="A601" s="34"/>
    </row>
    <row r="602">
      <c r="A602" s="34"/>
    </row>
    <row r="603">
      <c r="A603" s="34"/>
    </row>
    <row r="604">
      <c r="A604" s="34"/>
    </row>
    <row r="605">
      <c r="A605" s="34"/>
    </row>
    <row r="606">
      <c r="A606" s="34"/>
    </row>
    <row r="607">
      <c r="A607" s="34"/>
    </row>
    <row r="608">
      <c r="A608" s="34"/>
    </row>
    <row r="609">
      <c r="A609" s="34"/>
    </row>
    <row r="610">
      <c r="A610" s="34"/>
    </row>
    <row r="611">
      <c r="A611" s="34"/>
    </row>
    <row r="612">
      <c r="A612" s="34"/>
    </row>
    <row r="613">
      <c r="A613" s="34"/>
    </row>
    <row r="614">
      <c r="A614" s="34"/>
    </row>
    <row r="615">
      <c r="A615" s="34"/>
    </row>
    <row r="616">
      <c r="A616" s="34"/>
    </row>
    <row r="617">
      <c r="A617" s="34"/>
    </row>
    <row r="618">
      <c r="A618" s="34"/>
    </row>
    <row r="619">
      <c r="A619" s="34"/>
    </row>
    <row r="620">
      <c r="A620" s="34"/>
    </row>
    <row r="621">
      <c r="A621" s="34"/>
    </row>
    <row r="622">
      <c r="A622" s="34"/>
    </row>
    <row r="623">
      <c r="A623" s="34"/>
    </row>
    <row r="624">
      <c r="A624" s="34"/>
    </row>
    <row r="625">
      <c r="A625" s="34"/>
    </row>
    <row r="626">
      <c r="A626" s="34"/>
    </row>
    <row r="627">
      <c r="A627" s="34"/>
    </row>
    <row r="628">
      <c r="A628" s="34"/>
    </row>
    <row r="629">
      <c r="A629" s="34"/>
    </row>
    <row r="630">
      <c r="A630" s="34"/>
    </row>
    <row r="631">
      <c r="A631" s="34"/>
    </row>
    <row r="632">
      <c r="A632" s="34"/>
    </row>
    <row r="633">
      <c r="A633" s="34"/>
    </row>
    <row r="634">
      <c r="A634" s="34"/>
    </row>
    <row r="635">
      <c r="A635" s="34"/>
    </row>
    <row r="636">
      <c r="A636" s="34"/>
    </row>
    <row r="637">
      <c r="A637" s="34"/>
    </row>
    <row r="638">
      <c r="A638" s="34"/>
    </row>
    <row r="639">
      <c r="A639" s="34"/>
    </row>
    <row r="640">
      <c r="A640" s="34"/>
    </row>
    <row r="641">
      <c r="A641" s="34"/>
    </row>
    <row r="642">
      <c r="A642" s="34"/>
    </row>
    <row r="643">
      <c r="A643" s="34"/>
    </row>
    <row r="644">
      <c r="A644" s="34"/>
    </row>
    <row r="645">
      <c r="A645" s="34"/>
    </row>
    <row r="646">
      <c r="A646" s="34"/>
    </row>
    <row r="647">
      <c r="A647" s="34"/>
    </row>
    <row r="648">
      <c r="A648" s="34"/>
    </row>
    <row r="649">
      <c r="A649" s="34"/>
    </row>
    <row r="650">
      <c r="A650" s="34"/>
    </row>
    <row r="651">
      <c r="A651" s="34"/>
    </row>
    <row r="652">
      <c r="A652" s="34"/>
    </row>
    <row r="653">
      <c r="A653" s="34"/>
    </row>
    <row r="654">
      <c r="A654" s="34"/>
    </row>
    <row r="655">
      <c r="A655" s="34"/>
    </row>
    <row r="656">
      <c r="A656" s="34"/>
    </row>
    <row r="657">
      <c r="A657" s="34"/>
    </row>
    <row r="658">
      <c r="A658" s="34"/>
    </row>
    <row r="659">
      <c r="A659" s="34"/>
    </row>
    <row r="660">
      <c r="A660" s="34"/>
    </row>
    <row r="661">
      <c r="A661" s="34"/>
    </row>
    <row r="662">
      <c r="A662" s="34"/>
    </row>
    <row r="663">
      <c r="A663" s="34"/>
    </row>
    <row r="664">
      <c r="A664" s="34"/>
    </row>
    <row r="665">
      <c r="A665" s="34"/>
    </row>
    <row r="666">
      <c r="A666" s="34"/>
    </row>
    <row r="667">
      <c r="A667" s="34"/>
    </row>
    <row r="668">
      <c r="A668" s="34"/>
    </row>
    <row r="669">
      <c r="A669" s="34"/>
    </row>
    <row r="670">
      <c r="A670" s="34"/>
    </row>
    <row r="671">
      <c r="A671" s="34"/>
    </row>
    <row r="672">
      <c r="A672" s="34"/>
    </row>
    <row r="673">
      <c r="A673" s="34"/>
    </row>
    <row r="674">
      <c r="A674" s="34"/>
    </row>
    <row r="675">
      <c r="A675" s="34"/>
    </row>
    <row r="676">
      <c r="A676" s="34"/>
    </row>
    <row r="677">
      <c r="A677" s="34"/>
    </row>
    <row r="678">
      <c r="A678" s="34"/>
    </row>
    <row r="679">
      <c r="A679" s="34"/>
    </row>
    <row r="680">
      <c r="A680" s="34"/>
    </row>
    <row r="681">
      <c r="A681" s="34"/>
    </row>
    <row r="682">
      <c r="A682" s="34"/>
    </row>
    <row r="683">
      <c r="A683" s="34"/>
    </row>
    <row r="684">
      <c r="A684" s="34"/>
    </row>
    <row r="685">
      <c r="A685" s="34"/>
    </row>
    <row r="686">
      <c r="A686" s="34"/>
    </row>
    <row r="687">
      <c r="A687" s="34"/>
    </row>
    <row r="688">
      <c r="A688" s="34"/>
    </row>
    <row r="689">
      <c r="A689" s="34"/>
    </row>
    <row r="690">
      <c r="A690" s="34"/>
    </row>
    <row r="691">
      <c r="A691" s="34"/>
    </row>
    <row r="692">
      <c r="A692" s="34"/>
    </row>
    <row r="693">
      <c r="A693" s="34"/>
    </row>
    <row r="694">
      <c r="A694" s="34"/>
    </row>
    <row r="695">
      <c r="A695" s="34"/>
    </row>
    <row r="696">
      <c r="A696" s="34"/>
    </row>
    <row r="697">
      <c r="A697" s="34"/>
    </row>
    <row r="698">
      <c r="A698" s="34"/>
    </row>
    <row r="699">
      <c r="A699" s="34"/>
    </row>
    <row r="700">
      <c r="A700" s="34"/>
    </row>
    <row r="701">
      <c r="A701" s="34"/>
    </row>
    <row r="702">
      <c r="A702" s="34"/>
    </row>
    <row r="703">
      <c r="A703" s="34"/>
    </row>
    <row r="704">
      <c r="A704" s="34"/>
    </row>
    <row r="705">
      <c r="A705" s="34"/>
    </row>
    <row r="706">
      <c r="A706" s="34"/>
    </row>
    <row r="707">
      <c r="A707" s="34"/>
    </row>
    <row r="708">
      <c r="A708" s="34"/>
    </row>
    <row r="709">
      <c r="A709" s="34"/>
    </row>
    <row r="710">
      <c r="A710" s="34"/>
    </row>
    <row r="711">
      <c r="A711" s="34"/>
    </row>
    <row r="712">
      <c r="A712" s="34"/>
    </row>
    <row r="713">
      <c r="A713" s="34"/>
    </row>
    <row r="714">
      <c r="A714" s="34"/>
    </row>
    <row r="715">
      <c r="A715" s="34"/>
    </row>
    <row r="716">
      <c r="A716" s="34"/>
    </row>
    <row r="717">
      <c r="A717" s="34"/>
    </row>
    <row r="718">
      <c r="A718" s="34"/>
    </row>
    <row r="719">
      <c r="A719" s="34"/>
    </row>
    <row r="720">
      <c r="A720" s="34"/>
    </row>
    <row r="721">
      <c r="A721" s="34"/>
    </row>
    <row r="722">
      <c r="A722" s="34"/>
    </row>
    <row r="723">
      <c r="A723" s="34"/>
    </row>
    <row r="724">
      <c r="A724" s="34"/>
    </row>
    <row r="725">
      <c r="A725" s="34"/>
    </row>
    <row r="726">
      <c r="A726" s="34"/>
    </row>
    <row r="727">
      <c r="A727" s="34"/>
    </row>
    <row r="728">
      <c r="A728" s="34"/>
    </row>
    <row r="729">
      <c r="A729" s="34"/>
    </row>
    <row r="730">
      <c r="A730" s="34"/>
    </row>
    <row r="731">
      <c r="A731" s="34"/>
    </row>
    <row r="732">
      <c r="A732" s="34"/>
    </row>
    <row r="733">
      <c r="A733" s="34"/>
    </row>
    <row r="734">
      <c r="A734" s="34"/>
    </row>
    <row r="735">
      <c r="A735" s="34"/>
    </row>
    <row r="736">
      <c r="A736" s="34"/>
    </row>
    <row r="737">
      <c r="A737" s="34"/>
    </row>
    <row r="738">
      <c r="A738" s="34"/>
    </row>
    <row r="739">
      <c r="A739" s="34"/>
    </row>
    <row r="740">
      <c r="A740" s="34"/>
    </row>
    <row r="741">
      <c r="A741" s="34"/>
    </row>
    <row r="742">
      <c r="A742" s="34"/>
    </row>
    <row r="743">
      <c r="A743" s="34"/>
    </row>
    <row r="744">
      <c r="A744" s="34"/>
    </row>
    <row r="745">
      <c r="A745" s="34"/>
    </row>
    <row r="746">
      <c r="A746" s="34"/>
    </row>
    <row r="747">
      <c r="A747" s="34"/>
    </row>
    <row r="748">
      <c r="A748" s="34"/>
    </row>
    <row r="749">
      <c r="A749" s="34"/>
    </row>
    <row r="750">
      <c r="A750" s="34"/>
    </row>
    <row r="751">
      <c r="A751" s="34"/>
    </row>
    <row r="752">
      <c r="A752" s="34"/>
    </row>
    <row r="753">
      <c r="A753" s="34"/>
    </row>
    <row r="754">
      <c r="A754" s="34"/>
    </row>
    <row r="755">
      <c r="A755" s="34"/>
    </row>
    <row r="756">
      <c r="A756" s="34"/>
    </row>
    <row r="757">
      <c r="A757" s="34"/>
    </row>
    <row r="758">
      <c r="A758" s="34"/>
    </row>
    <row r="759">
      <c r="A759" s="34"/>
    </row>
    <row r="760">
      <c r="A760" s="34"/>
    </row>
    <row r="761">
      <c r="A761" s="34"/>
    </row>
    <row r="762">
      <c r="A762" s="34"/>
    </row>
    <row r="763">
      <c r="A763" s="34"/>
    </row>
    <row r="764">
      <c r="A764" s="34"/>
    </row>
    <row r="765">
      <c r="A765" s="34"/>
    </row>
    <row r="766">
      <c r="A766" s="34"/>
    </row>
    <row r="767">
      <c r="A767" s="34"/>
    </row>
    <row r="768">
      <c r="A768" s="34"/>
    </row>
    <row r="769">
      <c r="A769" s="34"/>
    </row>
    <row r="770">
      <c r="A770" s="34"/>
    </row>
    <row r="771">
      <c r="A771" s="34"/>
    </row>
    <row r="772">
      <c r="A772" s="34"/>
    </row>
    <row r="773">
      <c r="A773" s="34"/>
    </row>
    <row r="774">
      <c r="A774" s="34"/>
    </row>
    <row r="775">
      <c r="A775" s="34"/>
    </row>
    <row r="776">
      <c r="A776" s="34"/>
    </row>
    <row r="777">
      <c r="A777" s="34"/>
    </row>
    <row r="778">
      <c r="A778" s="34"/>
    </row>
    <row r="779">
      <c r="A779" s="34"/>
    </row>
    <row r="780">
      <c r="A780" s="34"/>
    </row>
    <row r="781">
      <c r="A781" s="34"/>
    </row>
    <row r="782">
      <c r="A782" s="34"/>
    </row>
    <row r="783">
      <c r="A783" s="34"/>
    </row>
    <row r="784">
      <c r="A784" s="34"/>
    </row>
    <row r="785">
      <c r="A785" s="34"/>
    </row>
    <row r="786">
      <c r="A786" s="34"/>
    </row>
    <row r="787">
      <c r="A787" s="34"/>
    </row>
    <row r="788">
      <c r="A788" s="34"/>
    </row>
    <row r="789">
      <c r="A789" s="34"/>
    </row>
    <row r="790">
      <c r="A790" s="34"/>
    </row>
    <row r="791">
      <c r="A791" s="34"/>
    </row>
    <row r="792">
      <c r="A792" s="34"/>
    </row>
    <row r="793">
      <c r="A793" s="34"/>
    </row>
    <row r="794">
      <c r="A794" s="34"/>
    </row>
    <row r="795">
      <c r="A795" s="34"/>
    </row>
    <row r="796">
      <c r="A796" s="34"/>
    </row>
    <row r="797">
      <c r="A797" s="34"/>
    </row>
    <row r="798">
      <c r="A798" s="34"/>
    </row>
    <row r="799">
      <c r="A799" s="34"/>
    </row>
    <row r="800">
      <c r="A800" s="34"/>
    </row>
    <row r="801">
      <c r="A801" s="34"/>
    </row>
    <row r="802">
      <c r="A802" s="34"/>
    </row>
    <row r="803">
      <c r="A803" s="34"/>
    </row>
    <row r="804">
      <c r="A804" s="34"/>
    </row>
    <row r="805">
      <c r="A805" s="34"/>
    </row>
    <row r="806">
      <c r="A806" s="34"/>
    </row>
    <row r="807">
      <c r="A807" s="34"/>
    </row>
    <row r="808">
      <c r="A808" s="34"/>
    </row>
    <row r="809">
      <c r="A809" s="34"/>
    </row>
    <row r="810">
      <c r="A810" s="34"/>
    </row>
    <row r="811">
      <c r="A811" s="34"/>
    </row>
    <row r="812">
      <c r="A812" s="34"/>
    </row>
    <row r="813">
      <c r="A813" s="34"/>
    </row>
    <row r="814">
      <c r="A814" s="34"/>
    </row>
    <row r="815">
      <c r="A815" s="34"/>
    </row>
    <row r="816">
      <c r="A816" s="34"/>
    </row>
    <row r="817">
      <c r="A817" s="34"/>
    </row>
    <row r="818">
      <c r="A818" s="34"/>
    </row>
    <row r="819">
      <c r="A819" s="34"/>
    </row>
    <row r="820">
      <c r="A820" s="34"/>
    </row>
    <row r="821">
      <c r="A821" s="34"/>
    </row>
    <row r="822">
      <c r="A822" s="34"/>
    </row>
    <row r="823">
      <c r="A823" s="34"/>
    </row>
    <row r="824">
      <c r="A824" s="34"/>
    </row>
    <row r="825">
      <c r="A825" s="34"/>
    </row>
    <row r="826">
      <c r="A826" s="34"/>
    </row>
    <row r="827">
      <c r="A827" s="34"/>
    </row>
    <row r="828">
      <c r="A828" s="34"/>
    </row>
    <row r="829">
      <c r="A829" s="34"/>
    </row>
    <row r="830">
      <c r="A830" s="34"/>
    </row>
    <row r="831">
      <c r="A831" s="34"/>
    </row>
    <row r="832">
      <c r="A832" s="34"/>
    </row>
    <row r="833">
      <c r="A833" s="34"/>
    </row>
    <row r="834">
      <c r="A834" s="34"/>
    </row>
    <row r="835">
      <c r="A835" s="34"/>
    </row>
    <row r="836">
      <c r="A836" s="34"/>
    </row>
    <row r="837">
      <c r="A837" s="34"/>
    </row>
    <row r="838">
      <c r="A838" s="34"/>
    </row>
    <row r="839">
      <c r="A839" s="34"/>
    </row>
    <row r="840">
      <c r="A840" s="34"/>
    </row>
    <row r="841">
      <c r="A841" s="34"/>
    </row>
    <row r="842">
      <c r="A842" s="34"/>
    </row>
    <row r="843">
      <c r="A843" s="34"/>
    </row>
    <row r="844">
      <c r="A844" s="34"/>
    </row>
    <row r="845">
      <c r="A845" s="34"/>
    </row>
    <row r="846">
      <c r="A846" s="34"/>
    </row>
    <row r="847">
      <c r="A847" s="34"/>
    </row>
    <row r="848">
      <c r="A848" s="34"/>
    </row>
    <row r="849">
      <c r="A849" s="34"/>
    </row>
    <row r="850">
      <c r="A850" s="34"/>
    </row>
    <row r="851">
      <c r="A851" s="34"/>
    </row>
    <row r="852">
      <c r="A852" s="34"/>
    </row>
    <row r="853">
      <c r="A853" s="34"/>
    </row>
    <row r="854">
      <c r="A854" s="34"/>
    </row>
    <row r="855">
      <c r="A855" s="34"/>
    </row>
    <row r="856">
      <c r="A856" s="34"/>
    </row>
    <row r="857">
      <c r="A857" s="34"/>
    </row>
    <row r="858">
      <c r="A858" s="34"/>
    </row>
    <row r="859">
      <c r="A859" s="34"/>
    </row>
    <row r="860">
      <c r="A860" s="34"/>
    </row>
    <row r="861">
      <c r="A861" s="34"/>
    </row>
    <row r="862">
      <c r="A862" s="34"/>
    </row>
    <row r="863">
      <c r="A863" s="34"/>
    </row>
    <row r="864">
      <c r="A864" s="34"/>
    </row>
    <row r="865">
      <c r="A865" s="34"/>
    </row>
    <row r="866">
      <c r="A866" s="34"/>
    </row>
    <row r="867">
      <c r="A867" s="34"/>
    </row>
    <row r="868">
      <c r="A868" s="34"/>
    </row>
    <row r="869">
      <c r="A869" s="34"/>
    </row>
    <row r="870">
      <c r="A870" s="34"/>
    </row>
    <row r="871">
      <c r="A871" s="34"/>
    </row>
    <row r="872">
      <c r="A872" s="34"/>
    </row>
    <row r="873">
      <c r="A873" s="34"/>
    </row>
    <row r="874">
      <c r="A874" s="34"/>
    </row>
    <row r="875">
      <c r="A875" s="34"/>
    </row>
    <row r="876">
      <c r="A876" s="34"/>
    </row>
    <row r="877">
      <c r="A877" s="34"/>
    </row>
    <row r="878">
      <c r="A878" s="34"/>
    </row>
    <row r="879">
      <c r="A879" s="34"/>
    </row>
    <row r="880">
      <c r="A880" s="34"/>
    </row>
    <row r="881">
      <c r="A881" s="34"/>
    </row>
    <row r="882">
      <c r="A882" s="34"/>
    </row>
    <row r="883">
      <c r="A883" s="34"/>
    </row>
    <row r="884">
      <c r="A884" s="34"/>
    </row>
    <row r="885">
      <c r="A885" s="34"/>
    </row>
    <row r="886">
      <c r="A886" s="34"/>
    </row>
    <row r="887">
      <c r="A887" s="34"/>
    </row>
    <row r="888">
      <c r="A888" s="34"/>
    </row>
    <row r="889">
      <c r="A889" s="34"/>
    </row>
    <row r="890">
      <c r="A890" s="34"/>
    </row>
    <row r="891">
      <c r="A891" s="34"/>
    </row>
    <row r="892">
      <c r="A892" s="34"/>
    </row>
    <row r="893">
      <c r="A893" s="34"/>
    </row>
    <row r="894">
      <c r="A894" s="34"/>
    </row>
    <row r="895">
      <c r="A895" s="34"/>
    </row>
    <row r="896">
      <c r="A896" s="34"/>
    </row>
    <row r="897">
      <c r="A897" s="34"/>
    </row>
    <row r="898">
      <c r="A898" s="34"/>
    </row>
    <row r="899">
      <c r="A899" s="34"/>
    </row>
    <row r="900">
      <c r="A900" s="34"/>
    </row>
    <row r="901">
      <c r="A901" s="34"/>
    </row>
    <row r="902">
      <c r="A902" s="34"/>
    </row>
    <row r="903">
      <c r="A903" s="34"/>
    </row>
    <row r="904">
      <c r="A904" s="34"/>
    </row>
    <row r="905">
      <c r="A905" s="34"/>
    </row>
    <row r="906">
      <c r="A906" s="34"/>
    </row>
    <row r="907">
      <c r="A907" s="34"/>
    </row>
    <row r="908">
      <c r="A908" s="34"/>
    </row>
    <row r="909">
      <c r="A909" s="34"/>
    </row>
    <row r="910">
      <c r="A910" s="34"/>
    </row>
    <row r="911">
      <c r="A911" s="34"/>
    </row>
    <row r="912">
      <c r="A912" s="34"/>
    </row>
    <row r="913">
      <c r="A913" s="34"/>
    </row>
    <row r="914">
      <c r="A914" s="34"/>
    </row>
    <row r="915">
      <c r="A915" s="34"/>
    </row>
    <row r="916">
      <c r="A916" s="34"/>
    </row>
    <row r="917">
      <c r="A917" s="34"/>
    </row>
    <row r="918">
      <c r="A918" s="34"/>
    </row>
    <row r="919">
      <c r="A919" s="34"/>
    </row>
    <row r="920">
      <c r="A920" s="34"/>
    </row>
    <row r="921">
      <c r="A921" s="34"/>
    </row>
    <row r="922">
      <c r="A922" s="34"/>
    </row>
    <row r="923">
      <c r="A923" s="34"/>
    </row>
    <row r="924">
      <c r="A924" s="34"/>
    </row>
    <row r="925">
      <c r="A925" s="34"/>
    </row>
    <row r="926">
      <c r="A926" s="34"/>
    </row>
    <row r="927">
      <c r="A927" s="34"/>
    </row>
    <row r="928">
      <c r="A928" s="34"/>
    </row>
    <row r="929">
      <c r="A929" s="34"/>
    </row>
    <row r="930">
      <c r="A930" s="34"/>
    </row>
    <row r="931">
      <c r="A931" s="34"/>
    </row>
    <row r="932">
      <c r="A932" s="34"/>
    </row>
    <row r="933">
      <c r="A933" s="34"/>
    </row>
    <row r="934">
      <c r="A934" s="34"/>
    </row>
    <row r="935">
      <c r="A935" s="34"/>
    </row>
    <row r="936">
      <c r="A936" s="34"/>
    </row>
    <row r="937">
      <c r="A937" s="34"/>
    </row>
    <row r="938">
      <c r="A938" s="34"/>
    </row>
    <row r="939">
      <c r="A939" s="34"/>
    </row>
    <row r="940">
      <c r="A940" s="34"/>
    </row>
    <row r="941">
      <c r="A941" s="34"/>
    </row>
    <row r="942">
      <c r="A942" s="34"/>
    </row>
    <row r="943">
      <c r="A943" s="34"/>
    </row>
    <row r="944">
      <c r="A944" s="34"/>
    </row>
    <row r="945">
      <c r="A945" s="34"/>
    </row>
    <row r="946">
      <c r="A946" s="34"/>
    </row>
    <row r="947">
      <c r="A947" s="34"/>
    </row>
    <row r="948">
      <c r="A948" s="34"/>
    </row>
    <row r="949">
      <c r="A949" s="34"/>
    </row>
    <row r="950">
      <c r="A950" s="34"/>
    </row>
    <row r="951">
      <c r="A951" s="34"/>
    </row>
    <row r="952">
      <c r="A952" s="34"/>
    </row>
    <row r="953">
      <c r="A953" s="34"/>
    </row>
    <row r="954">
      <c r="A954" s="34"/>
    </row>
    <row r="955">
      <c r="A955" s="34"/>
    </row>
    <row r="956">
      <c r="A956" s="34"/>
    </row>
    <row r="957">
      <c r="A957" s="34"/>
    </row>
    <row r="958">
      <c r="A958" s="34"/>
    </row>
    <row r="959">
      <c r="A959" s="34"/>
    </row>
    <row r="960">
      <c r="A960" s="34"/>
    </row>
    <row r="961">
      <c r="A961" s="34"/>
    </row>
    <row r="962">
      <c r="A962" s="34"/>
    </row>
    <row r="963">
      <c r="A963" s="34"/>
    </row>
    <row r="964">
      <c r="A964" s="34"/>
    </row>
    <row r="965">
      <c r="A965" s="34"/>
    </row>
    <row r="966">
      <c r="A966" s="34"/>
    </row>
    <row r="967">
      <c r="A967" s="34"/>
    </row>
    <row r="968">
      <c r="A968" s="34"/>
    </row>
    <row r="969">
      <c r="A969" s="34"/>
    </row>
    <row r="970">
      <c r="A970" s="34"/>
    </row>
    <row r="971">
      <c r="A971" s="34"/>
    </row>
    <row r="972">
      <c r="A972" s="34"/>
    </row>
    <row r="973">
      <c r="A973" s="34"/>
    </row>
    <row r="974">
      <c r="A974" s="34"/>
    </row>
    <row r="975">
      <c r="A975" s="34"/>
    </row>
    <row r="976">
      <c r="A976" s="34"/>
    </row>
    <row r="977">
      <c r="A977" s="34"/>
    </row>
    <row r="978">
      <c r="A978" s="34"/>
    </row>
    <row r="979">
      <c r="A979" s="34"/>
    </row>
    <row r="980">
      <c r="A980" s="34"/>
    </row>
    <row r="981">
      <c r="A981" s="34"/>
    </row>
    <row r="982">
      <c r="A982" s="34"/>
    </row>
    <row r="983">
      <c r="A983" s="34"/>
    </row>
    <row r="984">
      <c r="A984" s="34"/>
    </row>
    <row r="985">
      <c r="A985" s="34"/>
    </row>
    <row r="986">
      <c r="A986" s="34"/>
    </row>
    <row r="987">
      <c r="A987" s="34"/>
    </row>
    <row r="988">
      <c r="A988" s="34"/>
    </row>
    <row r="989">
      <c r="A989" s="34"/>
    </row>
    <row r="990">
      <c r="A990" s="34"/>
    </row>
    <row r="991">
      <c r="A991" s="34"/>
    </row>
    <row r="992">
      <c r="A992" s="34"/>
    </row>
    <row r="993">
      <c r="A993" s="34"/>
    </row>
    <row r="994">
      <c r="A994" s="34"/>
    </row>
    <row r="995">
      <c r="A995" s="34"/>
    </row>
    <row r="996">
      <c r="A996" s="34"/>
    </row>
    <row r="997">
      <c r="A997" s="34"/>
    </row>
    <row r="998">
      <c r="A998" s="34"/>
    </row>
    <row r="999">
      <c r="A999" s="34"/>
    </row>
    <row r="1000">
      <c r="A1000" s="34"/>
    </row>
    <row r="1001">
      <c r="A1001" s="34"/>
    </row>
    <row r="1002">
      <c r="A1002" s="34"/>
    </row>
    <row r="1003">
      <c r="A1003" s="34"/>
    </row>
    <row r="1004">
      <c r="A1004" s="34"/>
    </row>
    <row r="1005">
      <c r="A1005" s="34"/>
    </row>
    <row r="1006">
      <c r="A1006" s="34"/>
    </row>
    <row r="1007">
      <c r="A1007" s="34"/>
    </row>
    <row r="1008">
      <c r="A1008" s="34"/>
    </row>
    <row r="1009">
      <c r="A1009" s="34"/>
    </row>
    <row r="1010">
      <c r="A1010" s="34"/>
    </row>
    <row r="1011">
      <c r="A1011" s="34"/>
    </row>
    <row r="1012">
      <c r="A1012" s="34"/>
    </row>
    <row r="1013">
      <c r="A1013" s="34"/>
    </row>
    <row r="1014">
      <c r="A1014" s="34"/>
    </row>
    <row r="1015">
      <c r="A1015" s="34"/>
    </row>
    <row r="1016">
      <c r="A1016" s="34"/>
    </row>
    <row r="1017">
      <c r="A1017" s="34"/>
    </row>
    <row r="1018">
      <c r="A1018" s="34"/>
    </row>
    <row r="1019">
      <c r="A1019" s="34"/>
    </row>
    <row r="1020">
      <c r="A1020" s="34"/>
    </row>
    <row r="1021">
      <c r="A1021" s="34"/>
    </row>
    <row r="1022">
      <c r="A1022" s="34"/>
    </row>
    <row r="1023">
      <c r="A1023" s="34"/>
    </row>
    <row r="1024">
      <c r="A1024" s="34"/>
    </row>
    <row r="1025">
      <c r="A1025" s="34"/>
    </row>
    <row r="1026">
      <c r="A1026" s="34"/>
    </row>
    <row r="1027">
      <c r="A1027" s="34"/>
    </row>
    <row r="1028">
      <c r="A1028" s="34"/>
    </row>
    <row r="1029">
      <c r="A1029" s="34"/>
    </row>
    <row r="1030">
      <c r="A1030" s="34"/>
    </row>
    <row r="1031">
      <c r="A1031" s="34"/>
    </row>
    <row r="1032">
      <c r="A1032" s="34"/>
    </row>
    <row r="1033">
      <c r="A1033" s="34"/>
    </row>
    <row r="1034">
      <c r="A1034" s="34"/>
    </row>
    <row r="1035">
      <c r="A1035" s="34"/>
    </row>
    <row r="1036">
      <c r="A1036" s="34"/>
    </row>
    <row r="1037">
      <c r="A1037" s="34"/>
    </row>
    <row r="1038">
      <c r="A1038" s="34"/>
    </row>
    <row r="1039">
      <c r="A1039" s="34"/>
    </row>
    <row r="1040">
      <c r="A1040" s="34"/>
    </row>
    <row r="1041">
      <c r="A1041" s="34"/>
    </row>
    <row r="1042">
      <c r="A1042" s="34"/>
    </row>
    <row r="1043">
      <c r="A1043" s="34"/>
    </row>
    <row r="1044">
      <c r="A1044" s="34"/>
    </row>
    <row r="1045">
      <c r="A1045" s="34"/>
    </row>
    <row r="1046">
      <c r="A1046" s="34"/>
    </row>
    <row r="1047">
      <c r="A1047" s="34"/>
    </row>
    <row r="1048">
      <c r="A1048" s="34"/>
    </row>
    <row r="1049">
      <c r="A1049" s="34"/>
    </row>
    <row r="1050">
      <c r="A1050" s="34"/>
    </row>
    <row r="1051">
      <c r="A1051" s="34"/>
    </row>
    <row r="1052">
      <c r="A1052" s="34"/>
    </row>
    <row r="1053">
      <c r="A1053" s="34"/>
    </row>
    <row r="1054">
      <c r="A1054" s="34"/>
    </row>
    <row r="1055">
      <c r="A1055" s="34"/>
    </row>
    <row r="1056">
      <c r="A1056" s="34"/>
    </row>
    <row r="1057">
      <c r="A1057" s="34"/>
    </row>
    <row r="1058">
      <c r="A1058" s="34"/>
    </row>
    <row r="1059">
      <c r="A1059" s="34"/>
    </row>
    <row r="1060">
      <c r="A1060" s="34"/>
    </row>
    <row r="1061">
      <c r="A1061" s="34"/>
    </row>
    <row r="1062">
      <c r="A1062" s="34"/>
    </row>
    <row r="1063">
      <c r="A1063" s="34"/>
    </row>
    <row r="1064">
      <c r="A1064" s="34"/>
    </row>
    <row r="1065">
      <c r="A1065" s="34"/>
    </row>
    <row r="1066">
      <c r="A1066" s="34"/>
    </row>
    <row r="1067">
      <c r="A1067" s="34"/>
    </row>
    <row r="1068">
      <c r="A1068" s="34"/>
    </row>
    <row r="1069">
      <c r="A1069" s="34"/>
    </row>
    <row r="1070">
      <c r="A1070" s="34"/>
    </row>
    <row r="1071">
      <c r="A1071" s="34"/>
    </row>
    <row r="1072">
      <c r="A1072" s="34"/>
    </row>
    <row r="1073">
      <c r="A1073" s="34"/>
    </row>
    <row r="1074">
      <c r="A1074" s="34"/>
    </row>
    <row r="1075">
      <c r="A1075" s="34"/>
    </row>
    <row r="1076">
      <c r="A1076" s="34"/>
    </row>
    <row r="1077">
      <c r="A1077" s="34"/>
    </row>
    <row r="1078">
      <c r="A1078" s="34"/>
    </row>
    <row r="1079">
      <c r="A1079" s="34"/>
    </row>
    <row r="1080">
      <c r="A1080" s="34"/>
    </row>
    <row r="1081">
      <c r="A1081" s="34"/>
    </row>
    <row r="1082">
      <c r="A1082" s="34"/>
    </row>
    <row r="1083">
      <c r="A1083" s="34"/>
    </row>
    <row r="1084">
      <c r="A1084" s="34"/>
    </row>
    <row r="1085">
      <c r="A1085" s="34"/>
    </row>
    <row r="1086">
      <c r="A1086" s="34"/>
    </row>
    <row r="1087">
      <c r="A1087" s="34"/>
    </row>
    <row r="1088">
      <c r="A1088" s="34"/>
    </row>
    <row r="1089">
      <c r="A1089" s="34"/>
    </row>
    <row r="1090">
      <c r="A1090" s="34"/>
    </row>
    <row r="1091">
      <c r="A1091" s="34"/>
    </row>
    <row r="1092">
      <c r="A1092" s="34"/>
    </row>
    <row r="1093">
      <c r="A1093" s="34"/>
    </row>
    <row r="1094">
      <c r="A1094" s="34"/>
    </row>
    <row r="1095">
      <c r="A1095" s="34"/>
    </row>
    <row r="1096">
      <c r="A1096" s="34"/>
    </row>
    <row r="1097">
      <c r="A1097" s="34"/>
    </row>
    <row r="1098">
      <c r="A1098" s="34"/>
    </row>
    <row r="1099">
      <c r="A1099" s="34"/>
    </row>
    <row r="1100">
      <c r="A1100" s="34"/>
    </row>
    <row r="1101">
      <c r="A1101" s="34"/>
    </row>
    <row r="1102">
      <c r="A1102" s="34"/>
    </row>
    <row r="1103">
      <c r="A1103" s="34"/>
    </row>
    <row r="1104">
      <c r="A1104" s="34"/>
    </row>
    <row r="1105">
      <c r="A1105" s="34"/>
    </row>
    <row r="1106">
      <c r="A1106" s="34"/>
    </row>
    <row r="1107">
      <c r="A1107" s="34"/>
    </row>
    <row r="1108">
      <c r="A1108" s="34"/>
    </row>
    <row r="1109">
      <c r="A1109" s="34"/>
    </row>
    <row r="1110">
      <c r="A1110" s="34"/>
    </row>
    <row r="1111">
      <c r="A1111" s="34"/>
    </row>
    <row r="1112">
      <c r="A1112" s="34"/>
    </row>
    <row r="1113">
      <c r="A1113" s="34"/>
    </row>
    <row r="1114">
      <c r="A1114" s="34"/>
    </row>
    <row r="1115">
      <c r="A1115" s="34"/>
    </row>
    <row r="1116">
      <c r="A1116" s="34"/>
    </row>
    <row r="1117">
      <c r="A1117" s="34"/>
    </row>
    <row r="1118">
      <c r="A1118" s="34"/>
    </row>
    <row r="1119">
      <c r="A1119" s="34"/>
    </row>
    <row r="1120">
      <c r="A1120" s="34"/>
    </row>
    <row r="1121">
      <c r="A1121" s="34"/>
    </row>
    <row r="1122">
      <c r="A1122" s="34"/>
    </row>
    <row r="1123">
      <c r="A1123" s="34"/>
    </row>
    <row r="1124">
      <c r="A1124" s="34"/>
    </row>
    <row r="1125">
      <c r="A1125" s="34"/>
    </row>
    <row r="1126">
      <c r="A1126" s="34"/>
    </row>
    <row r="1127">
      <c r="A1127" s="34"/>
    </row>
    <row r="1128">
      <c r="A1128" s="34"/>
    </row>
    <row r="1129">
      <c r="A1129" s="34"/>
    </row>
    <row r="1130">
      <c r="A1130" s="34"/>
    </row>
    <row r="1131">
      <c r="A1131" s="34"/>
    </row>
    <row r="1132">
      <c r="A1132" s="34"/>
    </row>
    <row r="1133">
      <c r="A1133" s="34"/>
    </row>
    <row r="1134">
      <c r="A1134" s="34"/>
    </row>
    <row r="1135">
      <c r="A1135" s="34"/>
    </row>
    <row r="1136">
      <c r="A1136" s="34"/>
    </row>
    <row r="1137">
      <c r="A1137" s="34"/>
    </row>
    <row r="1138">
      <c r="A1138" s="34"/>
    </row>
    <row r="1139">
      <c r="A1139" s="34"/>
    </row>
    <row r="1140">
      <c r="A1140" s="34"/>
    </row>
    <row r="1141">
      <c r="A1141" s="34"/>
    </row>
    <row r="1142">
      <c r="A1142" s="34"/>
    </row>
    <row r="1143">
      <c r="A1143" s="34"/>
    </row>
    <row r="1144">
      <c r="A1144" s="34"/>
    </row>
    <row r="1145">
      <c r="A1145" s="34"/>
    </row>
    <row r="1146">
      <c r="A1146" s="34"/>
    </row>
    <row r="1147">
      <c r="A1147" s="34"/>
    </row>
    <row r="1148">
      <c r="A1148" s="34"/>
    </row>
    <row r="1149">
      <c r="A1149" s="34"/>
    </row>
    <row r="1150">
      <c r="A1150" s="34"/>
    </row>
    <row r="1151">
      <c r="A1151" s="34"/>
    </row>
    <row r="1152">
      <c r="A1152" s="34"/>
    </row>
    <row r="1153">
      <c r="A1153" s="34"/>
    </row>
    <row r="1154">
      <c r="A1154" s="34"/>
    </row>
    <row r="1155">
      <c r="A1155" s="34"/>
    </row>
    <row r="1156">
      <c r="A1156" s="34"/>
    </row>
    <row r="1157">
      <c r="A1157" s="34"/>
    </row>
    <row r="1158">
      <c r="A1158" s="34"/>
    </row>
    <row r="1159">
      <c r="A1159" s="34"/>
    </row>
    <row r="1160">
      <c r="A1160" s="34"/>
    </row>
    <row r="1161">
      <c r="A1161" s="34"/>
    </row>
    <row r="1162">
      <c r="A1162" s="34"/>
    </row>
    <row r="1163">
      <c r="A1163" s="34"/>
    </row>
    <row r="1164">
      <c r="A1164" s="34"/>
    </row>
    <row r="1165">
      <c r="A1165" s="34"/>
    </row>
    <row r="1166">
      <c r="A1166" s="34"/>
    </row>
    <row r="1167">
      <c r="A1167" s="34"/>
    </row>
    <row r="1168">
      <c r="A1168" s="34"/>
    </row>
    <row r="1169">
      <c r="A1169" s="34"/>
    </row>
    <row r="1170">
      <c r="A1170" s="34"/>
    </row>
    <row r="1171">
      <c r="A1171" s="34"/>
    </row>
    <row r="1172">
      <c r="A1172" s="34"/>
    </row>
    <row r="1173">
      <c r="A1173" s="34"/>
    </row>
    <row r="1174">
      <c r="A1174" s="34"/>
    </row>
    <row r="1175">
      <c r="A1175" s="34"/>
    </row>
    <row r="1176">
      <c r="A1176" s="34"/>
    </row>
    <row r="1177">
      <c r="A1177" s="34"/>
    </row>
    <row r="1178">
      <c r="A1178" s="34"/>
    </row>
    <row r="1179">
      <c r="A1179" s="34"/>
    </row>
    <row r="1180">
      <c r="A1180" s="34"/>
    </row>
    <row r="1181">
      <c r="A1181" s="34"/>
    </row>
    <row r="1182">
      <c r="A1182" s="34"/>
    </row>
    <row r="1183">
      <c r="A1183" s="34"/>
    </row>
    <row r="1184">
      <c r="A1184" s="34"/>
    </row>
    <row r="1185">
      <c r="A1185" s="34"/>
    </row>
    <row r="1186">
      <c r="A1186" s="34"/>
    </row>
    <row r="1187">
      <c r="A1187" s="34"/>
    </row>
    <row r="1188">
      <c r="A1188" s="34"/>
    </row>
    <row r="1189">
      <c r="A1189" s="34"/>
    </row>
    <row r="1190">
      <c r="A1190" s="34"/>
    </row>
    <row r="1191">
      <c r="A1191" s="34"/>
    </row>
    <row r="1192">
      <c r="A1192" s="34"/>
    </row>
    <row r="1193">
      <c r="A1193" s="34"/>
    </row>
    <row r="1194">
      <c r="A1194" s="34"/>
    </row>
    <row r="1195">
      <c r="A1195" s="34"/>
    </row>
    <row r="1196">
      <c r="A1196" s="34"/>
    </row>
    <row r="1197">
      <c r="A1197" s="34"/>
    </row>
    <row r="1198">
      <c r="A1198" s="34"/>
    </row>
    <row r="1199">
      <c r="A1199" s="34"/>
    </row>
    <row r="1200">
      <c r="A1200" s="34"/>
    </row>
    <row r="1201">
      <c r="A1201" s="34"/>
    </row>
    <row r="1202">
      <c r="A1202" s="34"/>
    </row>
    <row r="1203">
      <c r="A1203" s="34"/>
    </row>
    <row r="1204">
      <c r="A1204" s="34"/>
    </row>
    <row r="1205">
      <c r="A1205" s="34"/>
    </row>
    <row r="1206">
      <c r="A1206" s="34"/>
    </row>
    <row r="1207">
      <c r="A1207" s="34"/>
    </row>
    <row r="1208">
      <c r="A1208" s="34"/>
    </row>
    <row r="1209">
      <c r="A1209" s="34"/>
    </row>
    <row r="1210">
      <c r="A1210" s="34"/>
    </row>
    <row r="1211">
      <c r="A1211" s="34"/>
    </row>
    <row r="1212">
      <c r="A1212" s="34"/>
    </row>
    <row r="1213">
      <c r="A1213" s="34"/>
    </row>
    <row r="1214">
      <c r="A1214" s="34"/>
    </row>
    <row r="1215">
      <c r="A1215" s="34"/>
    </row>
    <row r="1216">
      <c r="A1216" s="34"/>
    </row>
    <row r="1217">
      <c r="A1217" s="34"/>
    </row>
    <row r="1218">
      <c r="A1218" s="34"/>
    </row>
    <row r="1219">
      <c r="A1219" s="34"/>
    </row>
    <row r="1220">
      <c r="A1220" s="34"/>
    </row>
    <row r="1221">
      <c r="A1221" s="34"/>
    </row>
    <row r="1222">
      <c r="A1222" s="34"/>
    </row>
    <row r="1223">
      <c r="A1223" s="34"/>
    </row>
    <row r="1224">
      <c r="A1224" s="34"/>
    </row>
    <row r="1225">
      <c r="A1225" s="34"/>
    </row>
    <row r="1226">
      <c r="A1226" s="34"/>
    </row>
    <row r="1227">
      <c r="A1227" s="34"/>
    </row>
    <row r="1228">
      <c r="A1228" s="34"/>
    </row>
    <row r="1229">
      <c r="A1229" s="34"/>
    </row>
    <row r="1230">
      <c r="A1230" s="34"/>
    </row>
    <row r="1231">
      <c r="A1231" s="34"/>
    </row>
    <row r="1232">
      <c r="A1232" s="34"/>
    </row>
    <row r="1233">
      <c r="A1233" s="34"/>
    </row>
    <row r="1234">
      <c r="A1234" s="34"/>
    </row>
    <row r="1235">
      <c r="A1235" s="34"/>
    </row>
    <row r="1236">
      <c r="A1236" s="34"/>
    </row>
    <row r="1237">
      <c r="A1237" s="34"/>
    </row>
    <row r="1238">
      <c r="A1238" s="34"/>
    </row>
    <row r="1239">
      <c r="A1239" s="34"/>
    </row>
    <row r="1240">
      <c r="A1240" s="34"/>
    </row>
    <row r="1241">
      <c r="A1241" s="34"/>
    </row>
    <row r="1242">
      <c r="A1242" s="34"/>
    </row>
    <row r="1243">
      <c r="A1243" s="34"/>
    </row>
    <row r="1244">
      <c r="A1244" s="34"/>
    </row>
    <row r="1245">
      <c r="A1245" s="34"/>
    </row>
    <row r="1246">
      <c r="A1246" s="34"/>
    </row>
    <row r="1247">
      <c r="A1247" s="34"/>
    </row>
    <row r="1248">
      <c r="A1248" s="34"/>
    </row>
    <row r="1249">
      <c r="A1249" s="34"/>
    </row>
    <row r="1250">
      <c r="A1250" s="34"/>
    </row>
    <row r="1251">
      <c r="A1251" s="34"/>
    </row>
    <row r="1252">
      <c r="A1252" s="34"/>
    </row>
    <row r="1253">
      <c r="A1253" s="34"/>
    </row>
    <row r="1254">
      <c r="A1254" s="34"/>
    </row>
    <row r="1255">
      <c r="A1255" s="34"/>
    </row>
    <row r="1256">
      <c r="A1256" s="34"/>
    </row>
    <row r="1257">
      <c r="A1257" s="34"/>
    </row>
    <row r="1258">
      <c r="A1258" s="34"/>
    </row>
    <row r="1259">
      <c r="A1259" s="34"/>
    </row>
    <row r="1260">
      <c r="A1260" s="34"/>
    </row>
    <row r="1261">
      <c r="A1261" s="34"/>
    </row>
    <row r="1262">
      <c r="A1262" s="34"/>
    </row>
    <row r="1263">
      <c r="A1263" s="34"/>
    </row>
    <row r="1264">
      <c r="A1264" s="34"/>
    </row>
    <row r="1265">
      <c r="A1265" s="34"/>
    </row>
    <row r="1266">
      <c r="A1266" s="34"/>
    </row>
    <row r="1267">
      <c r="A1267" s="34"/>
    </row>
    <row r="1268">
      <c r="A1268" s="34"/>
    </row>
    <row r="1269">
      <c r="A1269" s="34"/>
    </row>
    <row r="1270">
      <c r="A1270" s="34"/>
    </row>
    <row r="1271">
      <c r="A1271" s="34"/>
    </row>
    <row r="1272">
      <c r="A1272" s="34"/>
    </row>
    <row r="1273">
      <c r="A1273" s="34"/>
    </row>
    <row r="1274">
      <c r="A1274" s="34"/>
    </row>
    <row r="1275">
      <c r="A1275" s="34"/>
    </row>
    <row r="1276">
      <c r="A1276" s="34"/>
    </row>
    <row r="1277">
      <c r="A1277" s="34"/>
    </row>
    <row r="1278">
      <c r="A1278" s="34"/>
    </row>
    <row r="1279">
      <c r="A1279" s="34"/>
    </row>
    <row r="1280">
      <c r="A1280" s="34"/>
    </row>
    <row r="1281">
      <c r="A1281" s="34"/>
    </row>
    <row r="1282">
      <c r="A1282" s="34"/>
    </row>
    <row r="1283">
      <c r="A1283" s="34"/>
    </row>
    <row r="1284">
      <c r="A1284" s="34"/>
    </row>
    <row r="1285">
      <c r="A1285" s="34"/>
    </row>
    <row r="1286">
      <c r="A1286" s="34"/>
    </row>
    <row r="1287">
      <c r="A1287" s="34"/>
    </row>
    <row r="1288">
      <c r="A1288" s="34"/>
    </row>
    <row r="1289">
      <c r="A1289" s="34"/>
    </row>
    <row r="1290">
      <c r="A1290" s="34"/>
    </row>
    <row r="1291">
      <c r="A1291" s="34"/>
    </row>
    <row r="1292">
      <c r="A1292" s="34"/>
    </row>
    <row r="1293">
      <c r="A1293" s="34"/>
    </row>
    <row r="1294">
      <c r="A1294" s="34"/>
    </row>
    <row r="1295">
      <c r="A1295" s="34"/>
    </row>
    <row r="1296">
      <c r="A1296" s="34"/>
    </row>
    <row r="1297">
      <c r="A1297" s="34"/>
    </row>
    <row r="1298">
      <c r="A1298" s="34"/>
    </row>
    <row r="1299">
      <c r="A1299" s="34"/>
    </row>
    <row r="1300">
      <c r="A1300" s="34"/>
    </row>
    <row r="1301">
      <c r="A1301" s="34"/>
    </row>
    <row r="1302">
      <c r="A1302" s="34"/>
    </row>
    <row r="1303">
      <c r="A1303" s="34"/>
    </row>
    <row r="1304">
      <c r="A1304" s="34"/>
    </row>
    <row r="1305">
      <c r="A1305" s="34"/>
    </row>
    <row r="1306">
      <c r="A1306" s="34"/>
    </row>
    <row r="1307">
      <c r="A1307" s="34"/>
    </row>
    <row r="1308">
      <c r="A1308" s="34"/>
    </row>
    <row r="1309">
      <c r="A1309" s="34"/>
    </row>
    <row r="1310">
      <c r="A1310" s="34"/>
    </row>
    <row r="1311">
      <c r="A1311" s="34"/>
    </row>
    <row r="1312">
      <c r="A1312" s="34"/>
    </row>
    <row r="1313">
      <c r="A1313" s="34"/>
    </row>
    <row r="1314">
      <c r="A1314" s="34"/>
    </row>
    <row r="1315">
      <c r="A1315" s="34"/>
    </row>
    <row r="1316">
      <c r="A1316" s="34"/>
    </row>
    <row r="1317">
      <c r="A1317" s="34"/>
    </row>
    <row r="1318">
      <c r="A1318" s="34"/>
    </row>
    <row r="1319">
      <c r="A1319" s="34"/>
    </row>
    <row r="1320">
      <c r="A1320" s="34"/>
    </row>
    <row r="1321">
      <c r="A1321" s="34"/>
    </row>
    <row r="1322">
      <c r="A1322" s="34"/>
    </row>
    <row r="1323">
      <c r="A1323" s="34"/>
    </row>
    <row r="1324">
      <c r="A1324" s="34"/>
    </row>
    <row r="1325">
      <c r="A1325" s="34"/>
    </row>
    <row r="1326">
      <c r="A1326" s="34"/>
    </row>
    <row r="1327">
      <c r="A1327" s="34"/>
    </row>
    <row r="1328">
      <c r="A1328" s="34"/>
    </row>
    <row r="1329">
      <c r="A1329" s="34"/>
    </row>
    <row r="1330">
      <c r="A1330" s="34"/>
    </row>
    <row r="1331">
      <c r="A1331" s="34"/>
    </row>
    <row r="1332">
      <c r="A1332" s="34"/>
    </row>
    <row r="1333">
      <c r="A1333" s="34"/>
    </row>
    <row r="1334">
      <c r="A1334" s="34"/>
    </row>
    <row r="1335">
      <c r="A1335" s="34"/>
    </row>
    <row r="1336">
      <c r="A1336" s="34"/>
    </row>
    <row r="1337">
      <c r="A1337" s="34"/>
    </row>
    <row r="1338">
      <c r="A1338" s="34"/>
    </row>
    <row r="1339">
      <c r="A1339" s="34"/>
    </row>
    <row r="1340">
      <c r="A1340" s="34"/>
    </row>
    <row r="1341">
      <c r="A1341" s="34"/>
    </row>
    <row r="1342">
      <c r="A1342" s="34"/>
    </row>
    <row r="1343">
      <c r="A1343" s="34"/>
    </row>
    <row r="1344">
      <c r="A1344" s="34"/>
    </row>
    <row r="1345">
      <c r="A1345" s="34"/>
    </row>
    <row r="1346">
      <c r="A1346" s="34"/>
    </row>
    <row r="1347">
      <c r="A1347" s="34"/>
    </row>
    <row r="1348">
      <c r="A1348" s="34"/>
    </row>
    <row r="1349">
      <c r="A1349" s="34"/>
    </row>
    <row r="1350">
      <c r="A1350" s="34"/>
    </row>
    <row r="1351">
      <c r="A1351" s="34"/>
    </row>
    <row r="1352">
      <c r="A1352" s="34"/>
    </row>
    <row r="1353">
      <c r="A1353" s="34"/>
    </row>
    <row r="1354">
      <c r="A1354" s="34"/>
    </row>
    <row r="1355">
      <c r="A1355" s="34"/>
    </row>
    <row r="1356">
      <c r="A1356" s="34"/>
    </row>
    <row r="1357">
      <c r="A1357" s="34"/>
    </row>
    <row r="1358">
      <c r="A1358" s="34"/>
    </row>
    <row r="1359">
      <c r="A1359" s="34"/>
    </row>
    <row r="1360">
      <c r="A1360" s="34"/>
    </row>
    <row r="1361">
      <c r="A1361" s="34"/>
    </row>
    <row r="1362">
      <c r="A1362" s="34"/>
    </row>
    <row r="1363">
      <c r="A1363" s="34"/>
    </row>
    <row r="1364">
      <c r="A1364" s="34"/>
    </row>
    <row r="1365">
      <c r="A1365" s="34"/>
    </row>
    <row r="1366">
      <c r="A1366" s="34"/>
    </row>
    <row r="1367">
      <c r="A1367" s="34"/>
    </row>
    <row r="1368">
      <c r="A1368" s="34"/>
    </row>
    <row r="1369">
      <c r="A1369" s="34"/>
    </row>
    <row r="1370">
      <c r="A1370" s="34"/>
    </row>
    <row r="1371">
      <c r="A1371" s="34"/>
    </row>
    <row r="1372">
      <c r="A1372" s="34"/>
    </row>
    <row r="1373">
      <c r="A1373" s="34"/>
    </row>
    <row r="1374">
      <c r="A1374" s="34"/>
    </row>
    <row r="1375">
      <c r="A1375" s="34"/>
    </row>
    <row r="1376">
      <c r="A1376" s="34"/>
    </row>
    <row r="1377">
      <c r="A1377" s="34"/>
    </row>
    <row r="1378">
      <c r="A1378" s="34"/>
    </row>
    <row r="1379">
      <c r="A1379" s="34"/>
    </row>
    <row r="1380">
      <c r="A1380" s="34"/>
    </row>
    <row r="1381">
      <c r="A1381" s="34"/>
    </row>
    <row r="1382">
      <c r="A1382" s="34"/>
    </row>
    <row r="1383">
      <c r="A1383" s="34"/>
    </row>
    <row r="1384">
      <c r="A1384" s="34"/>
    </row>
    <row r="1385">
      <c r="A1385" s="34"/>
    </row>
    <row r="1386">
      <c r="A1386" s="34"/>
    </row>
    <row r="1387">
      <c r="A1387" s="34"/>
    </row>
    <row r="1388">
      <c r="A1388" s="34"/>
    </row>
    <row r="1389">
      <c r="A1389" s="34"/>
    </row>
    <row r="1390">
      <c r="A1390" s="34"/>
    </row>
    <row r="1391">
      <c r="A1391" s="34"/>
    </row>
    <row r="1392">
      <c r="A1392" s="34"/>
    </row>
    <row r="1393">
      <c r="A1393" s="34"/>
    </row>
    <row r="1394">
      <c r="A1394" s="34"/>
    </row>
    <row r="1395">
      <c r="A1395" s="34"/>
    </row>
    <row r="1396">
      <c r="A1396" s="34"/>
    </row>
    <row r="1397">
      <c r="A1397" s="34"/>
    </row>
    <row r="1398">
      <c r="A1398" s="34"/>
    </row>
    <row r="1399">
      <c r="A1399" s="34"/>
    </row>
    <row r="1400">
      <c r="A1400" s="34"/>
    </row>
    <row r="1401">
      <c r="A1401" s="34"/>
    </row>
    <row r="1402">
      <c r="A1402" s="34"/>
    </row>
    <row r="1403">
      <c r="A1403" s="34"/>
    </row>
    <row r="1404">
      <c r="A1404" s="34"/>
    </row>
    <row r="1405">
      <c r="A1405" s="34"/>
    </row>
    <row r="1406">
      <c r="A1406" s="34"/>
    </row>
    <row r="1407">
      <c r="A1407" s="34"/>
    </row>
    <row r="1408">
      <c r="A1408" s="34"/>
    </row>
    <row r="1409">
      <c r="A1409" s="34"/>
    </row>
    <row r="1410">
      <c r="A1410" s="34"/>
    </row>
    <row r="1411">
      <c r="A1411" s="34"/>
    </row>
    <row r="1412">
      <c r="A1412" s="34"/>
    </row>
    <row r="1413">
      <c r="A1413" s="34"/>
    </row>
    <row r="1414">
      <c r="A1414" s="34"/>
    </row>
    <row r="1415">
      <c r="A1415" s="34"/>
    </row>
    <row r="1416">
      <c r="A1416" s="34"/>
    </row>
    <row r="1417">
      <c r="A1417" s="34"/>
    </row>
    <row r="1418">
      <c r="A1418" s="34"/>
    </row>
    <row r="1419">
      <c r="A1419" s="34"/>
    </row>
    <row r="1420">
      <c r="A1420" s="34"/>
    </row>
    <row r="1421">
      <c r="A1421" s="34"/>
    </row>
    <row r="1422">
      <c r="A1422" s="34"/>
    </row>
    <row r="1423">
      <c r="A1423" s="34"/>
    </row>
    <row r="1424">
      <c r="A1424" s="34"/>
    </row>
    <row r="1425">
      <c r="A1425" s="34"/>
    </row>
    <row r="1426">
      <c r="A1426" s="34"/>
    </row>
    <row r="1427">
      <c r="A1427" s="34"/>
    </row>
    <row r="1428">
      <c r="A1428" s="34"/>
    </row>
    <row r="1429">
      <c r="A1429" s="34"/>
    </row>
    <row r="1430">
      <c r="A1430" s="34"/>
    </row>
    <row r="1431">
      <c r="A1431" s="34"/>
    </row>
    <row r="1432">
      <c r="A1432" s="34"/>
    </row>
    <row r="1433">
      <c r="A1433" s="34"/>
    </row>
    <row r="1434">
      <c r="A1434" s="34"/>
    </row>
    <row r="1435">
      <c r="A1435" s="34"/>
    </row>
    <row r="1436">
      <c r="A1436" s="34"/>
    </row>
    <row r="1437">
      <c r="A1437" s="34"/>
    </row>
    <row r="1438">
      <c r="A1438" s="34"/>
    </row>
    <row r="1439">
      <c r="A1439" s="34"/>
    </row>
    <row r="1440">
      <c r="A1440" s="34"/>
    </row>
    <row r="1441">
      <c r="A1441" s="34"/>
    </row>
    <row r="1442">
      <c r="A1442" s="34"/>
    </row>
    <row r="1443">
      <c r="A1443" s="34"/>
    </row>
    <row r="1444">
      <c r="A1444" s="34"/>
    </row>
    <row r="1445">
      <c r="A1445" s="34"/>
    </row>
    <row r="1446">
      <c r="A1446" s="34"/>
    </row>
    <row r="1447">
      <c r="A1447" s="34"/>
    </row>
    <row r="1448">
      <c r="A1448" s="34"/>
    </row>
    <row r="1449">
      <c r="A1449" s="34"/>
    </row>
    <row r="1450">
      <c r="A1450" s="34"/>
    </row>
    <row r="1451">
      <c r="A1451" s="34"/>
    </row>
    <row r="1452">
      <c r="A1452" s="34"/>
    </row>
    <row r="1453">
      <c r="A1453" s="34"/>
    </row>
    <row r="1454">
      <c r="A1454" s="34"/>
    </row>
    <row r="1455">
      <c r="A1455" s="34"/>
    </row>
    <row r="1456">
      <c r="A1456" s="34"/>
    </row>
    <row r="1457">
      <c r="A1457" s="34"/>
    </row>
    <row r="1458">
      <c r="A1458" s="34"/>
    </row>
    <row r="1459">
      <c r="A1459" s="34"/>
    </row>
    <row r="1460">
      <c r="A1460" s="34"/>
    </row>
    <row r="1461">
      <c r="A1461" s="34"/>
    </row>
    <row r="1462">
      <c r="A1462" s="34"/>
    </row>
    <row r="1463">
      <c r="A1463" s="34"/>
    </row>
    <row r="1464">
      <c r="A1464" s="34"/>
    </row>
    <row r="1465">
      <c r="A1465" s="34"/>
    </row>
    <row r="1466">
      <c r="A1466" s="34"/>
    </row>
    <row r="1467">
      <c r="A1467" s="34"/>
    </row>
    <row r="1468">
      <c r="A1468" s="34"/>
    </row>
    <row r="1469">
      <c r="A1469" s="34"/>
    </row>
    <row r="1470">
      <c r="A1470" s="34"/>
    </row>
    <row r="1471">
      <c r="A1471" s="34"/>
    </row>
    <row r="1472">
      <c r="A1472" s="34"/>
    </row>
    <row r="1473">
      <c r="A1473" s="34"/>
    </row>
    <row r="1474">
      <c r="A1474" s="34"/>
    </row>
    <row r="1475">
      <c r="A1475" s="34"/>
    </row>
    <row r="1476">
      <c r="A1476" s="34"/>
    </row>
    <row r="1477">
      <c r="A1477" s="34"/>
    </row>
    <row r="1478">
      <c r="A1478" s="34"/>
    </row>
    <row r="1479">
      <c r="A1479" s="34"/>
    </row>
    <row r="1480">
      <c r="A1480" s="34"/>
    </row>
    <row r="1481">
      <c r="A1481" s="34"/>
    </row>
    <row r="1482">
      <c r="A1482" s="34"/>
    </row>
    <row r="1483">
      <c r="A1483" s="34"/>
    </row>
    <row r="1484">
      <c r="A1484" s="34"/>
    </row>
    <row r="1485">
      <c r="A1485" s="34"/>
    </row>
    <row r="1486">
      <c r="A1486" s="34"/>
    </row>
    <row r="1487">
      <c r="A1487" s="34"/>
    </row>
    <row r="1488">
      <c r="A1488" s="34"/>
    </row>
    <row r="1489">
      <c r="A1489" s="34"/>
    </row>
    <row r="1490">
      <c r="A1490" s="34"/>
    </row>
    <row r="1491">
      <c r="A1491" s="34"/>
    </row>
    <row r="1492">
      <c r="A1492" s="34"/>
    </row>
    <row r="1493">
      <c r="A1493" s="34"/>
    </row>
    <row r="1494">
      <c r="A1494" s="34"/>
    </row>
    <row r="1495">
      <c r="A1495" s="34"/>
    </row>
    <row r="1496">
      <c r="A1496" s="34"/>
    </row>
    <row r="1497">
      <c r="A1497" s="34"/>
    </row>
    <row r="1498">
      <c r="A1498" s="34"/>
    </row>
    <row r="1499">
      <c r="A1499" s="34"/>
    </row>
    <row r="1500">
      <c r="A1500" s="34"/>
    </row>
    <row r="1501">
      <c r="A1501" s="34"/>
    </row>
    <row r="1502">
      <c r="A1502" s="34"/>
    </row>
    <row r="1503">
      <c r="A1503" s="34"/>
    </row>
    <row r="1504">
      <c r="A1504" s="34"/>
    </row>
    <row r="1505">
      <c r="A1505" s="34"/>
    </row>
    <row r="1506">
      <c r="A1506" s="34"/>
    </row>
    <row r="1507">
      <c r="A1507" s="34"/>
    </row>
    <row r="1508">
      <c r="A1508" s="34"/>
    </row>
    <row r="1509">
      <c r="A1509" s="34"/>
    </row>
    <row r="1510">
      <c r="A1510" s="34"/>
    </row>
    <row r="1511">
      <c r="A1511" s="34"/>
    </row>
    <row r="1512">
      <c r="A1512" s="34"/>
    </row>
    <row r="1513">
      <c r="A1513" s="34"/>
    </row>
    <row r="1514">
      <c r="A1514" s="34"/>
    </row>
    <row r="1515">
      <c r="A1515" s="34"/>
    </row>
    <row r="1516">
      <c r="A1516" s="34"/>
    </row>
    <row r="1517">
      <c r="A1517" s="34"/>
    </row>
    <row r="1518">
      <c r="A1518" s="34"/>
    </row>
    <row r="1519">
      <c r="A1519" s="34"/>
    </row>
    <row r="1520">
      <c r="A1520" s="34"/>
    </row>
    <row r="1521">
      <c r="A1521" s="34"/>
    </row>
    <row r="1522">
      <c r="A1522" s="34"/>
    </row>
    <row r="1523">
      <c r="A1523" s="34"/>
    </row>
    <row r="1524">
      <c r="A1524" s="34"/>
    </row>
    <row r="1525">
      <c r="A1525" s="34"/>
    </row>
    <row r="1526">
      <c r="A1526" s="34"/>
    </row>
    <row r="1527">
      <c r="A1527" s="34"/>
    </row>
    <row r="1528">
      <c r="A1528" s="34"/>
    </row>
    <row r="1529">
      <c r="A1529" s="34"/>
    </row>
    <row r="1530">
      <c r="A1530" s="34"/>
    </row>
    <row r="1531">
      <c r="A1531" s="34"/>
    </row>
    <row r="1532">
      <c r="A1532" s="34"/>
    </row>
    <row r="1533">
      <c r="A1533" s="34"/>
    </row>
    <row r="1534">
      <c r="A1534" s="34"/>
    </row>
    <row r="1535">
      <c r="A1535" s="34"/>
    </row>
    <row r="1536">
      <c r="A1536" s="34"/>
    </row>
    <row r="1537">
      <c r="A1537" s="34"/>
    </row>
    <row r="1538">
      <c r="A1538" s="34"/>
    </row>
    <row r="1539">
      <c r="A1539" s="34"/>
    </row>
    <row r="1540">
      <c r="A1540" s="34"/>
    </row>
    <row r="1541">
      <c r="A1541" s="34"/>
    </row>
    <row r="1542">
      <c r="A1542" s="34"/>
    </row>
    <row r="1543">
      <c r="A1543" s="34"/>
    </row>
    <row r="1544">
      <c r="A1544" s="34"/>
    </row>
    <row r="1545">
      <c r="A1545" s="34"/>
    </row>
    <row r="1546">
      <c r="A1546" s="34"/>
    </row>
    <row r="1547">
      <c r="A1547" s="34"/>
    </row>
    <row r="1548">
      <c r="A1548" s="34"/>
    </row>
    <row r="1549">
      <c r="A1549" s="34"/>
    </row>
    <row r="1550">
      <c r="A1550" s="34"/>
    </row>
    <row r="1551">
      <c r="A1551" s="34"/>
    </row>
    <row r="1552">
      <c r="A1552" s="34"/>
    </row>
    <row r="1553">
      <c r="A1553" s="34"/>
    </row>
    <row r="1554">
      <c r="A1554" s="34"/>
    </row>
    <row r="1555">
      <c r="A1555" s="34"/>
    </row>
    <row r="1556">
      <c r="A1556" s="34"/>
    </row>
    <row r="1557">
      <c r="A1557" s="34"/>
    </row>
    <row r="1558">
      <c r="A1558" s="34"/>
    </row>
    <row r="1559">
      <c r="A1559" s="34"/>
    </row>
    <row r="1560">
      <c r="A1560" s="34"/>
    </row>
    <row r="1561">
      <c r="A1561" s="34"/>
    </row>
    <row r="1562">
      <c r="A1562" s="34"/>
    </row>
    <row r="1563">
      <c r="A1563" s="34"/>
    </row>
    <row r="1564">
      <c r="A1564" s="34"/>
    </row>
    <row r="1565">
      <c r="A1565" s="34"/>
    </row>
    <row r="1566">
      <c r="A1566" s="34"/>
    </row>
    <row r="1567">
      <c r="A1567" s="34"/>
    </row>
    <row r="1568">
      <c r="A1568" s="34"/>
    </row>
    <row r="1569">
      <c r="A1569" s="34"/>
    </row>
    <row r="1570">
      <c r="A1570" s="34"/>
    </row>
    <row r="1571">
      <c r="A1571" s="34"/>
    </row>
    <row r="1572">
      <c r="A1572" s="34"/>
    </row>
    <row r="1573">
      <c r="A1573" s="34"/>
    </row>
    <row r="1574">
      <c r="A1574" s="34"/>
    </row>
    <row r="1575">
      <c r="A1575" s="34"/>
    </row>
    <row r="1576">
      <c r="A1576" s="34"/>
    </row>
    <row r="1577">
      <c r="A1577" s="34"/>
    </row>
    <row r="1578">
      <c r="A1578" s="34"/>
    </row>
    <row r="1579">
      <c r="A1579" s="34"/>
    </row>
    <row r="1580">
      <c r="A1580" s="34"/>
    </row>
    <row r="1581">
      <c r="A1581" s="34"/>
    </row>
    <row r="1582">
      <c r="A1582" s="34"/>
    </row>
    <row r="1583">
      <c r="A1583" s="34"/>
    </row>
    <row r="1584">
      <c r="A1584" s="34"/>
    </row>
    <row r="1585">
      <c r="A1585" s="34"/>
    </row>
    <row r="1586">
      <c r="A1586" s="34"/>
    </row>
    <row r="1587">
      <c r="A1587" s="34"/>
    </row>
    <row r="1588">
      <c r="A1588" s="34"/>
    </row>
    <row r="1589">
      <c r="A1589" s="34"/>
    </row>
    <row r="1590">
      <c r="A1590" s="34"/>
    </row>
    <row r="1591">
      <c r="A1591" s="34"/>
    </row>
    <row r="1592">
      <c r="A1592" s="34"/>
    </row>
    <row r="1593">
      <c r="A1593" s="34"/>
    </row>
    <row r="1594">
      <c r="A1594" s="34"/>
    </row>
    <row r="1595">
      <c r="A1595" s="34"/>
    </row>
    <row r="1596">
      <c r="A1596" s="34"/>
    </row>
    <row r="1597">
      <c r="A1597" s="34"/>
    </row>
    <row r="1598">
      <c r="A1598" s="34"/>
    </row>
    <row r="1599">
      <c r="A1599" s="34"/>
    </row>
    <row r="1600">
      <c r="A1600" s="34"/>
    </row>
    <row r="1601">
      <c r="A1601" s="34"/>
    </row>
    <row r="1602">
      <c r="A1602" s="34"/>
    </row>
    <row r="1603">
      <c r="A1603" s="34"/>
    </row>
    <row r="1604">
      <c r="A1604" s="34"/>
    </row>
    <row r="1605">
      <c r="A1605" s="34"/>
    </row>
    <row r="1606">
      <c r="A1606" s="34"/>
    </row>
    <row r="1607">
      <c r="A1607" s="34"/>
    </row>
    <row r="1608">
      <c r="A1608" s="34"/>
    </row>
    <row r="1609">
      <c r="A1609" s="34"/>
    </row>
    <row r="1610">
      <c r="A1610" s="34"/>
    </row>
    <row r="1611">
      <c r="A1611" s="34"/>
    </row>
    <row r="1612">
      <c r="A1612" s="34"/>
    </row>
    <row r="1613">
      <c r="A1613" s="34"/>
    </row>
    <row r="1614">
      <c r="A1614" s="34"/>
    </row>
    <row r="1615">
      <c r="A1615" s="34"/>
    </row>
    <row r="1616">
      <c r="A1616" s="34"/>
    </row>
    <row r="1617">
      <c r="A1617" s="34"/>
    </row>
    <row r="1618">
      <c r="A1618" s="34"/>
    </row>
    <row r="1619">
      <c r="A1619" s="34"/>
    </row>
    <row r="1620">
      <c r="A1620" s="34"/>
    </row>
    <row r="1621">
      <c r="A1621" s="34"/>
    </row>
    <row r="1622">
      <c r="A1622" s="34"/>
    </row>
    <row r="1623">
      <c r="A1623" s="34"/>
    </row>
    <row r="1624">
      <c r="A1624" s="34"/>
    </row>
    <row r="1625">
      <c r="A1625" s="34"/>
    </row>
    <row r="1626">
      <c r="A1626" s="34"/>
    </row>
    <row r="1627">
      <c r="A1627" s="34"/>
    </row>
    <row r="1628">
      <c r="A1628" s="34"/>
    </row>
    <row r="1629">
      <c r="A1629" s="34"/>
    </row>
    <row r="1630">
      <c r="A1630" s="34"/>
    </row>
    <row r="1631">
      <c r="A1631" s="34"/>
    </row>
    <row r="1632">
      <c r="A1632" s="34"/>
    </row>
    <row r="1633">
      <c r="A1633" s="34"/>
    </row>
    <row r="1634">
      <c r="A1634" s="34"/>
    </row>
    <row r="1635">
      <c r="A1635" s="34"/>
    </row>
    <row r="1636">
      <c r="A1636" s="34"/>
    </row>
    <row r="1637">
      <c r="A1637" s="34"/>
    </row>
    <row r="1638">
      <c r="A1638" s="34"/>
    </row>
    <row r="1639">
      <c r="A1639" s="34"/>
    </row>
    <row r="1640">
      <c r="A1640" s="34"/>
    </row>
    <row r="1641">
      <c r="A1641" s="34"/>
    </row>
    <row r="1642">
      <c r="A1642" s="34"/>
    </row>
    <row r="1643">
      <c r="A1643" s="34"/>
    </row>
    <row r="1644">
      <c r="A1644" s="34"/>
    </row>
    <row r="1645">
      <c r="A1645" s="34"/>
    </row>
    <row r="1646">
      <c r="A1646" s="34"/>
    </row>
    <row r="1647">
      <c r="A1647" s="34"/>
    </row>
    <row r="1648">
      <c r="A1648" s="34"/>
    </row>
    <row r="1649">
      <c r="A1649" s="34"/>
    </row>
    <row r="1650">
      <c r="A1650" s="34"/>
    </row>
    <row r="1651">
      <c r="A1651" s="34"/>
    </row>
    <row r="1652">
      <c r="A1652" s="34"/>
    </row>
    <row r="1653">
      <c r="A1653" s="34"/>
    </row>
    <row r="1654">
      <c r="A1654" s="34"/>
    </row>
    <row r="1655">
      <c r="A1655" s="34"/>
    </row>
    <row r="1656">
      <c r="A1656" s="34"/>
    </row>
    <row r="1657">
      <c r="A1657" s="34"/>
    </row>
    <row r="1658">
      <c r="A1658" s="34"/>
    </row>
    <row r="1659">
      <c r="A1659" s="34"/>
    </row>
    <row r="1660">
      <c r="A1660" s="34"/>
    </row>
    <row r="1661">
      <c r="A1661" s="34"/>
    </row>
    <row r="1662">
      <c r="A1662" s="34"/>
    </row>
    <row r="1663">
      <c r="A1663" s="34"/>
    </row>
    <row r="1664">
      <c r="A1664" s="34"/>
    </row>
    <row r="1665">
      <c r="A1665" s="34"/>
    </row>
    <row r="1666">
      <c r="A1666" s="34"/>
    </row>
    <row r="1667">
      <c r="A1667" s="34"/>
    </row>
    <row r="1668">
      <c r="A1668" s="34"/>
    </row>
    <row r="1669">
      <c r="A1669" s="34"/>
    </row>
    <row r="1670">
      <c r="A1670" s="34"/>
    </row>
    <row r="1671">
      <c r="A1671" s="34"/>
    </row>
    <row r="1672">
      <c r="A1672" s="34"/>
    </row>
    <row r="1673">
      <c r="A1673" s="34"/>
    </row>
    <row r="1674">
      <c r="A1674" s="34"/>
    </row>
    <row r="1675">
      <c r="A1675" s="34"/>
    </row>
    <row r="1676">
      <c r="A1676" s="34"/>
    </row>
    <row r="1677">
      <c r="A1677" s="34"/>
    </row>
    <row r="1678">
      <c r="A1678" s="34"/>
    </row>
    <row r="1679">
      <c r="A1679" s="34"/>
    </row>
    <row r="1680">
      <c r="A1680" s="34"/>
    </row>
    <row r="1681">
      <c r="A1681" s="34"/>
    </row>
    <row r="1682">
      <c r="A1682" s="34"/>
    </row>
    <row r="1683">
      <c r="A1683" s="34"/>
    </row>
    <row r="1684">
      <c r="A1684" s="34"/>
    </row>
    <row r="1685">
      <c r="A1685" s="34"/>
    </row>
    <row r="1686">
      <c r="A1686" s="34"/>
    </row>
    <row r="1687">
      <c r="A1687" s="34"/>
    </row>
    <row r="1688">
      <c r="A1688" s="34"/>
    </row>
    <row r="1689">
      <c r="A1689" s="34"/>
    </row>
    <row r="1690">
      <c r="A1690" s="34"/>
    </row>
    <row r="1691">
      <c r="A1691" s="34"/>
    </row>
    <row r="1692">
      <c r="A1692" s="34"/>
    </row>
    <row r="1693">
      <c r="A1693" s="34"/>
    </row>
    <row r="1694">
      <c r="A1694" s="34"/>
    </row>
    <row r="1695">
      <c r="A1695" s="34"/>
    </row>
    <row r="1696">
      <c r="A1696" s="34"/>
    </row>
    <row r="1697">
      <c r="A1697" s="34"/>
    </row>
    <row r="1698">
      <c r="A1698" s="34"/>
    </row>
    <row r="1699">
      <c r="A1699" s="34"/>
    </row>
    <row r="1700">
      <c r="A1700" s="34"/>
    </row>
    <row r="1701">
      <c r="A1701" s="34"/>
    </row>
    <row r="1702">
      <c r="A1702" s="34"/>
    </row>
    <row r="1703">
      <c r="A1703" s="34"/>
    </row>
    <row r="1704">
      <c r="A1704" s="34"/>
    </row>
    <row r="1705">
      <c r="A1705" s="34"/>
    </row>
    <row r="1706">
      <c r="A1706" s="34"/>
    </row>
    <row r="1707">
      <c r="A1707" s="34"/>
    </row>
    <row r="1708">
      <c r="A1708" s="34"/>
    </row>
    <row r="1709">
      <c r="A1709" s="34"/>
    </row>
    <row r="1710">
      <c r="A1710" s="34"/>
    </row>
    <row r="1711">
      <c r="A1711" s="34"/>
    </row>
    <row r="1712">
      <c r="A1712" s="34"/>
    </row>
    <row r="1713">
      <c r="A1713" s="34"/>
    </row>
    <row r="1714">
      <c r="A1714" s="34"/>
    </row>
    <row r="1715">
      <c r="A1715" s="34"/>
    </row>
    <row r="1716">
      <c r="A1716" s="34"/>
    </row>
    <row r="1717">
      <c r="A1717" s="34"/>
    </row>
    <row r="1718">
      <c r="A1718" s="34"/>
    </row>
    <row r="1719">
      <c r="A1719" s="34"/>
    </row>
    <row r="1720">
      <c r="A1720" s="34"/>
    </row>
    <row r="1721">
      <c r="A1721" s="34"/>
    </row>
    <row r="1722">
      <c r="A1722" s="34"/>
    </row>
    <row r="1723">
      <c r="A1723" s="34"/>
    </row>
    <row r="1724">
      <c r="A1724" s="34"/>
    </row>
    <row r="1725">
      <c r="A1725" s="34"/>
    </row>
    <row r="1726">
      <c r="A1726" s="34"/>
    </row>
    <row r="1727">
      <c r="A1727" s="34"/>
    </row>
    <row r="1728">
      <c r="A1728" s="34"/>
    </row>
    <row r="1729">
      <c r="A1729" s="34"/>
    </row>
    <row r="1730">
      <c r="A1730" s="34"/>
    </row>
    <row r="1731">
      <c r="A1731" s="34"/>
    </row>
    <row r="1732">
      <c r="A1732" s="34"/>
    </row>
    <row r="1733">
      <c r="A1733" s="34"/>
    </row>
    <row r="1734">
      <c r="A1734" s="34"/>
    </row>
    <row r="1735">
      <c r="A1735" s="34"/>
    </row>
    <row r="1736">
      <c r="A1736" s="34"/>
    </row>
    <row r="1737">
      <c r="A1737" s="34"/>
    </row>
    <row r="1738">
      <c r="A1738" s="34"/>
    </row>
    <row r="1739">
      <c r="A1739" s="34"/>
    </row>
    <row r="1740">
      <c r="A1740" s="34"/>
    </row>
    <row r="1741">
      <c r="A1741" s="34"/>
    </row>
    <row r="1742">
      <c r="A1742" s="34"/>
    </row>
    <row r="1743">
      <c r="A1743" s="34"/>
    </row>
    <row r="1744">
      <c r="A1744" s="34"/>
    </row>
    <row r="1745">
      <c r="A1745" s="34"/>
    </row>
    <row r="1746">
      <c r="A1746" s="34"/>
    </row>
    <row r="1747">
      <c r="A1747" s="34"/>
    </row>
    <row r="1748">
      <c r="A1748" s="34"/>
    </row>
    <row r="1749">
      <c r="A1749" s="34"/>
    </row>
    <row r="1750">
      <c r="A1750" s="34"/>
    </row>
    <row r="1751">
      <c r="A1751" s="34"/>
    </row>
    <row r="1752">
      <c r="A1752" s="34"/>
    </row>
    <row r="1753">
      <c r="A1753" s="34"/>
    </row>
    <row r="1754">
      <c r="A1754" s="34"/>
    </row>
    <row r="1755">
      <c r="A1755" s="34"/>
    </row>
    <row r="1756">
      <c r="A1756" s="34"/>
    </row>
    <row r="1757">
      <c r="A1757" s="34"/>
    </row>
    <row r="1758">
      <c r="A1758" s="34"/>
    </row>
    <row r="1759">
      <c r="A1759" s="34"/>
    </row>
    <row r="1760">
      <c r="A1760" s="34"/>
    </row>
    <row r="1761">
      <c r="A1761" s="34"/>
    </row>
    <row r="1762">
      <c r="A1762" s="34"/>
    </row>
    <row r="1763">
      <c r="A1763" s="34"/>
    </row>
    <row r="1764">
      <c r="A1764" s="34"/>
    </row>
    <row r="1765">
      <c r="A1765" s="34"/>
    </row>
    <row r="1766">
      <c r="A1766" s="34"/>
    </row>
    <row r="1767">
      <c r="A1767" s="34"/>
    </row>
    <row r="1768">
      <c r="A1768" s="34"/>
    </row>
    <row r="1769">
      <c r="A1769" s="34"/>
    </row>
    <row r="1770">
      <c r="A1770" s="34"/>
    </row>
    <row r="1771">
      <c r="A1771" s="34"/>
    </row>
    <row r="1772">
      <c r="A1772" s="34"/>
    </row>
    <row r="1773">
      <c r="A1773" s="34"/>
    </row>
    <row r="1774">
      <c r="A1774" s="34"/>
    </row>
    <row r="1775">
      <c r="A1775" s="34"/>
    </row>
    <row r="1776">
      <c r="A1776" s="34"/>
    </row>
    <row r="1777">
      <c r="A1777" s="34"/>
    </row>
    <row r="1778">
      <c r="A1778" s="34"/>
    </row>
    <row r="1779">
      <c r="A1779" s="34"/>
    </row>
    <row r="1780">
      <c r="A1780" s="34"/>
    </row>
    <row r="1781">
      <c r="A1781" s="34"/>
    </row>
    <row r="1782">
      <c r="A1782" s="34"/>
    </row>
    <row r="1783">
      <c r="A1783" s="34"/>
    </row>
    <row r="1784">
      <c r="A1784" s="34"/>
    </row>
    <row r="1785">
      <c r="A1785" s="34"/>
    </row>
    <row r="1786">
      <c r="A1786" s="34"/>
    </row>
    <row r="1787">
      <c r="A1787" s="34"/>
    </row>
    <row r="1788">
      <c r="A1788" s="34"/>
    </row>
    <row r="1789">
      <c r="A1789" s="34"/>
    </row>
    <row r="1790">
      <c r="A1790" s="34"/>
    </row>
    <row r="1791">
      <c r="A1791" s="34"/>
    </row>
    <row r="1792">
      <c r="A1792" s="34"/>
    </row>
    <row r="1793">
      <c r="A1793" s="34"/>
    </row>
    <row r="1794">
      <c r="A1794" s="34"/>
    </row>
    <row r="1795">
      <c r="A1795" s="34"/>
    </row>
    <row r="1796">
      <c r="A1796" s="34"/>
    </row>
    <row r="1797">
      <c r="A1797" s="34"/>
    </row>
    <row r="1798">
      <c r="A1798" s="34"/>
    </row>
    <row r="1799">
      <c r="A1799" s="34"/>
    </row>
    <row r="1800">
      <c r="A1800" s="34"/>
    </row>
    <row r="1801">
      <c r="A1801" s="34"/>
    </row>
    <row r="1802">
      <c r="A1802" s="34"/>
    </row>
    <row r="1803">
      <c r="A1803" s="34"/>
    </row>
    <row r="1804">
      <c r="A1804" s="34"/>
    </row>
    <row r="1805">
      <c r="A1805" s="34"/>
    </row>
    <row r="1806">
      <c r="A1806" s="34"/>
    </row>
    <row r="1807">
      <c r="A1807" s="34"/>
    </row>
    <row r="1808">
      <c r="A1808" s="34"/>
    </row>
    <row r="1809">
      <c r="A1809" s="34"/>
    </row>
    <row r="1810">
      <c r="A1810" s="34"/>
    </row>
    <row r="1811">
      <c r="A1811" s="34"/>
    </row>
    <row r="1812">
      <c r="A1812" s="34"/>
    </row>
    <row r="1813">
      <c r="A1813" s="34"/>
    </row>
    <row r="1814">
      <c r="A1814" s="34"/>
    </row>
    <row r="1815">
      <c r="A1815" s="34"/>
    </row>
    <row r="1816">
      <c r="A1816" s="34"/>
    </row>
    <row r="1817">
      <c r="A1817" s="34"/>
    </row>
    <row r="1818">
      <c r="A1818" s="34"/>
    </row>
    <row r="1819">
      <c r="A1819" s="34"/>
    </row>
    <row r="1820">
      <c r="A1820" s="34"/>
    </row>
    <row r="1821">
      <c r="A1821" s="34"/>
    </row>
    <row r="1822">
      <c r="A1822" s="34"/>
    </row>
    <row r="1823">
      <c r="A1823" s="34"/>
    </row>
    <row r="1824">
      <c r="A1824" s="34"/>
    </row>
    <row r="1825">
      <c r="A1825" s="34"/>
    </row>
    <row r="1826">
      <c r="A1826" s="34"/>
    </row>
    <row r="1827">
      <c r="A1827" s="34"/>
    </row>
    <row r="1828">
      <c r="A1828" s="34"/>
    </row>
    <row r="1829">
      <c r="A1829" s="34"/>
    </row>
    <row r="1830">
      <c r="A1830" s="34"/>
    </row>
    <row r="1831">
      <c r="A1831" s="34"/>
    </row>
    <row r="1832">
      <c r="A1832" s="34"/>
    </row>
    <row r="1833">
      <c r="A1833" s="34"/>
    </row>
    <row r="1834">
      <c r="A1834" s="34"/>
    </row>
    <row r="1835">
      <c r="A1835" s="34"/>
    </row>
    <row r="1836">
      <c r="A1836" s="34"/>
    </row>
    <row r="1837">
      <c r="A1837" s="34"/>
    </row>
    <row r="1838">
      <c r="A1838" s="34"/>
    </row>
    <row r="1839">
      <c r="A1839" s="34"/>
    </row>
    <row r="1840">
      <c r="A1840" s="34"/>
    </row>
    <row r="1841">
      <c r="A1841" s="34"/>
    </row>
    <row r="1842">
      <c r="A1842" s="34"/>
    </row>
    <row r="1843">
      <c r="A1843" s="34"/>
    </row>
    <row r="1844">
      <c r="A1844" s="34"/>
    </row>
    <row r="1845">
      <c r="A1845" s="34"/>
    </row>
    <row r="1846">
      <c r="A1846" s="34"/>
    </row>
    <row r="1847">
      <c r="A1847" s="34"/>
    </row>
    <row r="1848">
      <c r="A1848" s="34"/>
    </row>
    <row r="1849">
      <c r="A1849" s="34"/>
    </row>
    <row r="1850">
      <c r="A1850" s="34"/>
    </row>
    <row r="1851">
      <c r="A1851" s="34"/>
    </row>
    <row r="1852">
      <c r="A1852" s="34"/>
    </row>
    <row r="1853">
      <c r="A1853" s="34"/>
    </row>
    <row r="1854">
      <c r="A1854" s="34"/>
    </row>
    <row r="1855">
      <c r="A1855" s="34"/>
    </row>
    <row r="1856">
      <c r="A1856" s="34"/>
    </row>
    <row r="1857">
      <c r="A1857" s="34"/>
    </row>
    <row r="1858">
      <c r="A1858" s="34"/>
    </row>
    <row r="1859">
      <c r="A1859" s="34"/>
    </row>
    <row r="1860">
      <c r="A1860" s="34"/>
    </row>
    <row r="1861">
      <c r="A1861" s="34"/>
    </row>
    <row r="1862">
      <c r="A1862" s="34"/>
    </row>
    <row r="1863">
      <c r="A1863" s="34"/>
    </row>
    <row r="1864">
      <c r="A1864" s="34"/>
    </row>
    <row r="1865">
      <c r="A1865" s="34"/>
    </row>
    <row r="1866">
      <c r="A1866" s="34"/>
    </row>
    <row r="1867">
      <c r="A1867" s="34"/>
    </row>
    <row r="1868">
      <c r="A1868" s="34"/>
    </row>
    <row r="1869">
      <c r="A1869" s="34"/>
    </row>
    <row r="1870">
      <c r="A1870" s="34"/>
    </row>
    <row r="1871">
      <c r="A1871" s="34"/>
    </row>
    <row r="1872">
      <c r="A1872" s="34"/>
    </row>
    <row r="1873">
      <c r="A1873" s="34"/>
    </row>
    <row r="1874">
      <c r="A1874" s="34"/>
    </row>
    <row r="1875">
      <c r="A1875" s="34"/>
    </row>
    <row r="1876">
      <c r="A1876" s="34"/>
    </row>
    <row r="1877">
      <c r="A1877" s="34"/>
    </row>
    <row r="1878">
      <c r="A1878" s="34"/>
    </row>
    <row r="1879">
      <c r="A1879" s="34"/>
    </row>
    <row r="1880">
      <c r="A1880" s="34"/>
    </row>
    <row r="1881">
      <c r="A1881" s="34"/>
    </row>
    <row r="1882">
      <c r="A1882" s="34"/>
    </row>
    <row r="1883">
      <c r="A1883" s="34"/>
    </row>
    <row r="1884">
      <c r="A1884" s="34"/>
    </row>
    <row r="1885">
      <c r="A1885" s="34"/>
    </row>
    <row r="1886">
      <c r="A1886" s="34"/>
    </row>
    <row r="1887">
      <c r="A1887" s="34"/>
    </row>
    <row r="1888">
      <c r="A1888" s="34"/>
    </row>
    <row r="1889">
      <c r="A1889" s="34"/>
    </row>
    <row r="1890">
      <c r="A1890" s="34"/>
    </row>
    <row r="1891">
      <c r="A1891" s="34"/>
    </row>
    <row r="1892">
      <c r="A1892" s="34"/>
    </row>
    <row r="1893">
      <c r="A1893" s="34"/>
    </row>
    <row r="1894">
      <c r="A1894" s="34"/>
    </row>
    <row r="1895">
      <c r="A1895" s="34"/>
    </row>
    <row r="1896">
      <c r="A1896" s="34"/>
    </row>
    <row r="1897">
      <c r="A1897" s="34"/>
    </row>
    <row r="1898">
      <c r="A1898" s="34"/>
    </row>
    <row r="1899">
      <c r="A1899" s="34"/>
    </row>
    <row r="1900">
      <c r="A1900" s="34"/>
    </row>
    <row r="1901">
      <c r="A1901" s="34"/>
    </row>
    <row r="1902">
      <c r="A1902" s="34"/>
    </row>
    <row r="1903">
      <c r="A1903" s="34"/>
    </row>
    <row r="1904">
      <c r="A1904" s="34"/>
    </row>
    <row r="1905">
      <c r="A1905" s="34"/>
    </row>
    <row r="1906">
      <c r="A1906" s="34"/>
    </row>
    <row r="1907">
      <c r="A1907" s="34"/>
    </row>
    <row r="1908">
      <c r="A1908" s="34"/>
    </row>
    <row r="1909">
      <c r="A1909" s="34"/>
    </row>
    <row r="1910">
      <c r="A1910" s="34"/>
    </row>
    <row r="1911">
      <c r="A1911" s="34"/>
    </row>
    <row r="1912">
      <c r="A1912" s="34"/>
    </row>
    <row r="1913">
      <c r="A1913" s="34"/>
    </row>
    <row r="1914">
      <c r="A1914" s="34"/>
    </row>
    <row r="1915">
      <c r="A1915" s="34"/>
    </row>
    <row r="1916">
      <c r="A1916" s="34"/>
    </row>
    <row r="1917">
      <c r="A1917" s="34"/>
    </row>
    <row r="1918">
      <c r="A1918" s="34"/>
    </row>
    <row r="1919">
      <c r="A1919" s="34"/>
    </row>
    <row r="1920">
      <c r="A1920" s="34"/>
    </row>
    <row r="1921">
      <c r="A1921" s="34"/>
    </row>
    <row r="1922">
      <c r="A1922" s="34"/>
    </row>
    <row r="1923">
      <c r="A1923" s="34"/>
    </row>
    <row r="1924">
      <c r="A1924" s="34"/>
    </row>
    <row r="1925">
      <c r="A1925" s="34"/>
    </row>
    <row r="1926">
      <c r="A1926" s="34"/>
    </row>
    <row r="1927">
      <c r="A1927" s="34"/>
    </row>
    <row r="1928">
      <c r="A1928" s="34"/>
    </row>
    <row r="1929">
      <c r="A1929" s="34"/>
    </row>
  </sheetData>
  <drawing r:id="rId1"/>
</worksheet>
</file>